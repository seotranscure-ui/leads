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sheetId="1" r:id="rId5"/>
    <sheet state="visible" name="Medical Billing Topical Map" sheetId="2" r:id="rId6"/>
    <sheet state="visible" name="Queries" sheetId="3" r:id="rId7"/>
    <sheet state="visible" name="MediBillMD Blogs" sheetId="4" r:id="rId8"/>
    <sheet state="visible" name="MediBillMD Pages" sheetId="5" r:id="rId9"/>
  </sheets>
  <definedNames>
    <definedName hidden="1" localSheetId="1" name="_xlnm._FilterDatabase">'Medical Billing Topical Map'!$A$1:$O$1186</definedName>
    <definedName hidden="1" localSheetId="3" name="_xlnm._FilterDatabase">'MediBillMD Blogs'!$A$1:$B$1000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45">
      <text>
        <t xml:space="preserve">need to brainstorm further</t>
      </text>
    </comment>
  </commentList>
</comments>
</file>

<file path=xl/sharedStrings.xml><?xml version="1.0" encoding="utf-8"?>
<sst xmlns="http://schemas.openxmlformats.org/spreadsheetml/2006/main" count="4787" uniqueCount="3433">
  <si>
    <t xml:space="preserve"> </t>
  </si>
  <si>
    <t>Source Context:</t>
  </si>
  <si>
    <t>Selling end-to-end Medical Billing services</t>
  </si>
  <si>
    <t>Central Entity:</t>
  </si>
  <si>
    <t>Medical Billing</t>
  </si>
  <si>
    <t>Central Search Intent:</t>
  </si>
  <si>
    <t>Know solutions of issues in Medical billing(claim denials,etc), Know best practices, Know best billing company for specific software or speciality and hire us for medical billing services</t>
  </si>
  <si>
    <t>Core Section:</t>
  </si>
  <si>
    <t>Medical Billing Services(Benefits, States, Counties, Service Pages, Specialities, Software-specific billing,)</t>
  </si>
  <si>
    <t>Outer Section:</t>
  </si>
  <si>
    <t>Medical Billing Guide(Issues, Processes, Types, How tos, Codes, Modifiers, listicles(Best/Top))</t>
  </si>
  <si>
    <t>Target Audience:</t>
  </si>
  <si>
    <t>Physicians in Each State of US,  Different Specialities, Surgery Centers</t>
  </si>
  <si>
    <t>Outcomes:</t>
  </si>
  <si>
    <t>Speciality sepecific billing, billing in state, billing for specific software</t>
  </si>
  <si>
    <r>
      <rPr>
        <rFont val="Arial"/>
        <b/>
        <color theme="1"/>
      </rPr>
      <t xml:space="preserve">Priority Specialities:
</t>
    </r>
    <r>
      <rPr>
        <rFont val="Arial"/>
        <b/>
        <color rgb="FFFF0000"/>
      </rPr>
      <t>Pain Management</t>
    </r>
    <r>
      <rPr>
        <rFont val="Arial"/>
        <b val="0"/>
        <color theme="1"/>
      </rPr>
      <t xml:space="preserve">
</t>
    </r>
    <r>
      <rPr>
        <rFont val="Arial"/>
        <b/>
        <color theme="1"/>
      </rPr>
      <t>Orthopedics</t>
    </r>
    <r>
      <rPr>
        <rFont val="Arial"/>
        <b val="0"/>
        <color theme="1"/>
      </rPr>
      <t xml:space="preserve">
Surger Centers
</t>
    </r>
    <r>
      <rPr>
        <rFont val="Arial"/>
        <b/>
        <color rgb="FF0000FF"/>
      </rPr>
      <t>Imaging Centers/Radiology</t>
    </r>
    <r>
      <rPr>
        <rFont val="Arial"/>
        <b val="0"/>
        <color theme="1"/>
      </rPr>
      <t xml:space="preserve">
</t>
    </r>
    <r>
      <rPr>
        <rFont val="Arial"/>
        <b/>
        <color rgb="FF0000FF"/>
      </rPr>
      <t>Oncology</t>
    </r>
    <r>
      <rPr>
        <rFont val="Arial"/>
        <b val="0"/>
        <color theme="1"/>
      </rPr>
      <t xml:space="preserve">
Gastro
ASC
Podiatry
Dental
Pediatrics
Cardiology
</t>
    </r>
    <r>
      <rPr>
        <rFont val="Arial"/>
        <b val="0"/>
        <color rgb="FFFF0000"/>
      </rPr>
      <t xml:space="preserve">Ob/GYN </t>
    </r>
  </si>
  <si>
    <r>
      <rPr>
        <rFont val="Arial"/>
        <b/>
        <color theme="1"/>
      </rPr>
      <t>Priority States</t>
    </r>
    <r>
      <rPr>
        <rFont val="Arial"/>
        <color theme="1"/>
      </rPr>
      <t>:
California
New York
Florida
New Jersey
Texas
Massachuset 100
Pennsylvania 100
Delaware 90
Colorada 80
Alabama 70
minnesota 70
tennessee 70
Virginia 70
maryland 60
georgia 60
arizona 50
michigan 50</t>
    </r>
  </si>
  <si>
    <t>medical billing services in illinois
medical billing services in georgia
medical billing services in maryland
medical billing services in arizona
medical billing services in michigan
medical billing services in minnesota
medical billing services in colorado
medical billing services in utah
medical billing services in rhode island
medical billing services in alaska</t>
  </si>
  <si>
    <r>
      <rPr>
        <rFont val="Arial"/>
        <b/>
        <color theme="1"/>
      </rPr>
      <t xml:space="preserve">Priority Software:
</t>
    </r>
    <r>
      <rPr>
        <rFont val="Arial"/>
        <b val="0"/>
        <color theme="1"/>
      </rPr>
      <t>Ecw
Athena He
Kareo
Nextgen
Icanotes
OfficeAlly
AdvancedMD
PracticeFusion
Allscripts
Cerner</t>
    </r>
  </si>
  <si>
    <t xml:space="preserve">            </t>
  </si>
  <si>
    <t>Title</t>
  </si>
  <si>
    <t>Brief link</t>
  </si>
  <si>
    <t>Existing</t>
  </si>
  <si>
    <t>Suggested</t>
  </si>
  <si>
    <t>Meta Description</t>
  </si>
  <si>
    <t>Image Alt</t>
  </si>
  <si>
    <t>Brief Assignee</t>
  </si>
  <si>
    <t>Writer</t>
  </si>
  <si>
    <t>WP Drafted By</t>
  </si>
  <si>
    <t>Publisher</t>
  </si>
  <si>
    <t>Status</t>
  </si>
  <si>
    <t>Deadline</t>
  </si>
  <si>
    <r>
      <rPr>
        <color rgb="FF1155CC"/>
        <sz val="10.0"/>
        <u/>
      </rPr>
      <t>https://transcure.net/maximize-reimbursements-by-medical-billing-services/</t>
    </r>
  </si>
  <si>
    <t>preferred medical billing</t>
  </si>
  <si>
    <t>/medical billing-vs-hospital billing</t>
  </si>
  <si>
    <t>small medical billing companies</t>
  </si>
  <si>
    <t>/medical-billing-vs-collection</t>
  </si>
  <si>
    <t>clearing house for medical billing</t>
  </si>
  <si>
    <t>/medical-billing-vs-dental billing</t>
  </si>
  <si>
    <t>temp agency for medical billing and coding</t>
  </si>
  <si>
    <t>/medical-billing-vs-medical-code</t>
  </si>
  <si>
    <t>medical billing services in georgia</t>
  </si>
  <si>
    <t>/medical-billing-vs-pharmacy billing</t>
  </si>
  <si>
    <t>medical billing website design</t>
  </si>
  <si>
    <t>/Medical-Billing-vs-rcm</t>
  </si>
  <si>
    <t>medical billing companies san diego</t>
  </si>
  <si>
    <t>Medical Billing: Definition, Process, Challenges, and Best Practices</t>
  </si>
  <si>
    <t>Semantic Briefs &lt;&gt; TransCure</t>
  </si>
  <si>
    <t>/medical-billing/</t>
  </si>
  <si>
    <t>Dive into the core steps of medical billing from charge entry to collections.</t>
  </si>
  <si>
    <t>Medical bill and pen</t>
  </si>
  <si>
    <t>medical billing services for small practices</t>
  </si>
  <si>
    <t>Accounts Receivable</t>
  </si>
  <si>
    <t>A/R Management Best Practices</t>
  </si>
  <si>
    <t>https://transcure.net/article/accounts-receivable-in-healthcare/</t>
  </si>
  <si>
    <t>/medical-billing/accounts-receivable/</t>
  </si>
  <si>
    <t>Optimize accounts receivable workflows to accelerate cash flow.</t>
  </si>
  <si>
    <t>A/R aging report</t>
  </si>
  <si>
    <t>medical billing and scheduling software</t>
  </si>
  <si>
    <t>/articles/</t>
  </si>
  <si>
    <t>/medical-billing/articles/</t>
  </si>
  <si>
    <t>top medical billing companies in usa</t>
  </si>
  <si>
    <t>/medical-billing/asc-cpt-code/</t>
  </si>
  <si>
    <t>medical billing business opportunity</t>
  </si>
  <si>
    <t>X Benefits Of Outsourcing Medical Billing</t>
  </si>
  <si>
    <t>/medical-billing/benefits</t>
  </si>
  <si>
    <t>medical billing services in new jersey</t>
  </si>
  <si>
    <r>
      <rPr>
        <color rgb="FF1155CC"/>
        <sz val="10.0"/>
        <u/>
      </rPr>
      <t>https://transcure.net/cardiology-medical-billing-guidelines/</t>
    </r>
  </si>
  <si>
    <t>/medical-billing/cardiology</t>
  </si>
  <si>
    <t>medical billing llc</t>
  </si>
  <si>
    <t>https://transcure.net/article/cardiology-billing-companies-us/</t>
  </si>
  <si>
    <t>/medical-billing/cardiology-cpt-code/</t>
  </si>
  <si>
    <t>medical billing company in illinois</t>
  </si>
  <si>
    <t>/case-studies/</t>
  </si>
  <si>
    <t>/medical-billing/case-studies/</t>
  </si>
  <si>
    <t>best medical billing</t>
  </si>
  <si>
    <t>/md-trucare-rpa-services-case-study/</t>
  </si>
  <si>
    <t>/medical-billing/case-studies/md-trucare-rpa/</t>
  </si>
  <si>
    <t>anesthesia medical billing services</t>
  </si>
  <si>
    <t>Charge Entry</t>
  </si>
  <si>
    <t>Charge Entry in Medical Billing</t>
  </si>
  <si>
    <t>/medical-billing/charge-entry/</t>
  </si>
  <si>
    <t>Best practices for entering charges accurately into your billing system.</t>
  </si>
  <si>
    <t>Data entry on screen</t>
  </si>
  <si>
    <t>urology medical billing services</t>
  </si>
  <si>
    <t>Claim</t>
  </si>
  <si>
    <t>Medical Billing Claim: Definition, Types and Process</t>
  </si>
  <si>
    <t xml:space="preserve">          </t>
  </si>
  <si>
    <t>/medical-billing/claim/</t>
  </si>
  <si>
    <t>Form CMS-1500</t>
  </si>
  <si>
    <t>cost of medical billing software</t>
  </si>
  <si>
    <r>
      <rPr>
        <color rgb="FF1155CC"/>
        <sz val="10.0"/>
        <u/>
      </rPr>
      <t>https://transcure.net/everything-you-need-to-know-about-crossover-claims-in-healthcare/</t>
    </r>
  </si>
  <si>
    <t>/medical-billing/claim/crossover</t>
  </si>
  <si>
    <t>medical billing companies in virginia</t>
  </si>
  <si>
    <t>X OBGYN Claim Denial Reasons and Their Solutions</t>
  </si>
  <si>
    <t>/medical-billing/claim/denial-obgyn</t>
  </si>
  <si>
    <t>Warda</t>
  </si>
  <si>
    <t>Claim Denials: Definition and X Reasons</t>
  </si>
  <si>
    <r>
      <rPr>
        <color rgb="FF1155CC"/>
        <sz val="10.0"/>
        <u/>
      </rPr>
      <t>https://transcure.net/3-best-practices-to-reduce-claim-denials/</t>
    </r>
  </si>
  <si>
    <t>/medical-billing/claim/denial/</t>
  </si>
  <si>
    <t>medical billing in usa</t>
  </si>
  <si>
    <t>Denial Management</t>
  </si>
  <si>
    <t>Denial Management in Billing</t>
  </si>
  <si>
    <t>/medical-billing/claim/denial/management</t>
  </si>
  <si>
    <t>Handle claim denials and resubmissions to maximize revenue recovery.</t>
  </si>
  <si>
    <t>Rejected claim with pen</t>
  </si>
  <si>
    <t>medical lab billing software</t>
  </si>
  <si>
    <t>Appeals Process</t>
  </si>
  <si>
    <t>Appeals Process Guide</t>
  </si>
  <si>
    <t>/medical-billing/claim/denial/management/appeals-process/</t>
  </si>
  <si>
    <t>Draft and track appeals to overturn denied claims successfully.</t>
  </si>
  <si>
    <t>Appeal letter on desk</t>
  </si>
  <si>
    <t>oncology medical billing company</t>
  </si>
  <si>
    <t>/medical-billing/claim/denial/reduce</t>
  </si>
  <si>
    <t>eclinicalworks medical billing</t>
  </si>
  <si>
    <t>/medical-billing/claim/form/</t>
  </si>
  <si>
    <t>medical billing companies nj</t>
  </si>
  <si>
    <t>https://transcure.net/cms-1500-form/</t>
  </si>
  <si>
    <t>/medical-billing/claim/form/cms-1500</t>
  </si>
  <si>
    <t>physical therapy medical billing company</t>
  </si>
  <si>
    <t>Claim Scrbbing</t>
  </si>
  <si>
    <t>Claim Creation &amp; Scrubbing</t>
  </si>
  <si>
    <t>/medical-billing/claim/scrubbing</t>
  </si>
  <si>
    <t>Generate and scrub claims to minimize rejections and denials.</t>
  </si>
  <si>
    <t>medical billing forms</t>
  </si>
  <si>
    <t>Claim Submission</t>
  </si>
  <si>
    <t>Electronic Claim Submission</t>
  </si>
  <si>
    <t>/medical-billing/claim/submission/</t>
  </si>
  <si>
    <t>Submit claims via EDI or clearinghouse for faster reimbursement.</t>
  </si>
  <si>
    <t>Computer uploading claims</t>
  </si>
  <si>
    <t>athena medical billing software</t>
  </si>
  <si>
    <t>Clearinghouse</t>
  </si>
  <si>
    <t>Clearinghouse Integration Guide</t>
  </si>
  <si>
    <t>/medical-billing/clearinghouse/</t>
  </si>
  <si>
    <t>Choose and integrate with clearinghouses to streamline claim routing.</t>
  </si>
  <si>
    <t>Network of servers</t>
  </si>
  <si>
    <t>keystone medical billing services</t>
  </si>
  <si>
    <t>Medical Coding</t>
  </si>
  <si>
    <t>Medical Coding Fundamentals</t>
  </si>
  <si>
    <t>https://transcure.net/article/coding-in-medical-billing-guide/</t>
  </si>
  <si>
    <t>/medical-billing/code/</t>
  </si>
  <si>
    <t>Understand ICD</t>
  </si>
  <si>
    <t>chiropractic medical billing software</t>
  </si>
  <si>
    <t>medical billing services in dallas</t>
  </si>
  <si>
    <t>Coding Compliance</t>
  </si>
  <si>
    <t>Coding Compliance &amp; Audits</t>
  </si>
  <si>
    <t>/medical-billing/code/compliance-and-audits/</t>
  </si>
  <si>
    <t>Maintain coding compliance and prepare for internal and external audits.</t>
  </si>
  <si>
    <t>Audit checklist on desk</t>
  </si>
  <si>
    <t>billing software for medical offices</t>
  </si>
  <si>
    <r>
      <rPr>
        <color rgb="FF1155CC"/>
        <sz val="10.0"/>
        <u/>
      </rPr>
      <t>https://transcure.net/new-cpt-codes-2025/</t>
    </r>
  </si>
  <si>
    <t>/medical-billing/code/cpt-2025/</t>
  </si>
  <si>
    <t>CPT Coding</t>
  </si>
  <si>
    <t>CPT Coding Best Practices</t>
  </si>
  <si>
    <t>/medical-billing/code/cpt/</t>
  </si>
  <si>
    <t>Explore CPT coding guidelines to capture procedural charges correctly.</t>
  </si>
  <si>
    <t>CPT code manual</t>
  </si>
  <si>
    <t>medical billing services nj</t>
  </si>
  <si>
    <t>https://transcure.net/cpt-codes-2024/</t>
  </si>
  <si>
    <t>medical billing services in orange county ca</t>
  </si>
  <si>
    <t>/medical-billing/code/cpt/01400/</t>
  </si>
  <si>
    <t>medical billing temp agency</t>
  </si>
  <si>
    <t>/medical-billing/code/cpt/11045/</t>
  </si>
  <si>
    <t>allscripts medical billing</t>
  </si>
  <si>
    <t>/medical-billing/code/cpt/23472/</t>
  </si>
  <si>
    <t>billing medical service</t>
  </si>
  <si>
    <t>/medical-billing/code/cpt/31579/</t>
  </si>
  <si>
    <t>michigan medical billing services</t>
  </si>
  <si>
    <t>/medical-billing/code/cpt/33208/</t>
  </si>
  <si>
    <t>low cost medical billing software</t>
  </si>
  <si>
    <t>/medical-billing/code/cpt/33249/</t>
  </si>
  <si>
    <t>medical billing companies in illinois</t>
  </si>
  <si>
    <t>/medical-billing/code/cpt/51798/</t>
  </si>
  <si>
    <t>medical billing software price</t>
  </si>
  <si>
    <t>/medical-billing/code/cpt/52000/</t>
  </si>
  <si>
    <t>pathology medical billing services</t>
  </si>
  <si>
    <t>/medical-billing/code/cpt/52310/</t>
  </si>
  <si>
    <t>medical billing companies in maryland</t>
  </si>
  <si>
    <t>/medical-billing/code/cpt/52332/</t>
  </si>
  <si>
    <t>medical billing clearing house</t>
  </si>
  <si>
    <t>/medical-billing/code/cpt/70450</t>
  </si>
  <si>
    <t>medical billing books</t>
  </si>
  <si>
    <t>/medical-billing/code/cpt/71250/</t>
  </si>
  <si>
    <t>ehr medical billing software</t>
  </si>
  <si>
    <t>/medical-billing/code/cpt/72148/</t>
  </si>
  <si>
    <t>medical billing software for behavioral health</t>
  </si>
  <si>
    <t>/medical-billing/code/cpt/73721/</t>
  </si>
  <si>
    <t>medical billing service in usa</t>
  </si>
  <si>
    <t>/medical-billing/code/cpt/74176/</t>
  </si>
  <si>
    <t>medical billing company in new york</t>
  </si>
  <si>
    <t>/medical-billing/code/cpt/74177/</t>
  </si>
  <si>
    <t>online medical billing software for small business</t>
  </si>
  <si>
    <t>/medical-billing/code/cpt/76705/</t>
  </si>
  <si>
    <t>medical billing websites</t>
  </si>
  <si>
    <t>/medical-billing/code/cpt/76942/</t>
  </si>
  <si>
    <t>best laptop for medical billing and coding</t>
  </si>
  <si>
    <t>/medical-billing/code/cpt/77063/</t>
  </si>
  <si>
    <t>medical billing saas</t>
  </si>
  <si>
    <t>/medical-billing/code/cpt/77067/</t>
  </si>
  <si>
    <t>cloud based medical billing</t>
  </si>
  <si>
    <t>/medical-billing/code/cpt/77080/</t>
  </si>
  <si>
    <t>us medical billing company</t>
  </si>
  <si>
    <t>/medical-billing/code/cpt/80048/</t>
  </si>
  <si>
    <t>offshore medical billing company</t>
  </si>
  <si>
    <t>/medical-billing/code/cpt/80050/</t>
  </si>
  <si>
    <t>medical billing companies in ohio</t>
  </si>
  <si>
    <t>/medical-billing/code/cpt/80307/</t>
  </si>
  <si>
    <t>medical billing systems software</t>
  </si>
  <si>
    <t>/medical-billing/code/cpt/81001/</t>
  </si>
  <si>
    <t>medical billing opportunity</t>
  </si>
  <si>
    <t>/medical-billing/code/cpt/81002/</t>
  </si>
  <si>
    <t>what is the best medical billing software</t>
  </si>
  <si>
    <t>/medical-billing/code/cpt/85025/</t>
  </si>
  <si>
    <t>medical billing leads</t>
  </si>
  <si>
    <t>/medical-billing/code/cpt/90791/</t>
  </si>
  <si>
    <t>medical billing system software</t>
  </si>
  <si>
    <t>/medical-billing/code/cpt/90792/</t>
  </si>
  <si>
    <t>billing demo medical software</t>
  </si>
  <si>
    <t>/medical-billing/code/cpt/90832/</t>
  </si>
  <si>
    <t>medical billing management software</t>
  </si>
  <si>
    <t>/medical-billing/code/cpt/90834/</t>
  </si>
  <si>
    <t>medical billing services software</t>
  </si>
  <si>
    <t>/medical-billing/code/cpt/90837/</t>
  </si>
  <si>
    <t>medical billing companies in nj</t>
  </si>
  <si>
    <t>/medical-billing/code/cpt/92550/</t>
  </si>
  <si>
    <t>medical billing companies in arizona</t>
  </si>
  <si>
    <t>/medical-billing/code/cpt/92928/</t>
  </si>
  <si>
    <t>lytec medical billing software</t>
  </si>
  <si>
    <t>/medical-billing/code/cpt/92960/</t>
  </si>
  <si>
    <t>medical billing companies in tennessee</t>
  </si>
  <si>
    <t>/medical-billing/code/cpt/93016/</t>
  </si>
  <si>
    <t>247 medical billing services</t>
  </si>
  <si>
    <t>/medical-billing/code/cpt/93228/</t>
  </si>
  <si>
    <t>medical billing staffing agencies</t>
  </si>
  <si>
    <t>/medical-billing/code/cpt/93307/</t>
  </si>
  <si>
    <t>medical billing opportunities</t>
  </si>
  <si>
    <t>/medical-billing/code/cpt/93308/</t>
  </si>
  <si>
    <t>medical billing companies in michigan</t>
  </si>
  <si>
    <t>/medical-billing/code/cpt/95819/</t>
  </si>
  <si>
    <t>medical billing process outsourcing companies</t>
  </si>
  <si>
    <t>/medical-billing/code/cpt/96372/</t>
  </si>
  <si>
    <t>medical billing coding company</t>
  </si>
  <si>
    <t>/medical-billing/code/cpt/97530/</t>
  </si>
  <si>
    <t>chiropractic medical billing companies</t>
  </si>
  <si>
    <t>/medical-billing/code/cpt/97810/</t>
  </si>
  <si>
    <t>cloud medical billing</t>
  </si>
  <si>
    <t>/medical-billing/code/cpt/97811/</t>
  </si>
  <si>
    <t>3rd party medical billing companies</t>
  </si>
  <si>
    <t>/medical-billing/code/cpt/97813/</t>
  </si>
  <si>
    <t>medical billing software for medical billing companies</t>
  </si>
  <si>
    <t>/medical-billing/code/cpt/98940/</t>
  </si>
  <si>
    <t>florida medical billing companies</t>
  </si>
  <si>
    <t>/medical-billing/code/cpt/98941/</t>
  </si>
  <si>
    <t>medical billing services dallas</t>
  </si>
  <si>
    <t>/medical-billing/code/cpt/98943/</t>
  </si>
  <si>
    <t>medical billing template</t>
  </si>
  <si>
    <t>/medical-billing/code/cpt/99203/</t>
  </si>
  <si>
    <t>billing software for medical</t>
  </si>
  <si>
    <t>/medical-billing/code/cpt/99204/</t>
  </si>
  <si>
    <t>easy medical billing software</t>
  </si>
  <si>
    <t>/medical-billing/code/cpt/99213/</t>
  </si>
  <si>
    <t>medical billing portland</t>
  </si>
  <si>
    <t>/medical-billing/code/cpt/99214/</t>
  </si>
  <si>
    <t>medical billing companies in georgia</t>
  </si>
  <si>
    <t>/medical-billing/code/cpt/99215/</t>
  </si>
  <si>
    <t>medical billing insurance software</t>
  </si>
  <si>
    <t>/medical-billing/code/cpt/99305/</t>
  </si>
  <si>
    <t>medical billing software online</t>
  </si>
  <si>
    <t>/medical-billing/code/cpt/99308/</t>
  </si>
  <si>
    <t>medical billing companies in dallas tx</t>
  </si>
  <si>
    <t>/medical-billing/code/cpt/99309/</t>
  </si>
  <si>
    <t>billing medical services</t>
  </si>
  <si>
    <t>/medical-billing/code/cpt/99381/</t>
  </si>
  <si>
    <t>physician medical billing software</t>
  </si>
  <si>
    <t>/medical-billing/code/cpt/99382/</t>
  </si>
  <si>
    <t>medical billing support</t>
  </si>
  <si>
    <t>/medical-billing/code/cpt/99391/</t>
  </si>
  <si>
    <t>medical billing software comparison</t>
  </si>
  <si>
    <t>/medical-billing/code/cpt/99394/</t>
  </si>
  <si>
    <t>medical billing services houston</t>
  </si>
  <si>
    <t>/medical-billing/code/cpt/99439/</t>
  </si>
  <si>
    <t>medical billing management system</t>
  </si>
  <si>
    <t>/medical-billing/code/cpt/99487/</t>
  </si>
  <si>
    <t>medical billing services in michigan</t>
  </si>
  <si>
    <t>HCPCS</t>
  </si>
  <si>
    <t>Top X HCPCS Codes</t>
  </si>
  <si>
    <t>/medical-billing/code/hcpcs/</t>
  </si>
  <si>
    <t>medical billing in new york</t>
  </si>
  <si>
    <t>https://transcure.net/hcpcs-level-ii-codes-2024-by-cms/</t>
  </si>
  <si>
    <t>/medical-billing/code/hcpcs/level-II</t>
  </si>
  <si>
    <t>medical billing service rates</t>
  </si>
  <si>
    <t>ICD-10 Coding</t>
  </si>
  <si>
    <t>/medical-billing/code/icd-10/</t>
  </si>
  <si>
    <t>ICD-10 code list</t>
  </si>
  <si>
    <t>medical billing website</t>
  </si>
  <si>
    <r>
      <rPr>
        <color rgb="FF1155CC"/>
        <sz val="10.0"/>
        <u/>
      </rPr>
      <t>https://transcure.net/2024-2025-icd-10-cm-updates/</t>
    </r>
  </si>
  <si>
    <t>top 10 medical billing companies in usa</t>
  </si>
  <si>
    <t>Modifiers</t>
  </si>
  <si>
    <t>/medical-billing/code/modifier/</t>
  </si>
  <si>
    <t>psychiatry medical billing services</t>
  </si>
  <si>
    <t>/medical-billing/code/modifier/25</t>
  </si>
  <si>
    <t>medical billing companies in miami florida</t>
  </si>
  <si>
    <t>/medical-billing/code/modifier/59</t>
  </si>
  <si>
    <t>medical billing and consulting</t>
  </si>
  <si>
    <r>
      <rPr>
        <color rgb="FF1155CC"/>
        <sz val="10.0"/>
        <u/>
      </rPr>
      <t>https://transcure.net/ga-modifier-update-2025/</t>
    </r>
  </si>
  <si>
    <t>/medical-billing/code/modifier/ga</t>
  </si>
  <si>
    <t>medical billing company dallas</t>
  </si>
  <si>
    <r>
      <rPr>
        <color rgb="FF1155CC"/>
        <sz val="10.0"/>
        <u/>
      </rPr>
      <t>https://transcure.net/distinguishing-between-gv-and-gw-modifier-and-their-applicability/</t>
    </r>
  </si>
  <si>
    <t>/medical-billing/code/modifier/gv-vs-gw</t>
  </si>
  <si>
    <t>endocrinology medical billing services</t>
  </si>
  <si>
    <t>https://transcure.net/how-to-accurately-code-pre-operative-clearance-icd-10/</t>
  </si>
  <si>
    <t>/medical-billing/code/pre-operative</t>
  </si>
  <si>
    <t>houston medical billing services</t>
  </si>
  <si>
    <t>https://transcure.net/article/medical-billing-outsourcing-companies/</t>
  </si>
  <si>
    <t>/medical-billing/companies</t>
  </si>
  <si>
    <t>medical billing advertising</t>
  </si>
  <si>
    <r>
      <rPr>
        <color rgb="FF1155CC"/>
        <sz val="10.0"/>
        <u/>
      </rPr>
      <t>https://transcure.net/revenue-cycle-management-companies-in-usa/</t>
    </r>
  </si>
  <si>
    <t>/medical-billing/companies-rcm</t>
  </si>
  <si>
    <t>online degree medical billing coding</t>
  </si>
  <si>
    <t>https://transcure.net/article/best-denial-management-companies-in-usa/</t>
  </si>
  <si>
    <t>/medical-billing/companies/denial-management/</t>
  </si>
  <si>
    <t>list of medical billing companies</t>
  </si>
  <si>
    <t>https://transcure.net/article/best-medical-billing-companies-in-florida-2025/</t>
  </si>
  <si>
    <t>/medical-billing/companies/florida</t>
  </si>
  <si>
    <t>medical billing service los angeles</t>
  </si>
  <si>
    <t>https://transcure.net/article/revenue-cycle-management-companies-2024/</t>
  </si>
  <si>
    <t>/medical-billing/companies/rcm</t>
  </si>
  <si>
    <t>how much does it cost to outsource medical billing</t>
  </si>
  <si>
    <r>
      <rPr>
        <color rgb="FF1155CC"/>
        <sz val="10.0"/>
        <u/>
      </rPr>
      <t>https://transcure.net/contracting-vs-credentialing-in-medical-billing/</t>
    </r>
  </si>
  <si>
    <t>/medical-billing/credentialing-vs-contracting</t>
  </si>
  <si>
    <t>medical billing san antonio</t>
  </si>
  <si>
    <t>Credentialing</t>
  </si>
  <si>
    <r>
      <rPr>
        <color rgb="FF1155CC"/>
        <sz val="10.0"/>
        <u/>
      </rPr>
      <t>https://transcure.net/benefits-of-credentialing-and-enrollment/</t>
    </r>
  </si>
  <si>
    <t>/medical-billing/credentialing/</t>
  </si>
  <si>
    <t>the best medical billing software</t>
  </si>
  <si>
    <t>https://transcure.net/article/dental-billing-services-top-companies-for-small-practices/</t>
  </si>
  <si>
    <t>/medical-billing/code/cpt-dental/</t>
  </si>
  <si>
    <t>medisoft medical billing</t>
  </si>
  <si>
    <r>
      <rPr>
        <color rgb="FF1155CC"/>
        <sz val="10.0"/>
        <u/>
      </rPr>
      <t>https://transcure.net/claim-denials-in-dental-medical-billing/</t>
    </r>
  </si>
  <si>
    <t>/medical-billing/dental/claim/denial</t>
  </si>
  <si>
    <t>medical billing company delaware</t>
  </si>
  <si>
    <r>
      <rPr>
        <color rgb="FF1155CC"/>
        <sz val="10.0"/>
        <u/>
      </rPr>
      <t>https://transcure.net/dental-billing-process-with-cdt-code-sheet/</t>
    </r>
  </si>
  <si>
    <t>/medical-billing/dental/coding</t>
  </si>
  <si>
    <t>medisoft medical billing software free download</t>
  </si>
  <si>
    <t>/future-proof-healthcare-ebook/</t>
  </si>
  <si>
    <t>/medical-billing/ebooks/future-proof-healthcare</t>
  </si>
  <si>
    <t>online medical billing coding</t>
  </si>
  <si>
    <t>/download-nephrology-practice-startup-checklist/</t>
  </si>
  <si>
    <t>/medical-billing/ebooks/nephrology-practice-startup-checklist</t>
  </si>
  <si>
    <t>medical billing companies in massachusetts</t>
  </si>
  <si>
    <t>/medical-billing-secrets-e-book/</t>
  </si>
  <si>
    <t>/medical-billing/ebooks/secrets/</t>
  </si>
  <si>
    <t>nextgen medical billing software</t>
  </si>
  <si>
    <t>/download-checklist-for-choosing-medical-billing-company-texas/</t>
  </si>
  <si>
    <t>/medical-billing/ebooks/secrets/choosing-medical-billing-company-texas/</t>
  </si>
  <si>
    <t>medical billing company services</t>
  </si>
  <si>
    <t>ERA &amp; EOB</t>
  </si>
  <si>
    <t>Understanding ERA and EOB</t>
  </si>
  <si>
    <t>/medical-billing/era-and-eob/</t>
  </si>
  <si>
    <t>Decode electronic remittance advice and explanation of benefits documents.</t>
  </si>
  <si>
    <t>EOB statement close-up</t>
  </si>
  <si>
    <t>local medical billing companies</t>
  </si>
  <si>
    <t>Collections &amp; Follow-Up</t>
  </si>
  <si>
    <t>Collections &amp; Follow-Up Strategies</t>
  </si>
  <si>
    <t>/medical-billing/follow-up-and-collections/</t>
  </si>
  <si>
    <t>Implement effective follow-up and collections processes to reduce bad debt.</t>
  </si>
  <si>
    <t>Collection call in progress</t>
  </si>
  <si>
    <t>medical billing service software</t>
  </si>
  <si>
    <t>/medical-billing/code/cpt-gastro/</t>
  </si>
  <si>
    <t>orthopedic surgeon medical billing companies</t>
  </si>
  <si>
    <r>
      <rPr>
        <color rgb="FF1155CC"/>
        <sz val="10.0"/>
        <u/>
      </rPr>
      <t>https://transcure.net/uncommon-gastroenterology-medical-billing-mistakes/</t>
    </r>
  </si>
  <si>
    <t>/medical-billing/gastroenterology-mistakes</t>
  </si>
  <si>
    <t>medical billing software, free</t>
  </si>
  <si>
    <t>https://transcure.net/general-surgery-billing-guide/</t>
  </si>
  <si>
    <t>/medical-billing/general-surgery</t>
  </si>
  <si>
    <t>medical billing and coding online college</t>
  </si>
  <si>
    <t>/medical-billing/code/cpt-imaging-centers-radiology/</t>
  </si>
  <si>
    <t>medical billing firm</t>
  </si>
  <si>
    <r>
      <rPr>
        <color rgb="FF1155CC"/>
        <sz val="10.0"/>
        <u/>
      </rPr>
      <t>https://transcure.net/internal-medicine-billing-strategies-for-billing-challenges/</t>
    </r>
  </si>
  <si>
    <t>/medical-billing/internal-medicine</t>
  </si>
  <si>
    <t>coastal medical billing</t>
  </si>
  <si>
    <t>https://transcure.net/crack-the-code-and-master-internal-medicine-coding/</t>
  </si>
  <si>
    <t>/medical-billing/internal-medicine-cpt-code/</t>
  </si>
  <si>
    <t>medical billing companies in san diego</t>
  </si>
  <si>
    <t>/medical-billing/internal-medicine/icd-code</t>
  </si>
  <si>
    <t>medical billing vendors</t>
  </si>
  <si>
    <t>This page should be upgraded</t>
  </si>
  <si>
    <r>
      <rPr>
        <color rgb="FF1155CC"/>
        <sz val="10.0"/>
        <u/>
      </rPr>
      <t>https://transcure.net/how-to-do-behavioral-health-claims-processing-for-psychiatry/</t>
    </r>
  </si>
  <si>
    <t>/medical-billing/mental-health/claim/</t>
  </si>
  <si>
    <t>star medical billing</t>
  </si>
  <si>
    <t>https://transcure.net/nephrology-coding-and-billing/</t>
  </si>
  <si>
    <t>/medical-billing/nephrology-coding-and-billing</t>
  </si>
  <si>
    <t>free web based medical billing software</t>
  </si>
  <si>
    <t>https://transcure.net/article/best-nephrology-medical-billing-services-in-usa/</t>
  </si>
  <si>
    <t>/medical-billing/nephrology-cpt-code/</t>
  </si>
  <si>
    <t>durable medical equipment billing software</t>
  </si>
  <si>
    <r>
      <rPr>
        <color rgb="FF1155CC"/>
        <sz val="10.0"/>
        <u/>
      </rPr>
      <t>https://transcure.net/nephrology-coding-demystifying-the-top-nephrology-cpt-codes/</t>
    </r>
  </si>
  <si>
    <t>/medical-billing/nephrology/coding/cpt</t>
  </si>
  <si>
    <t>online medical billing companies</t>
  </si>
  <si>
    <t>https://transcure.net/medical-billing-for-neurosurgery-guide/</t>
  </si>
  <si>
    <t>/medical-billing/neurosurgery</t>
  </si>
  <si>
    <t>synergy medical billing</t>
  </si>
  <si>
    <t>https://transcure.net/neurosurgery-medical-billing-authorization-rules/</t>
  </si>
  <si>
    <t>medical billing services reviews</t>
  </si>
  <si>
    <r>
      <rPr>
        <color rgb="FF1155CC"/>
        <sz val="10.0"/>
        <u/>
      </rPr>
      <t>https://transcure.net/ob-gyn-medical-billing-guide/</t>
    </r>
  </si>
  <si>
    <t>/medical-billing/obgyn</t>
  </si>
  <si>
    <t>medical billing us</t>
  </si>
  <si>
    <t>https://transcure.net/article/best-oncology-billing-companies/</t>
  </si>
  <si>
    <t>/medical-billing/oncology-cpt-code/</t>
  </si>
  <si>
    <t>medical billing software for substance abuse</t>
  </si>
  <si>
    <t>https://transcure.net/oncology-medical-billing/</t>
  </si>
  <si>
    <t>/medical-billing/oncology/</t>
  </si>
  <si>
    <t>medical billing companies dallas</t>
  </si>
  <si>
    <r>
      <rPr>
        <color rgb="FF1155CC"/>
        <sz val="10.0"/>
        <u/>
      </rPr>
      <t>https://transcure.net/how-to-bill-telehealth-in-ophthalmology-medical-billing/</t>
    </r>
  </si>
  <si>
    <t>/medical-billing/ophthalmology</t>
  </si>
  <si>
    <t>mckesson medical billing</t>
  </si>
  <si>
    <t>https://transcure.net/outsourcing-orthopedic-medical-billing-services-benefits/</t>
  </si>
  <si>
    <t>/medical-billing/orthopedic</t>
  </si>
  <si>
    <t>medical billing in india</t>
  </si>
  <si>
    <r>
      <rPr>
        <color rgb="FF1155CC"/>
        <sz val="10.0"/>
        <u/>
      </rPr>
      <t>https://transcure.net/orthopedic-medical-billing-know-to-get-paid/</t>
    </r>
  </si>
  <si>
    <t>/medical-billing/orthopedic/coding</t>
  </si>
  <si>
    <t>us career institute medical billing</t>
  </si>
  <si>
    <t>/medical-billing/orthopedics-cpt-code/</t>
  </si>
  <si>
    <t>houston medical billing</t>
  </si>
  <si>
    <r>
      <rPr>
        <color rgb="FF1155CC"/>
        <sz val="10.0"/>
        <u/>
      </rPr>
      <t>https://transcure.net/pain-management-billing-definition-codes-process/</t>
    </r>
  </si>
  <si>
    <t>/medical-billing/pain-management</t>
  </si>
  <si>
    <t>pmb medical billing</t>
  </si>
  <si>
    <t>https://transcure.net/article/pain-management-billing-companies/</t>
  </si>
  <si>
    <t>/medical-billing/pain-management-cpt-code/</t>
  </si>
  <si>
    <t>medical billing software and service</t>
  </si>
  <si>
    <t>https://transcure.net/common-pain-management-medical-billing-mistakes/</t>
  </si>
  <si>
    <t>/medical-billing/pain-management-mistakes</t>
  </si>
  <si>
    <t>medical billing services pa</t>
  </si>
  <si>
    <t>Patient Billing</t>
  </si>
  <si>
    <t>Patient Billing &amp; Statements</t>
  </si>
  <si>
    <t>/medical-billing/patient-billing/</t>
  </si>
  <si>
    <t>Generate patient statements and manage online payment portals effectively.</t>
  </si>
  <si>
    <t>Patient statement and credit card</t>
  </si>
  <si>
    <t>dental medical billing software</t>
  </si>
  <si>
    <t>Payment Posting</t>
  </si>
  <si>
    <t>Payment Posting &amp; Reconciliation</t>
  </si>
  <si>
    <t>/medical-billing/payment-posting/</t>
  </si>
  <si>
    <t>medical billing coding companies</t>
  </si>
  <si>
    <t>https://transcure.net/pediatrics-medical-coding-guide/</t>
  </si>
  <si>
    <t>/medical-billing/pediatric</t>
  </si>
  <si>
    <t>billing service medical</t>
  </si>
  <si>
    <r>
      <rPr>
        <color rgb="FF1155CC"/>
        <sz val="10.0"/>
        <u/>
      </rPr>
      <t>https://transcure.net/in%e2%80%91house-vs-outsourced-pediatric-medical-billing/</t>
    </r>
  </si>
  <si>
    <t>/medical-billing/pediatric/inhouse-vs-outsourced</t>
  </si>
  <si>
    <t>software for medical billing company</t>
  </si>
  <si>
    <t>/medical-billing/pediatrics-cpt-code/</t>
  </si>
  <si>
    <t>medical billing services for doctors</t>
  </si>
  <si>
    <r>
      <rPr>
        <color rgb="FF1155CC"/>
        <sz val="10.0"/>
        <u/>
      </rPr>
      <t>https://transcure.net/guide-for-podiatry-billing-and-coding/</t>
    </r>
  </si>
  <si>
    <t>/medical-billing/podiatry</t>
  </si>
  <si>
    <t>ohip medical billing software</t>
  </si>
  <si>
    <t>https://transcure.net/article/podiatry-billing-companies/</t>
  </si>
  <si>
    <t>/medical-billing/podiatry-cpt-code/</t>
  </si>
  <si>
    <t>medical billing systems for healthcare</t>
  </si>
  <si>
    <t>https://transcure.net/psychiatric-billing-codes-2023-updates/</t>
  </si>
  <si>
    <t>/medical-billing/psychiatric-cpt-code/</t>
  </si>
  <si>
    <t>medical billing audit service</t>
  </si>
  <si>
    <r>
      <rPr>
        <color rgb="FF1155CC"/>
        <sz val="10.0"/>
        <u/>
      </rPr>
      <t>https://transcure.net/psychiatry-billing-codes-that-delivers-realistic-revenue/</t>
    </r>
  </si>
  <si>
    <t>/medical-billing/psychiatry-code</t>
  </si>
  <si>
    <t>medical billing free software</t>
  </si>
  <si>
    <t>https://transcure.net/psychiatry-billing-solutions-a-comprehensive-guide/</t>
  </si>
  <si>
    <t>/medical-billing/psychiatry/</t>
  </si>
  <si>
    <t>medical billing businesses</t>
  </si>
  <si>
    <r>
      <rPr>
        <color rgb="FF1155CC"/>
        <sz val="10.0"/>
        <u/>
      </rPr>
      <t>https://transcure.net/pulmonology-medical-billing-guide/</t>
    </r>
  </si>
  <si>
    <t>/medical-billing/pulmonology</t>
  </si>
  <si>
    <t>medical billing company in ahmedabad</t>
  </si>
  <si>
    <r>
      <rPr>
        <color rgb="FF1155CC"/>
        <sz val="10.0"/>
        <u/>
      </rPr>
      <t>https://transcure.net/14-steps-of-healthcare-revenue-cycle-management/</t>
    </r>
  </si>
  <si>
    <t>/medical-billing/rcm/process</t>
  </si>
  <si>
    <t>accelerated medical billing</t>
  </si>
  <si>
    <t>how to increase reimbursement</t>
  </si>
  <si>
    <t>/medical-billing/reimbursement/</t>
  </si>
  <si>
    <t>Post ERA/EOB payments and reconcile accounts receivable accurately.</t>
  </si>
  <si>
    <t>Ledger with payments</t>
  </si>
  <si>
    <t>advanced medical billing</t>
  </si>
  <si>
    <r>
      <rPr>
        <color rgb="FF1155CC"/>
        <sz val="10.0"/>
        <u/>
      </rPr>
      <t>https://transcure.net/expert-tips-medical-billing-services-in-texas/</t>
    </r>
  </si>
  <si>
    <t>https://transcure.net/hacks-to-maximize-reimbursements-by-revolutionizing-ar-recovery/</t>
  </si>
  <si>
    <t>medical billing companies raleigh nc</t>
  </si>
  <si>
    <r>
      <rPr>
        <color rgb="FF1155CC"/>
        <sz val="10.0"/>
        <u/>
      </rPr>
      <t>https://transcure.net/how-rpa-is-changing-the-medical-billing-industry/</t>
    </r>
  </si>
  <si>
    <t>/medical-billing/rpa</t>
  </si>
  <si>
    <t>medical billing companys</t>
  </si>
  <si>
    <t>/medical-billing/rpa/insurance-verification</t>
  </si>
  <si>
    <t>billing medical service software</t>
  </si>
  <si>
    <t>Semantic content brief&lt;&gt; /medical-billing/claim/</t>
  </si>
  <si>
    <t>/medical-billing-services/</t>
  </si>
  <si>
    <t>/medical-billing/services/</t>
  </si>
  <si>
    <t>medical billing services</t>
  </si>
  <si>
    <t>/24-7-medical-billing-and-collection/</t>
  </si>
  <si>
    <t>/medical-billing/services/24-7</t>
  </si>
  <si>
    <t>medical billing companies</t>
  </si>
  <si>
    <t>/all-in-one-solution/</t>
  </si>
  <si>
    <t>/medical-billing/services/all-in-one</t>
  </si>
  <si>
    <t>medical billing consulting</t>
  </si>
  <si>
    <t>/medical-billing-audit/</t>
  </si>
  <si>
    <t>/medical-billing/services/audit</t>
  </si>
  <si>
    <t>medical billing outsourcing</t>
  </si>
  <si>
    <t>/cardiology-medical-billing/</t>
  </si>
  <si>
    <t>/medical-billing/services/Cardiology/California</t>
  </si>
  <si>
    <t>medical billing and accounting software</t>
  </si>
  <si>
    <t>/cardiology-medical-billing/florida/</t>
  </si>
  <si>
    <t>/medical-billing/services/Cardiology/Florida</t>
  </si>
  <si>
    <t>medical practice billing</t>
  </si>
  <si>
    <t>/cardiology-medical-billing/texas/</t>
  </si>
  <si>
    <t>/medical-billing/services/Cardiology/Texas</t>
  </si>
  <si>
    <t>medical billing companies in new jersey</t>
  </si>
  <si>
    <t>/medical-billing-and-coding-services/</t>
  </si>
  <si>
    <t>/medical-billing/services/coding</t>
  </si>
  <si>
    <t>medical billing software</t>
  </si>
  <si>
    <t>/medical-credentialing-services/</t>
  </si>
  <si>
    <t>/medical-billing/services/credentialing</t>
  </si>
  <si>
    <t>expert medical billing</t>
  </si>
  <si>
    <t>/demo/</t>
  </si>
  <si>
    <t>/medical-billing/services/demo</t>
  </si>
  <si>
    <t>billing medical software</t>
  </si>
  <si>
    <t>/dental-medical-billing-services/california/</t>
  </si>
  <si>
    <t>/medical-billing/services/Dental/California</t>
  </si>
  <si>
    <t>medical billing software for small practices</t>
  </si>
  <si>
    <t>/medical-billing/services/Dental/Florida</t>
  </si>
  <si>
    <t>cloud based medical billing systems</t>
  </si>
  <si>
    <t>/medical-billing/services/Dental/New-Jersey</t>
  </si>
  <si>
    <t>outsource laboratory medical billing</t>
  </si>
  <si>
    <t>/dental-medical-billing-services/new-york/</t>
  </si>
  <si>
    <t>/medical-billing/services/Dental/New-York</t>
  </si>
  <si>
    <t>medical billing companies in florida</t>
  </si>
  <si>
    <t>/dental-medical-billing-services/texas/</t>
  </si>
  <si>
    <t>/medical-billing/services/Dental/Texas</t>
  </si>
  <si>
    <t>medical billing companies california</t>
  </si>
  <si>
    <t>/dermatology-medical-billing/</t>
  </si>
  <si>
    <t>/medical-billing/services/dermatology</t>
  </si>
  <si>
    <t>medical billing electronic claims software</t>
  </si>
  <si>
    <t>/medical-billing/services/dermatology/California</t>
  </si>
  <si>
    <t>24/7 medical billing services</t>
  </si>
  <si>
    <t>/medical-billing/services/dermatology/Florida</t>
  </si>
  <si>
    <t>medical manager billing software</t>
  </si>
  <si>
    <t>/medical-billing/services/dermatology/New-Jersey</t>
  </si>
  <si>
    <t>medical billing company in florida</t>
  </si>
  <si>
    <t>/medical-billing/services/dermatology/New-York</t>
  </si>
  <si>
    <t>medical billing in florida</t>
  </si>
  <si>
    <t>/medical-billing/services/dermatology/Texas</t>
  </si>
  <si>
    <t>professional medical billing services</t>
  </si>
  <si>
    <t>/dietitian-billing-services/</t>
  </si>
  <si>
    <t>/medical-billing/services/dietitian</t>
  </si>
  <si>
    <t>medical billing and management services</t>
  </si>
  <si>
    <t>/medical-billing/services/dietitian/California</t>
  </si>
  <si>
    <t>medical billing software companies</t>
  </si>
  <si>
    <t>/medical-billing/services/dietitian/Florida</t>
  </si>
  <si>
    <t>medical billing consultant</t>
  </si>
  <si>
    <t>/medical-billing/services/dietitian/New-Jersey</t>
  </si>
  <si>
    <t>aba medical billing</t>
  </si>
  <si>
    <t>/medical-billing/services/dietitian/New-York</t>
  </si>
  <si>
    <t>dme medical billing services</t>
  </si>
  <si>
    <t>/medical-billing/services/dietitian/Texas</t>
  </si>
  <si>
    <t>dme medical billing companies</t>
  </si>
  <si>
    <t>/patient-benefits-and-eligibility-verification-services/</t>
  </si>
  <si>
    <t>/medical-billing/services/eligibility-verification</t>
  </si>
  <si>
    <t>medical billing software for small business</t>
  </si>
  <si>
    <t>/endocrinology-medical-billing/</t>
  </si>
  <si>
    <t>/medical-billing/services/endocrinology</t>
  </si>
  <si>
    <t>urgent care medical billing services</t>
  </si>
  <si>
    <t>/medical-billing/services/endocrinology/California</t>
  </si>
  <si>
    <t>medical billing and consulting services</t>
  </si>
  <si>
    <t>/medical-billing/services/endocrinology/Florida</t>
  </si>
  <si>
    <t>medical billing partner</t>
  </si>
  <si>
    <t>/medical-billing/services/endocrinology/New-Jersey</t>
  </si>
  <si>
    <t>medical billing companies florida</t>
  </si>
  <si>
    <t>/medical-billing/services/endocrinology/New-York</t>
  </si>
  <si>
    <t>cardiology medical billing company</t>
  </si>
  <si>
    <t>/medical-billing/services/endocrinology/Texas</t>
  </si>
  <si>
    <t>best clearinghouse for medical billing</t>
  </si>
  <si>
    <t>https://transcure.net/family-practice-billing-services/</t>
  </si>
  <si>
    <t>/medical-billing/services/family-practice/</t>
  </si>
  <si>
    <t>medical billing outsourcing companies in usa</t>
  </si>
  <si>
    <t>/gastroenterology-billing-services/</t>
  </si>
  <si>
    <t>/medical-billing/services/Gastroenterology</t>
  </si>
  <si>
    <t>cheap medical billing software</t>
  </si>
  <si>
    <t>/medical-billing/services/Gastroenterology/California</t>
  </si>
  <si>
    <t>general surgery medical billing</t>
  </si>
  <si>
    <t>/medical-billing/services/Gastroenterology/Florida</t>
  </si>
  <si>
    <t>medical software billing</t>
  </si>
  <si>
    <t>/medical-billing/services/Gastroenterology/New-Jersey</t>
  </si>
  <si>
    <t>best medical billing company</t>
  </si>
  <si>
    <t>/medical-billing/services/Gastroenterology/New-York</t>
  </si>
  <si>
    <t>/medical-billing/services/Gastroenterology/Texas</t>
  </si>
  <si>
    <t>medical billing services los angeles</t>
  </si>
  <si>
    <r>
      <rPr>
        <color rgb="FF1155CC"/>
        <sz val="10.0"/>
        <u/>
      </rPr>
      <t>https://transcure.net/best-general-surgery-medical-billing-services/</t>
    </r>
  </si>
  <si>
    <t>/medical-billing/services/general-surgery</t>
  </si>
  <si>
    <t>web based medical billing</t>
  </si>
  <si>
    <t>/medical-billing/services/general-surgery/California</t>
  </si>
  <si>
    <t>medical billing software demo</t>
  </si>
  <si>
    <t>/general-surgery-billing-and-coding-services/florida/</t>
  </si>
  <si>
    <t>/medical-billing/services/general-surgery/florida</t>
  </si>
  <si>
    <t>medical billing and coding books</t>
  </si>
  <si>
    <t>/medical-billing/services/general-surgery/New-Jersey</t>
  </si>
  <si>
    <t>us career institute medical billing and coding</t>
  </si>
  <si>
    <t>/medical-billing/services/general-surgery/New-York</t>
  </si>
  <si>
    <t>medical billing outsourcing company</t>
  </si>
  <si>
    <t>/medical-billing/services/general-surgery/Texas</t>
  </si>
  <si>
    <t>at home medical billing software</t>
  </si>
  <si>
    <t>/hospital-rcm/</t>
  </si>
  <si>
    <t>/medical-billing/services/hospital</t>
  </si>
  <si>
    <t>medical billing and coding services</t>
  </si>
  <si>
    <t>/hospital-credentialing-services/</t>
  </si>
  <si>
    <t>/medical-billing/services/hospital/credientialing</t>
  </si>
  <si>
    <t>medical billing service</t>
  </si>
  <si>
    <t>/hospital-credentialing-services-for-medical-group-practices/</t>
  </si>
  <si>
    <t>medical billing and coding company</t>
  </si>
  <si>
    <t>/infectious-disease-billing/</t>
  </si>
  <si>
    <t>/medical-billing/services/infectious-disease</t>
  </si>
  <si>
    <t>medical billing degree online</t>
  </si>
  <si>
    <t>/medical-billing/services/infectious-disease/California</t>
  </si>
  <si>
    <t>self paced medical billing and coding</t>
  </si>
  <si>
    <t>/medical-billing/services/infectious-disease/Florida</t>
  </si>
  <si>
    <t>podiatry medical billing company</t>
  </si>
  <si>
    <t>/medical-billing/services/infectious-disease/New-Jersey</t>
  </si>
  <si>
    <t>medical office billing systems</t>
  </si>
  <si>
    <t>/medical-billing/services/infectious-disease/New-York</t>
  </si>
  <si>
    <t>pay for medical billing and coding</t>
  </si>
  <si>
    <t>/medical-billing/services/infectious-disease/Texas</t>
  </si>
  <si>
    <t>medical billing services in new york</t>
  </si>
  <si>
    <t>/internal-medicine-medical-billing/</t>
  </si>
  <si>
    <t>/medical-billing/services/internal-medicine</t>
  </si>
  <si>
    <t>medical billing services in los angeles</t>
  </si>
  <si>
    <t>/medical-billing/services/internal-medicine/California</t>
  </si>
  <si>
    <t>medical billing providers</t>
  </si>
  <si>
    <t>/internal-medicine-medical-billing/florida/</t>
  </si>
  <si>
    <t>/medical-billing/services/internal-medicine/Florida</t>
  </si>
  <si>
    <t>medical billing california</t>
  </si>
  <si>
    <t>/medical-billing/services/internal-medicine/New-Jersey</t>
  </si>
  <si>
    <t>medical billing scheduling software</t>
  </si>
  <si>
    <t>/internal-medicine-medical-billing/new-york/</t>
  </si>
  <si>
    <t>/medical-billing/services/internal-medicine/New-York</t>
  </si>
  <si>
    <t>medical billing system</t>
  </si>
  <si>
    <t>/medical-billing/services/internal-medicine/Texas</t>
  </si>
  <si>
    <t>medical billing and coding outsourcing companies</t>
  </si>
  <si>
    <t>/mips-2024/</t>
  </si>
  <si>
    <t>/medical-billing/services/mips</t>
  </si>
  <si>
    <t>medical billing and credentialing services</t>
  </si>
  <si>
    <t>/mips-registry-mips-reporting-2025/</t>
  </si>
  <si>
    <t>medical billing software for billing companies</t>
  </si>
  <si>
    <t>/nephrology-medical-billing/</t>
  </si>
  <si>
    <t>/medical-billing/services/nephrology</t>
  </si>
  <si>
    <t>medical billing services pennsylvania</t>
  </si>
  <si>
    <t>/medical-billing/services/nephrology/California</t>
  </si>
  <si>
    <t>list of medical billing software</t>
  </si>
  <si>
    <t>/medical-billing/services/nephrology/Florida</t>
  </si>
  <si>
    <t>best medical billing and coding services</t>
  </si>
  <si>
    <t>/medical-billing/services/nephrology/New-Jersey</t>
  </si>
  <si>
    <t>automated medical billing software</t>
  </si>
  <si>
    <t>/medical-billing/services/nephrology/New-York</t>
  </si>
  <si>
    <t>medical billing services florida</t>
  </si>
  <si>
    <t>/medical-billing/services/nephrology/Texas</t>
  </si>
  <si>
    <t>billing insurance medical software</t>
  </si>
  <si>
    <t>/neurology-billing/</t>
  </si>
  <si>
    <t>/medical-billing/services/neurology</t>
  </si>
  <si>
    <t>medical billing audit company</t>
  </si>
  <si>
    <t>/medical-billing/services/neurology/California</t>
  </si>
  <si>
    <t>pediatric medical billing services</t>
  </si>
  <si>
    <t>/medical-billing/services/neurology/Florida</t>
  </si>
  <si>
    <t>top 10 clearinghouses in medical billing</t>
  </si>
  <si>
    <t>/medical-billing/services/neurology/New-Jersey</t>
  </si>
  <si>
    <t>self paced medical billing and coding online</t>
  </si>
  <si>
    <t>/medical-billing/services/neurology/New-York</t>
  </si>
  <si>
    <t>medical billing company los angeles</t>
  </si>
  <si>
    <t>/medical-billing/services/neurology/Texas</t>
  </si>
  <si>
    <t>vision medical billing software</t>
  </si>
  <si>
    <t>/neurosurgery-billing-services/</t>
  </si>
  <si>
    <t>/medical-billing/services/neurosurgery</t>
  </si>
  <si>
    <t>emr medical billing software</t>
  </si>
  <si>
    <t>/medical-billing/services/neurosurgery/California</t>
  </si>
  <si>
    <t>list of medical billing companies in bangalore</t>
  </si>
  <si>
    <t>/medical-billing/services/neurosurgery/Florida</t>
  </si>
  <si>
    <t>providers medical billing</t>
  </si>
  <si>
    <t>/medical-billing/services/neurosurgery/New-Jersey</t>
  </si>
  <si>
    <t>outsourcing medical billing services</t>
  </si>
  <si>
    <t>/medical-billing/services/neurosurgery/New-York</t>
  </si>
  <si>
    <t>online medical billing and coding degree</t>
  </si>
  <si>
    <t>/medical-billing/services/neurosurgery/Texas</t>
  </si>
  <si>
    <t>revenue cycle management medical billing companies</t>
  </si>
  <si>
    <t>/ob-gyn-billing/</t>
  </si>
  <si>
    <t>/medical-billing/services/obgyn</t>
  </si>
  <si>
    <t>podiatry medical billing services</t>
  </si>
  <si>
    <t>/medical-billing/services/obgyn/California</t>
  </si>
  <si>
    <t>medical office billing software</t>
  </si>
  <si>
    <t>/medical-billing/services/obgyn/Florida</t>
  </si>
  <si>
    <t>gastroenterology medical billing services</t>
  </si>
  <si>
    <t>/medical-billing/services/obgyn/New-Jersey</t>
  </si>
  <si>
    <t>medical billing management services</t>
  </si>
  <si>
    <t>/medical-billing/services/obgyn/New-York</t>
  </si>
  <si>
    <t>general surgery medical billing company</t>
  </si>
  <si>
    <t>/medical-billing/services/obgyn/Texas</t>
  </si>
  <si>
    <t>medical billing software solutions</t>
  </si>
  <si>
    <t>/oncology-billing-services/</t>
  </si>
  <si>
    <t>/medical-billing/services/Oncology</t>
  </si>
  <si>
    <t>physician medical billing services</t>
  </si>
  <si>
    <t>/medical-billing/services/Oncology/California</t>
  </si>
  <si>
    <t>medical billing practice management</t>
  </si>
  <si>
    <t>/medical-billing/services/Oncology/Florida</t>
  </si>
  <si>
    <t>outsourced medical billing services</t>
  </si>
  <si>
    <t>/medical-billing/services/Oncology/New-Jersey</t>
  </si>
  <si>
    <t>virtual assistant medical billing</t>
  </si>
  <si>
    <t>/medical-billing/services/Oncology/New-York</t>
  </si>
  <si>
    <t>top medical billing companies</t>
  </si>
  <si>
    <t>/medical-billing/services/Oncology/Texas</t>
  </si>
  <si>
    <t>medical billing companies in texas</t>
  </si>
  <si>
    <t>/ophthalmology-billing-services/</t>
  </si>
  <si>
    <t>/medical-billing/services/ophthalmology</t>
  </si>
  <si>
    <t>professional medical billing</t>
  </si>
  <si>
    <t>/medical-billing/services/ophthalmology/California</t>
  </si>
  <si>
    <t>medical billing practice management software</t>
  </si>
  <si>
    <t>/medical-billing/services/ophthalmology/Florida</t>
  </si>
  <si>
    <t>medical coding and billing services</t>
  </si>
  <si>
    <t>/medical-billing/services/ophthalmology/New-Jersey</t>
  </si>
  <si>
    <t>medical billing company california</t>
  </si>
  <si>
    <t>/medical-billing/services/ophthalmology/New-York</t>
  </si>
  <si>
    <t>cloud based medical billing software</t>
  </si>
  <si>
    <t>/medical-billing/services/ophthalmology/Texas</t>
  </si>
  <si>
    <t>mental health medical billing software</t>
  </si>
  <si>
    <t>/orthopedic-medical-billing-services/</t>
  </si>
  <si>
    <t>/medical-billing/services/Orthopedics</t>
  </si>
  <si>
    <t xml:space="preserve">   </t>
  </si>
  <si>
    <t>/medical-billing/services/Orthopedics/California</t>
  </si>
  <si>
    <t>medical billing outsource</t>
  </si>
  <si>
    <t>/medical-billing/services/Orthopedics/Florida</t>
  </si>
  <si>
    <t>cheap medical billing</t>
  </si>
  <si>
    <t xml:space="preserve">               </t>
  </si>
  <si>
    <t>/medical-billing/services/Orthopedics/New-Jersey</t>
  </si>
  <si>
    <t>medical billing for small practices</t>
  </si>
  <si>
    <t>/medical-billing/services/Orthopedics/New-York</t>
  </si>
  <si>
    <t>medical billing management</t>
  </si>
  <si>
    <t>/medical-billing/services/Orthopedics/Texas</t>
  </si>
  <si>
    <t>medical billing service companies</t>
  </si>
  <si>
    <t>/outsource-medical-billing-services/</t>
  </si>
  <si>
    <t>/medical-billing/services/outsource</t>
  </si>
  <si>
    <t>/pain-management-billing/</t>
  </si>
  <si>
    <t>/medical-billing/services/Pain-Management</t>
  </si>
  <si>
    <t>medical billing and coding practice software</t>
  </si>
  <si>
    <t>/medical-billing/services/Pain-Management/California</t>
  </si>
  <si>
    <t>obgyn medical billing services</t>
  </si>
  <si>
    <t>/medical-billing/services/Pain-Management/Florida</t>
  </si>
  <si>
    <t>medical billing audit services</t>
  </si>
  <si>
    <t>/medical-billing/services/Pain-Management/New-Jersey</t>
  </si>
  <si>
    <t>electronic medical billing software</t>
  </si>
  <si>
    <t>/medical-billing/services/Pain-Management/New-York</t>
  </si>
  <si>
    <t>online colleges for medical billing and coding</t>
  </si>
  <si>
    <t>/medical-billing/services/Pain-Management/Texas</t>
  </si>
  <si>
    <t>/pediatric-billing-services/</t>
  </si>
  <si>
    <t>/medical-billing/services/Pediatrics</t>
  </si>
  <si>
    <t>/medical-billing/services/Pediatrics/California</t>
  </si>
  <si>
    <t>software for medical billing</t>
  </si>
  <si>
    <t>/medical-billing/services/Pediatrics/Florida</t>
  </si>
  <si>
    <t>outsourced medical billing</t>
  </si>
  <si>
    <t>/medical-billing/services/Pediatrics/New-Jersey</t>
  </si>
  <si>
    <t>virtual medical billing</t>
  </si>
  <si>
    <t>/pediatric-billing-services/new-york/</t>
  </si>
  <si>
    <t>/medical-billing/services/Pediatrics/new-york</t>
  </si>
  <si>
    <t>/medical-billing/services/Pediatrics/Texas</t>
  </si>
  <si>
    <t>medical billing company in usa</t>
  </si>
  <si>
    <t>/independent-practices/</t>
  </si>
  <si>
    <t>/medical-billing/services/physician</t>
  </si>
  <si>
    <t>outsource medical billing services</t>
  </si>
  <si>
    <t>medical billing outsourcing services</t>
  </si>
  <si>
    <t>/medical-group-practices/</t>
  </si>
  <si>
    <t>/medical-billing/services/physician/groups</t>
  </si>
  <si>
    <t>medical billing and coding companies</t>
  </si>
  <si>
    <t>/podiatry-medical-billing/</t>
  </si>
  <si>
    <t>/medical-billing/services/Podiatry</t>
  </si>
  <si>
    <t>ai medical billing software</t>
  </si>
  <si>
    <t>/medical-billing/services/Podiatry/California</t>
  </si>
  <si>
    <t>massage medical billing software</t>
  </si>
  <si>
    <t>/medical-billing/services/Podiatry/Florida</t>
  </si>
  <si>
    <t>medical billing credentialing services</t>
  </si>
  <si>
    <t>/medical-billing/services/Podiatry/New-Jersey</t>
  </si>
  <si>
    <t>medical billing and practice management services</t>
  </si>
  <si>
    <t>/podiatry-medical-billing/new-york/</t>
  </si>
  <si>
    <t>/medical-billing/services/Podiatry/new-york</t>
  </si>
  <si>
    <t>medical billing experts</t>
  </si>
  <si>
    <t>/dental-medical-billing-services/</t>
  </si>
  <si>
    <t>/medical-billing/services/Podiatry/Texas</t>
  </si>
  <si>
    <t>cardiology medical billing companies</t>
  </si>
  <si>
    <t>/primary-care-billing/</t>
  </si>
  <si>
    <t>/medical-billing/services/primary-care</t>
  </si>
  <si>
    <t>top medical billing software</t>
  </si>
  <si>
    <t>/medical-billing/services/primary-care/California</t>
  </si>
  <si>
    <t>medical billing services in florida</t>
  </si>
  <si>
    <t>/medical-billing/services/primary-care/Florida</t>
  </si>
  <si>
    <t>billing software medical</t>
  </si>
  <si>
    <t>/medical-billing/services/primary-care/New-Jersey</t>
  </si>
  <si>
    <t>physical therapy medical billing software</t>
  </si>
  <si>
    <t>/medical-billing/services/primary-care/New-York</t>
  </si>
  <si>
    <t>full service medical billing company</t>
  </si>
  <si>
    <t>/medical-billing/services/primary-care/Texas</t>
  </si>
  <si>
    <t>global medical billing company in bangalore</t>
  </si>
  <si>
    <t>/psychiatry-medical-billing-services/</t>
  </si>
  <si>
    <t>/medical-billing/services/psychiatry</t>
  </si>
  <si>
    <t>medical billing services texas</t>
  </si>
  <si>
    <t>/medical-billing/services/psychiatry/California</t>
  </si>
  <si>
    <t>medical billing software reviews</t>
  </si>
  <si>
    <t>/medical-billing/services/psychiatry/Florida</t>
  </si>
  <si>
    <t>medical claims billing software</t>
  </si>
  <si>
    <t>/medical-billing/services/psychiatry/New-Jersey</t>
  </si>
  <si>
    <t>medical billing companies in philippines</t>
  </si>
  <si>
    <t>/psychiatry-medical-billing-services/new-york/</t>
  </si>
  <si>
    <t>/medical-billing/services/psychiatry/New-York</t>
  </si>
  <si>
    <t>best medical billing software for small business</t>
  </si>
  <si>
    <t>/medical-billing/services/psychiatry/Texas</t>
  </si>
  <si>
    <t>medical billing company names</t>
  </si>
  <si>
    <t>/pulmonology-billing-services/</t>
  </si>
  <si>
    <t>/medical-billing/services/pulmonology</t>
  </si>
  <si>
    <t>medical billing services in texas</t>
  </si>
  <si>
    <t>/medical-billing/services/pulmonology/California</t>
  </si>
  <si>
    <t>medical billing services california</t>
  </si>
  <si>
    <t>/medical-billing/services/pulmonology/Florida</t>
  </si>
  <si>
    <t>medical billing software names</t>
  </si>
  <si>
    <t>/medical-billing/services/pulmonology/New-Jersey</t>
  </si>
  <si>
    <t>medical billing and coding software online</t>
  </si>
  <si>
    <t>/medical-billing/services/pulmonology/New-York</t>
  </si>
  <si>
    <t>medical billing company in california</t>
  </si>
  <si>
    <t>/medical-billing/services/pulmonology/Texas</t>
  </si>
  <si>
    <t>easy medical billing</t>
  </si>
  <si>
    <t xml:space="preserve">      </t>
  </si>
  <si>
    <t>/medical-billing/services/Radiology</t>
  </si>
  <si>
    <t>medical billing companies in california</t>
  </si>
  <si>
    <t>/medical-billing/services/Radiology/California</t>
  </si>
  <si>
    <t>online medical billing degree</t>
  </si>
  <si>
    <t>/medical-billing/services/Radiology/Florida</t>
  </si>
  <si>
    <t>medical practice billing service</t>
  </si>
  <si>
    <t>/medical-billing/services/Radiology/New-Jersey</t>
  </si>
  <si>
    <t>best medical billing companies</t>
  </si>
  <si>
    <t>/medical-billing/services/Radiology/New-York</t>
  </si>
  <si>
    <t>dermatology medical billing</t>
  </si>
  <si>
    <t xml:space="preserve">    </t>
  </si>
  <si>
    <t>/medical-billing/services/Radiology/Texas</t>
  </si>
  <si>
    <t>medical coding and billing online</t>
  </si>
  <si>
    <t>/medical-billing-services-for-small-practices/</t>
  </si>
  <si>
    <t>/medical-billing/services/small-practices</t>
  </si>
  <si>
    <t>medical billing solutions</t>
  </si>
  <si>
    <t>/medical-billing-and-coding-</t>
  </si>
  <si>
    <t>/medical-billing/services/specialties</t>
  </si>
  <si>
    <t>best medical billing software</t>
  </si>
  <si>
    <t>/medical-billing/services/Surger-Centers</t>
  </si>
  <si>
    <t>medical coding and billing companies</t>
  </si>
  <si>
    <t>/asc-billing-services/</t>
  </si>
  <si>
    <t>/medical-billing/services/Surgery-Centers/Ambulatory</t>
  </si>
  <si>
    <t>medical billing services company</t>
  </si>
  <si>
    <t>/medical-billing/services/Surgery-Centers/Ambulatory/California</t>
  </si>
  <si>
    <t>medical billing services in california</t>
  </si>
  <si>
    <t>/medical-billing/services/Surgery-Centers/Ambulatory/Florida</t>
  </si>
  <si>
    <t>best medical billing services</t>
  </si>
  <si>
    <t>/medical-billing/services/Surgery-Centers/Ambulatory/New-Jersey</t>
  </si>
  <si>
    <t>software for medical billing and coding</t>
  </si>
  <si>
    <t>/medical-billing/services/Surgery-Centers/Ambulatory/New-York</t>
  </si>
  <si>
    <t>medical insurance billing software</t>
  </si>
  <si>
    <t>/medical-billing/services/Surgery-Centers/Ambulatory/Texas</t>
  </si>
  <si>
    <t>medical billing services in usa</t>
  </si>
  <si>
    <t>/ehr-medical-software/</t>
  </si>
  <si>
    <t>/medical-billing/software/</t>
  </si>
  <si>
    <t>medical billing consulting services</t>
  </si>
  <si>
    <r>
      <rPr>
        <color rgb="FF1155CC"/>
        <sz val="10.0"/>
        <u/>
      </rPr>
      <t>https://transcure.net/role-of-modifiers-in-medical-billing-and-its-applicability/</t>
    </r>
  </si>
  <si>
    <t>/Medical-billing/software/emr/office-ally</t>
  </si>
  <si>
    <t>medical billing service phoenix</t>
  </si>
  <si>
    <t>/medical-billing/surger-centers-cpt-code/</t>
  </si>
  <si>
    <t>medical billing maryland</t>
  </si>
  <si>
    <t>https://transcure.net/billing-for-ambulatory-surgery-centers/</t>
  </si>
  <si>
    <t>/medical-billing/surgery-centers/ambulatory</t>
  </si>
  <si>
    <t>medical billing &amp; management services</t>
  </si>
  <si>
    <r>
      <rPr>
        <color rgb="FF1155CC"/>
        <sz val="10.0"/>
        <u/>
      </rPr>
      <t>https://transcure.net/ambulatory-surgery-center-billing-challenges/</t>
    </r>
  </si>
  <si>
    <t>/medical-billing/surgery-centers/ambulatory/challenges</t>
  </si>
  <si>
    <t>how much to charge for medical billing services</t>
  </si>
  <si>
    <r>
      <rPr>
        <color rgb="FF1155CC"/>
        <sz val="10.0"/>
        <u/>
      </rPr>
      <t>https://transcure.net/ambulatory-surgery-billing-updates/</t>
    </r>
  </si>
  <si>
    <t>/medical-billing/surgery-centers/ambulatory/updates</t>
  </si>
  <si>
    <t>orange county medical billing</t>
  </si>
  <si>
    <r>
      <rPr>
        <color rgb="FF1155CC"/>
        <sz val="10.0"/>
        <u/>
      </rPr>
      <t>https://transcure.net/gastro-surgical-center-billing-guide/</t>
    </r>
  </si>
  <si>
    <t>/medical-billing/surgery-centers/gastroenterology</t>
  </si>
  <si>
    <t>medical billing and coding textbooks</t>
  </si>
  <si>
    <r>
      <rPr>
        <color rgb="FF1155CC"/>
        <sz val="10.0"/>
        <u/>
      </rPr>
      <t>https://transcure.net/telehealth-cpt-codes-for-2025/</t>
    </r>
  </si>
  <si>
    <t>/medical-billing/telehealth-cpt-code/</t>
  </si>
  <si>
    <t>medical billing software mental health</t>
  </si>
  <si>
    <t>https://transcure.net/article/medical-billing-time-limits-by-state/</t>
  </si>
  <si>
    <t>/medical-billing/time-limits</t>
  </si>
  <si>
    <t>web based medical billing software for billing companies</t>
  </si>
  <si>
    <t>/whitepapers/</t>
  </si>
  <si>
    <t>/medical-billing/white-papers/</t>
  </si>
  <si>
    <t>medical billing services usa</t>
  </si>
  <si>
    <t>/ar-management-in-healthcare-whitepaper/</t>
  </si>
  <si>
    <t>/medical-billing/white-papers/ar-management-healthcare</t>
  </si>
  <si>
    <t>oncology medical billing services</t>
  </si>
  <si>
    <t>https://transcure.net/ai-powered-medical-billing/</t>
  </si>
  <si>
    <t>Medical-billing/ai</t>
  </si>
  <si>
    <t>medical billing software for dme</t>
  </si>
  <si>
    <r>
      <rPr>
        <color rgb="FF1155CC"/>
        <sz val="10.0"/>
        <u/>
      </rPr>
      <t>https://transcure.net/are-healthcare-providers-thankful-on-thanksgiving-2022/</t>
    </r>
  </si>
  <si>
    <r>
      <rPr>
        <color rgb="FF1155CC"/>
        <sz val="10.0"/>
        <u/>
      </rPr>
      <t>https://transcure.net/pros-and-cons-of-outsourcing-medical-billing-services/</t>
    </r>
  </si>
  <si>
    <t>medical-billing/benefits</t>
  </si>
  <si>
    <t>medical billing companies in orange county ca</t>
  </si>
  <si>
    <r>
      <rPr>
        <color rgb="FF1155CC"/>
        <sz val="10.0"/>
        <u/>
      </rPr>
      <t>https://transcure.net/medical-billing-laws-in-california/</t>
    </r>
  </si>
  <si>
    <t>medical-billing/california/laws/time-limits/</t>
  </si>
  <si>
    <t>medical billing flyers</t>
  </si>
  <si>
    <r>
      <rPr>
        <color rgb="FF1155CC"/>
        <sz val="10.0"/>
        <u/>
      </rPr>
      <t>https://transcure.net/medical-billing-time-limits-california/</t>
    </r>
  </si>
  <si>
    <t>billing medical online software</t>
  </si>
  <si>
    <r>
      <rPr>
        <color rgb="FF1155CC"/>
        <sz val="10.0"/>
        <u/>
      </rPr>
      <t>https://transcure.net/cms-quality-measures-2023-key-updates/</t>
    </r>
  </si>
  <si>
    <t>medical-billing/cms/quality-measures</t>
  </si>
  <si>
    <t>medical ez billing</t>
  </si>
  <si>
    <r>
      <rPr>
        <color rgb="FF1155CC"/>
        <sz val="10.0"/>
        <u/>
      </rPr>
      <t>https://transcure.net/medical-billing-companies-in-usa-2025/</t>
    </r>
  </si>
  <si>
    <t>medical-billing/companies</t>
  </si>
  <si>
    <t>medical billing management solution</t>
  </si>
  <si>
    <t>Done</t>
  </si>
  <si>
    <t>medical-billing/companies-asc</t>
  </si>
  <si>
    <t>medical-billing/companies-cardiology</t>
  </si>
  <si>
    <t>medical-billing/companies-dental</t>
  </si>
  <si>
    <t>medical-billing/companies-gastroenterology</t>
  </si>
  <si>
    <t>medical-billing/companies-imaging-center</t>
  </si>
  <si>
    <t>medical-billing/companies-nephrology</t>
  </si>
  <si>
    <t>medical-billing/companies-obgyn</t>
  </si>
  <si>
    <t>medical-billing/companies-oncology</t>
  </si>
  <si>
    <t>medical-billing/companies-orthopedics</t>
  </si>
  <si>
    <t>medical-billing/companies-pain-management</t>
  </si>
  <si>
    <t>medical-billing/companies-pediatrics</t>
  </si>
  <si>
    <t>medical-billing/companies-podiatry</t>
  </si>
  <si>
    <t>medical-billing/companies/alabama</t>
  </si>
  <si>
    <t>done</t>
  </si>
  <si>
    <t>fordney's medical insurance and billing</t>
  </si>
  <si>
    <t>medical-billing/companies/alabama/auburn</t>
  </si>
  <si>
    <t>medical billing claims service</t>
  </si>
  <si>
    <t>medical-billing/companies/alabama/birmingham</t>
  </si>
  <si>
    <t>medical billing software review</t>
  </si>
  <si>
    <t>medical-billing/companies/alabama/dothan</t>
  </si>
  <si>
    <t>medical billing companies arizona</t>
  </si>
  <si>
    <t>medical-billing/companies/alabama/huntsville</t>
  </si>
  <si>
    <t>medical billing services dallas texas</t>
  </si>
  <si>
    <t>medical-billing/companies/alabama/medison</t>
  </si>
  <si>
    <t>software for medical billing services</t>
  </si>
  <si>
    <t>medical-billing/companies/alabama/mobile</t>
  </si>
  <si>
    <t>medical billing companies in nyc</t>
  </si>
  <si>
    <t>medical-billing/companies/alabama/montgomery</t>
  </si>
  <si>
    <t>medical billing service providers</t>
  </si>
  <si>
    <t>medical-billing/companies/alabama/phenix-city</t>
  </si>
  <si>
    <t>medical billing website template</t>
  </si>
  <si>
    <t>medical-billing/companies/alabama/tuscaloosa</t>
  </si>
  <si>
    <t>medical billing provider</t>
  </si>
  <si>
    <t>medical-billing/companies/alaska</t>
  </si>
  <si>
    <t>hospitalist medical billing services</t>
  </si>
  <si>
    <t>medical-billing/companies/alaska/Anchorage</t>
  </si>
  <si>
    <t>prg medical billing</t>
  </si>
  <si>
    <t>medical-billing/companies/alaska/Bethel</t>
  </si>
  <si>
    <t>medical billing orlando</t>
  </si>
  <si>
    <t>medical-billing/companies/alaska/Fairbanks</t>
  </si>
  <si>
    <t>billing electronic medical software</t>
  </si>
  <si>
    <t>medical-billing/companies/alaska/Homer</t>
  </si>
  <si>
    <t>medical billing demo software</t>
  </si>
  <si>
    <t>medical-billing/companies/alaska/Juneau</t>
  </si>
  <si>
    <t>medical insurance billing software reviews</t>
  </si>
  <si>
    <t>medical-billing/companies/alaska/Kenai</t>
  </si>
  <si>
    <t>medical billing services in las vegas</t>
  </si>
  <si>
    <t>medical-billing/companies/alaska/Ketchikan</t>
  </si>
  <si>
    <t>medical billing services massachusetts</t>
  </si>
  <si>
    <t>medical-billing/companies/alaska/Kodiak</t>
  </si>
  <si>
    <t>how to get medical billing clients</t>
  </si>
  <si>
    <t>medical-billing/companies/alaska/Sitka</t>
  </si>
  <si>
    <t>cincinnati medical billing services</t>
  </si>
  <si>
    <t>medical-billing/companies/alaska/Wasilla</t>
  </si>
  <si>
    <t>medical billing logos</t>
  </si>
  <si>
    <t>medical-billing/companies/arizona/</t>
  </si>
  <si>
    <t>cheapest medical billing software</t>
  </si>
  <si>
    <t>medical-billing/companies/arizona/chandler</t>
  </si>
  <si>
    <t>medical billing services in dallas tx</t>
  </si>
  <si>
    <t>medical-billing/companies/arizona/gilbert</t>
  </si>
  <si>
    <t>medical billing software canada</t>
  </si>
  <si>
    <t>medical-billing/companies/arizona/glendale</t>
  </si>
  <si>
    <t>california medical billing services</t>
  </si>
  <si>
    <t>medical-billing/companies/arizona/mesa</t>
  </si>
  <si>
    <t>medical billing service fees</t>
  </si>
  <si>
    <t>medical-billing/companies/arizona/peoria</t>
  </si>
  <si>
    <t>psychiatric medical billing software</t>
  </si>
  <si>
    <t>medical-billing/companies/arizona/phoenix</t>
  </si>
  <si>
    <t>medical billing services in india</t>
  </si>
  <si>
    <t>medical-billing/companies/arizona/scottsdale</t>
  </si>
  <si>
    <t>nj medical billing companies</t>
  </si>
  <si>
    <t>medical-billing/companies/arizona/tempe</t>
  </si>
  <si>
    <t>medical billing companies in atlanta ga</t>
  </si>
  <si>
    <t>medical-billing/companies/arizona/tucson</t>
  </si>
  <si>
    <t>medical billing southern california</t>
  </si>
  <si>
    <t>medical-billing/companies/arkansas/</t>
  </si>
  <si>
    <t>philadelphia medical billing</t>
  </si>
  <si>
    <t>medical-billing/companies/arkansas/fayetteville</t>
  </si>
  <si>
    <t>medical billing companies in atlanta</t>
  </si>
  <si>
    <t>medical-billing/companies/arkansas/fort-smith</t>
  </si>
  <si>
    <t>nationwide medical billing</t>
  </si>
  <si>
    <t>medical-billing/companies/arkansas/little-rock</t>
  </si>
  <si>
    <t>medical billing services seattle</t>
  </si>
  <si>
    <t>https://transcure.net/article/medical-billing-companies-in-california/</t>
  </si>
  <si>
    <t>medical-billing/companies/california/</t>
  </si>
  <si>
    <t>rcm medical billing software</t>
  </si>
  <si>
    <t>medical-billing/companies/california/albany/</t>
  </si>
  <si>
    <t>kareo medical billing software</t>
  </si>
  <si>
    <t>medical billing companies in anaheim</t>
  </si>
  <si>
    <t>medical-billing/companies/california/anaheim</t>
  </si>
  <si>
    <t>medical billing marketing</t>
  </si>
  <si>
    <t>medical billing companies in fresno</t>
  </si>
  <si>
    <t>medical-billing/companies/california/fresno</t>
  </si>
  <si>
    <t>medical billing india</t>
  </si>
  <si>
    <t>medical-billing/companies/california/irvine/</t>
  </si>
  <si>
    <t>best billing software for non emergency medical transportation</t>
  </si>
  <si>
    <t>medical billing companies in Long Beach, CA</t>
  </si>
  <si>
    <t>medical-billing/companies/california/long-beach/</t>
  </si>
  <si>
    <t>medical billing soft</t>
  </si>
  <si>
    <t>https://transcure.net/article/medical-billing-companies-los-angeles-ca/</t>
  </si>
  <si>
    <t>medical-billing/companies/california/los-angeles</t>
  </si>
  <si>
    <t>medical billing companies in north carolina</t>
  </si>
  <si>
    <t>https://transcure.net/article/medical-billing-companies-sacramento-ca/</t>
  </si>
  <si>
    <t>medical-billing/companies/california/sacramento</t>
  </si>
  <si>
    <t>medical billing software for mac</t>
  </si>
  <si>
    <t>https://transcure.net/article/medical-billing-companies-san-diego-ca/</t>
  </si>
  <si>
    <t>medical-billing/companies/california/san-diego</t>
  </si>
  <si>
    <t>medical billing companies houston texas</t>
  </si>
  <si>
    <t>https://transcure.net/article/medical-billing-companies-in-san-francisco-ca/</t>
  </si>
  <si>
    <t>medical-billing/companies/california/san-francisco</t>
  </si>
  <si>
    <t>medical billing companies in dallas</t>
  </si>
  <si>
    <t>medical billing companies in san jose</t>
  </si>
  <si>
    <t>medical-billing/companies/california/san-jose/</t>
  </si>
  <si>
    <t>medical coding billing software</t>
  </si>
  <si>
    <t>medical billing and coding solutions</t>
  </si>
  <si>
    <t>https://transcure.net/article/top-medical-coding-companies-in-usa/</t>
  </si>
  <si>
    <t>medical-billing/companies/coding</t>
  </si>
  <si>
    <t>medical billing software south africa</t>
  </si>
  <si>
    <t>medical-billing/companies/colorada</t>
  </si>
  <si>
    <t>medical billing outsourcing india</t>
  </si>
  <si>
    <t>medical-billing/companies/colorada/arvada</t>
  </si>
  <si>
    <t>human service medical billing software</t>
  </si>
  <si>
    <t>medical-billing/companies/colorada/aurora</t>
  </si>
  <si>
    <t>medical billing and coding consultant</t>
  </si>
  <si>
    <t>medical-billing/companies/colorada/boulder</t>
  </si>
  <si>
    <t>physicians medical billing services</t>
  </si>
  <si>
    <t>medical-billing/companies/colorada/denver</t>
  </si>
  <si>
    <t>cloud-based medical billing software</t>
  </si>
  <si>
    <t>medical-billing/companies/colorada/fort-collins</t>
  </si>
  <si>
    <t>medical billing software office</t>
  </si>
  <si>
    <t>medical-billing/companies/colorada/greeley</t>
  </si>
  <si>
    <t>medical billing company houston</t>
  </si>
  <si>
    <t>medical-billing/companies/colorada/highlands-ranch</t>
  </si>
  <si>
    <t>medical billing dallas tx</t>
  </si>
  <si>
    <t>medical-billing/companies/colorada/pueblo</t>
  </si>
  <si>
    <t>medical billing companies maryland</t>
  </si>
  <si>
    <t>medical-billing/companies/colorada/thornton</t>
  </si>
  <si>
    <t>medical billing computer software</t>
  </si>
  <si>
    <t>medical-billing/companies/connecticut</t>
  </si>
  <si>
    <t>get certified in medical billing and coding online</t>
  </si>
  <si>
    <t>https://transcure.net/article/best-medical-credentialing-companies-in-2025/</t>
  </si>
  <si>
    <t>medical-billing/companies/credentialing</t>
  </si>
  <si>
    <t>medical billing and collection services</t>
  </si>
  <si>
    <t>medical-billing/companies/delaware</t>
  </si>
  <si>
    <t>medical billing software system</t>
  </si>
  <si>
    <t>medical-billing/companies/delaware/bear</t>
  </si>
  <si>
    <t>medical billing software for</t>
  </si>
  <si>
    <t>medical-billing/companies/delaware/brookside</t>
  </si>
  <si>
    <t>pro medical billing</t>
  </si>
  <si>
    <t>medical-billing/companies/delaware/claymont</t>
  </si>
  <si>
    <t>associate's degree medical billing and coding</t>
  </si>
  <si>
    <t>medical-billing/companies/delaware/dover</t>
  </si>
  <si>
    <t>medical billing chicago</t>
  </si>
  <si>
    <t>medical-billing/companies/delaware/hookessin</t>
  </si>
  <si>
    <t>arizona emergency physician medical billing</t>
  </si>
  <si>
    <t>medical-billing/companies/delaware/middletown</t>
  </si>
  <si>
    <t>midwest medical billing</t>
  </si>
  <si>
    <t>medical-billing/companies/delaware/milford</t>
  </si>
  <si>
    <t>top medical billing company in usa</t>
  </si>
  <si>
    <t>medical-billing/companies/delaware/newark</t>
  </si>
  <si>
    <t>virtual medical billing solutions</t>
  </si>
  <si>
    <t>medical-billing/companies/delaware/wilmington</t>
  </si>
  <si>
    <t>usa medical billing</t>
  </si>
  <si>
    <t>https://transcure.net/article/best-dental-billing-companies-usa/</t>
  </si>
  <si>
    <t>medical-billing/companies/dental/</t>
  </si>
  <si>
    <t>medical billing service cost</t>
  </si>
  <si>
    <t>medical-billing/companies/florida/cape-coral</t>
  </si>
  <si>
    <t>dallas medical billing companies</t>
  </si>
  <si>
    <t>medical-billing/companies/florida/hialeah</t>
  </si>
  <si>
    <t>offshore medical billing companies</t>
  </si>
  <si>
    <t>medical-billing/companies/florida/Jacksonville</t>
  </si>
  <si>
    <t>medical billing companies in us</t>
  </si>
  <si>
    <t>https://transcure.net/article/medical-billing-companies-miami-florida/</t>
  </si>
  <si>
    <t>medical-billing/companies/florida/miami</t>
  </si>
  <si>
    <t>medical billing solutions services</t>
  </si>
  <si>
    <t>https://transcure.net/article/medical-billing-companies-orlando-florida/</t>
  </si>
  <si>
    <t>medical-billing/companies/florida/orlando</t>
  </si>
  <si>
    <t>popular medical billing software</t>
  </si>
  <si>
    <t>medical-billing/companies/florida/port-st-lucie</t>
  </si>
  <si>
    <t>medical billing companies in utah</t>
  </si>
  <si>
    <t>medical-billing/companies/florida/st-petersburg</t>
  </si>
  <si>
    <t>medical billing projects</t>
  </si>
  <si>
    <t>medical-billing/companies/florida/tallahassee</t>
  </si>
  <si>
    <t>medical billing management healthcare software</t>
  </si>
  <si>
    <t>https://transcure.net/article/medical-billing-companies-tampa-fl/</t>
  </si>
  <si>
    <t>medical-billing/companies/florida/tampa</t>
  </si>
  <si>
    <t>outsourcing medical billing companies</t>
  </si>
  <si>
    <t>medical-billing/companies/georgia/</t>
  </si>
  <si>
    <t>medical billing companies houston</t>
  </si>
  <si>
    <t>medical-billing/companies/georgia/athens</t>
  </si>
  <si>
    <t>medical billing book</t>
  </si>
  <si>
    <t>medical-billing/companies/georgia/atlanta</t>
  </si>
  <si>
    <t>dallas medical billing</t>
  </si>
  <si>
    <t>medical-billing/companies/georgia/augusta</t>
  </si>
  <si>
    <t>medical billing demo</t>
  </si>
  <si>
    <t>medical-billing/companies/georgia/johns-creek</t>
  </si>
  <si>
    <t>quickbooks medical billing</t>
  </si>
  <si>
    <t>medical-billing/companies/georgia/macon</t>
  </si>
  <si>
    <t>medical billing services in houston</t>
  </si>
  <si>
    <t>medical-billing/companies/georgia/roswell</t>
  </si>
  <si>
    <t>medical billing companies illinois</t>
  </si>
  <si>
    <t>medical-billing/companies/georgia/sandy-springs</t>
  </si>
  <si>
    <t>medical billing audit software</t>
  </si>
  <si>
    <t>medical-billing/companies/georgia/savannah</t>
  </si>
  <si>
    <t>medical billing software australia</t>
  </si>
  <si>
    <t>medical-billing/companies/georgia/south-fulton</t>
  </si>
  <si>
    <t>medical billing companies in south florida</t>
  </si>
  <si>
    <t>medical-billing/companies/hawaii/</t>
  </si>
  <si>
    <t>best web based medical billing software</t>
  </si>
  <si>
    <t>medical-billing/companies/hawaii/hilo</t>
  </si>
  <si>
    <t>us medical billing companies</t>
  </si>
  <si>
    <t>medical-billing/companies/hawaii/honolulu</t>
  </si>
  <si>
    <t>medical billing pa</t>
  </si>
  <si>
    <t>medical-billing/companies/hawaii/pearl-city</t>
  </si>
  <si>
    <t>best medical billing software reviews</t>
  </si>
  <si>
    <t>medical-billing/companies/idaho/</t>
  </si>
  <si>
    <t>compare medical billing software</t>
  </si>
  <si>
    <t>medical-billing/companies/idaho/boise</t>
  </si>
  <si>
    <t>free online medical billing software</t>
  </si>
  <si>
    <t>medical-billing/companies/idaho/meridian</t>
  </si>
  <si>
    <t>affordable medical billing</t>
  </si>
  <si>
    <t>medical-billing/companies/idaho/nampa</t>
  </si>
  <si>
    <t>medical billing ca</t>
  </si>
  <si>
    <t>https://transcure.net/article/medical-billing-companies-illinois/</t>
  </si>
  <si>
    <t>medical-billing/companies/illinois</t>
  </si>
  <si>
    <t>medical billing and coding service</t>
  </si>
  <si>
    <t>medical-billing/companies/illinois/</t>
  </si>
  <si>
    <t>medical billing and coding service software</t>
  </si>
  <si>
    <t>medical-billing/companies/illinois/aurora</t>
  </si>
  <si>
    <t>medical billing institute</t>
  </si>
  <si>
    <t>medical-billing/companies/illinois/chicago</t>
  </si>
  <si>
    <t>marketing for medical billing</t>
  </si>
  <si>
    <t>medical-billing/companies/illinois/naperville</t>
  </si>
  <si>
    <t>premier medical billing services</t>
  </si>
  <si>
    <t>medical-billing/companies/indiana</t>
  </si>
  <si>
    <t>atlanta medical billing</t>
  </si>
  <si>
    <t>medical-billing/companies/iowa/</t>
  </si>
  <si>
    <t>your medical billing</t>
  </si>
  <si>
    <t>medical-billing/companies/iowa/cedar-rapids</t>
  </si>
  <si>
    <t>third party medical billing software</t>
  </si>
  <si>
    <t>medical-billing/companies/iowa/davenport</t>
  </si>
  <si>
    <t>medical billing tools</t>
  </si>
  <si>
    <t>medical-billing/companies/iowa/des-moines</t>
  </si>
  <si>
    <t>comprehensive medical billing</t>
  </si>
  <si>
    <t>medical-billing/companies/kansas</t>
  </si>
  <si>
    <t>books needed for medical billing and coding</t>
  </si>
  <si>
    <t>medical-billing/companies/kentucky</t>
  </si>
  <si>
    <t>medical billing benefits</t>
  </si>
  <si>
    <t>medical-billing/companies/louisiana</t>
  </si>
  <si>
    <t>medical billing utah</t>
  </si>
  <si>
    <t>medical-billing/companies/maine/</t>
  </si>
  <si>
    <t>specialized medical billing</t>
  </si>
  <si>
    <t>medical-billing/companies/maine/bangor</t>
  </si>
  <si>
    <t>medical billing co</t>
  </si>
  <si>
    <t>medical-billing/companies/maine/lewiston</t>
  </si>
  <si>
    <t>medical billing lead</t>
  </si>
  <si>
    <t>medical-billing/companies/maine/portland</t>
  </si>
  <si>
    <t>resolve medical billing</t>
  </si>
  <si>
    <t>medical-billing/companies/maryland/</t>
  </si>
  <si>
    <t>medical shop billing software</t>
  </si>
  <si>
    <t>medical-billing/companies/maryland/baltimore</t>
  </si>
  <si>
    <t>best medical billing franchise</t>
  </si>
  <si>
    <t>medical-billing/companies/maryland/ellicot-city</t>
  </si>
  <si>
    <t>medical billing and coding companies in usa</t>
  </si>
  <si>
    <t>medical-billing/companies/maryland/germantown</t>
  </si>
  <si>
    <t>medical billing software new york</t>
  </si>
  <si>
    <t>medical-billing/companies/maryland/silver-spring</t>
  </si>
  <si>
    <t>ehr electronic medical billing software</t>
  </si>
  <si>
    <t>https://transcure.net/article/medical-billing-companies-massachusetts/</t>
  </si>
  <si>
    <t>medical-billing/companies/massachusetts/</t>
  </si>
  <si>
    <t>medical billing company ohio</t>
  </si>
  <si>
    <t>https://transcure.net/article/medical-billing-companies-boston/</t>
  </si>
  <si>
    <t>medical-billing/companies/massachusetts/boston</t>
  </si>
  <si>
    <t>medical billing houston</t>
  </si>
  <si>
    <t>medical-billing/companies/massachusetts/brockton</t>
  </si>
  <si>
    <t>medical records and billing software</t>
  </si>
  <si>
    <t>medical-billing/companies/massachusetts/cambridge</t>
  </si>
  <si>
    <t>medical billing services utah</t>
  </si>
  <si>
    <t>medical-billing/companies/massachusetts/lowell</t>
  </si>
  <si>
    <t>best medical coding and billing software</t>
  </si>
  <si>
    <t>medical-billing/companies/massachusetts/lynn</t>
  </si>
  <si>
    <t>medical billing company chicago</t>
  </si>
  <si>
    <t>medical-billing/companies/massachusetts/new-bedford</t>
  </si>
  <si>
    <t>precise medical billing</t>
  </si>
  <si>
    <t>medical-billing/companies/massachusetts/springfield</t>
  </si>
  <si>
    <t>arizona medical billing</t>
  </si>
  <si>
    <t>medical-billing/companies/massachusetts/worcestor</t>
  </si>
  <si>
    <t>medical billing quotes</t>
  </si>
  <si>
    <t>medical-billing/companies/michigan/</t>
  </si>
  <si>
    <t>medical billing software for psychologists</t>
  </si>
  <si>
    <t>medical-billing/companies/michigan/ann-arbor</t>
  </si>
  <si>
    <t>medical billing company in india</t>
  </si>
  <si>
    <t>medical-billing/companies/michigan/dearborn</t>
  </si>
  <si>
    <t>medical billing clearing houses</t>
  </si>
  <si>
    <t>medical-billing/companies/michigan/detroit</t>
  </si>
  <si>
    <t>medical billing and coding book</t>
  </si>
  <si>
    <t>medical-billing/companies/michigan/farmington</t>
  </si>
  <si>
    <t>medical billing company in miami</t>
  </si>
  <si>
    <t>medical-billing/companies/michigan/grand-rapids</t>
  </si>
  <si>
    <t>most used medical billing software</t>
  </si>
  <si>
    <t>medical-billing/companies/michigan/lansing</t>
  </si>
  <si>
    <t>medical claims billing services</t>
  </si>
  <si>
    <t>medical-billing/companies/michigan/livonia</t>
  </si>
  <si>
    <t>medical coding billing online</t>
  </si>
  <si>
    <t>medical-billing/companies/michigan/sterling-heights</t>
  </si>
  <si>
    <t>top 5 medical billing companies</t>
  </si>
  <si>
    <t>medical-billing/companies/michigan/wareen</t>
  </si>
  <si>
    <t>chiropractic medical billing company</t>
  </si>
  <si>
    <t>medical-billing/companies/minnesota/</t>
  </si>
  <si>
    <t>optima medical billing</t>
  </si>
  <si>
    <t>medical-billing/companies/minnesota/brooklyn-park</t>
  </si>
  <si>
    <t>outsourcing medical billing to india</t>
  </si>
  <si>
    <t>medical-billing/companies/minnesota/duluth</t>
  </si>
  <si>
    <t>medical billing services cary</t>
  </si>
  <si>
    <t>medical-billing/companies/minnesota/eagan</t>
  </si>
  <si>
    <t>medical billing and coding software cost</t>
  </si>
  <si>
    <t>medical-billing/companies/minnesota/lakeville</t>
  </si>
  <si>
    <t>efficient medical billing services</t>
  </si>
  <si>
    <t>medical-billing/companies/minnesota/maple-grove</t>
  </si>
  <si>
    <t>medical claim billing services</t>
  </si>
  <si>
    <t>medical-billing/companies/minnesota/minneapolis</t>
  </si>
  <si>
    <t>medical billing business franchise</t>
  </si>
  <si>
    <t>medical-billing/companies/minnesota/saint-paul</t>
  </si>
  <si>
    <t>medical billing consultancy services</t>
  </si>
  <si>
    <t>medical-billing/companies/minnesota/st-cloud</t>
  </si>
  <si>
    <t>medical billing companies ohio</t>
  </si>
  <si>
    <t>medical-billing/companies/mississippi</t>
  </si>
  <si>
    <t>medical billing phoenix</t>
  </si>
  <si>
    <t>medical-billing/companies/missouri/</t>
  </si>
  <si>
    <t>hepatology medical billing</t>
  </si>
  <si>
    <t>medical-billing/companies/missouri/kansas-city</t>
  </si>
  <si>
    <t>are medical billing franchises profitable</t>
  </si>
  <si>
    <t>medical-billing/companies/missouri/springfield</t>
  </si>
  <si>
    <t>medical billing companies houston tx</t>
  </si>
  <si>
    <t>medical-billing/companies/missouri/st-louis</t>
  </si>
  <si>
    <t>at home medical billing</t>
  </si>
  <si>
    <t>medical-billing/companies/montana/</t>
  </si>
  <si>
    <t>medical billing services atlanta</t>
  </si>
  <si>
    <t>medical-billing/companies/montana/billings</t>
  </si>
  <si>
    <t>rcm medical billing dermatology</t>
  </si>
  <si>
    <t>medical-billing/companies/montana/great-falls</t>
  </si>
  <si>
    <t>global medical billing</t>
  </si>
  <si>
    <t>medical-billing/companies/montana/missoula</t>
  </si>
  <si>
    <t>medical billing business cards</t>
  </si>
  <si>
    <t>medical-billing/companies/nebraska/</t>
  </si>
  <si>
    <t>medical billing services in los angeles ca</t>
  </si>
  <si>
    <t>medical-billing/companies/nebraska/bellevue</t>
  </si>
  <si>
    <t>free trial medical billing software</t>
  </si>
  <si>
    <t>medical-billing/companies/nebraska/lincoln</t>
  </si>
  <si>
    <t>ezclaim medical billing software</t>
  </si>
  <si>
    <t>medical-billing/companies/nebraska/omaha</t>
  </si>
  <si>
    <t>medical billing company united states</t>
  </si>
  <si>
    <t>medical-billing/companies/nephrology</t>
  </si>
  <si>
    <t>healthcare medical billing companies</t>
  </si>
  <si>
    <t>https://transcure.net/article/medical-billing-companies-nevada/</t>
  </si>
  <si>
    <t>medical-billing/companies/nevada/</t>
  </si>
  <si>
    <t>medical billing companies in dallas texas</t>
  </si>
  <si>
    <t>https://transcure.net/article/medical-billing-companies-las-vegas/</t>
  </si>
  <si>
    <t>medical-billing/companies/nevada/las-vegas</t>
  </si>
  <si>
    <t>medical billing software california</t>
  </si>
  <si>
    <t>medical-billing/companies/new-hampshire</t>
  </si>
  <si>
    <t>medical billing and coding business opportunities</t>
  </si>
  <si>
    <t>https://transcure.net/article/medical-billing-companies-in-new-jersey/</t>
  </si>
  <si>
    <t>medical-billing/companies/new-jersey</t>
  </si>
  <si>
    <t>medical billing company illinois</t>
  </si>
  <si>
    <t>medical-billing/companies/new-jersey/clifton</t>
  </si>
  <si>
    <t>medical billing companies in houston tx</t>
  </si>
  <si>
    <t>medical-billing/companies/new-jersey/hamilton-township</t>
  </si>
  <si>
    <t>medical billing service company</t>
  </si>
  <si>
    <t>medical-billing/companies/new-jersey/newwark</t>
  </si>
  <si>
    <t>based billing medical software window</t>
  </si>
  <si>
    <t>medical-billing/companies/new-jersey/passaic</t>
  </si>
  <si>
    <t>online college for medical billing and coding</t>
  </si>
  <si>
    <t>medical-billing/companies/new-jersey/peterson</t>
  </si>
  <si>
    <t>simple medical billing software</t>
  </si>
  <si>
    <t>medical-billing/companies/new-jersey/toms-river</t>
  </si>
  <si>
    <t>national medical billing services</t>
  </si>
  <si>
    <t>medical-billing/companies/new-jersey/trenton</t>
  </si>
  <si>
    <t>medical billing company in nj</t>
  </si>
  <si>
    <t>medical-billing/companies/new-jersey/union-city</t>
  </si>
  <si>
    <t>medical billing companies michigan</t>
  </si>
  <si>
    <t>medical-billing/companies/new-mexico</t>
  </si>
  <si>
    <t>medical billing services cherry hill nj</t>
  </si>
  <si>
    <t>https://transcure.net/article/top-medical-billing-companies-in-new-york/</t>
  </si>
  <si>
    <t>medical-billing/companies/new-york</t>
  </si>
  <si>
    <t>medical billing company new jersey</t>
  </si>
  <si>
    <t>Listicle: medical billing companies in Albany, NY</t>
  </si>
  <si>
    <t>medical-billing/companies/new-york/albany</t>
  </si>
  <si>
    <t>medical billing companies dallas tx</t>
  </si>
  <si>
    <t>medical billing companies in Jacksonville</t>
  </si>
  <si>
    <t>medical-billing/companies/new-york/buffalo</t>
  </si>
  <si>
    <t>medical billing baltimore</t>
  </si>
  <si>
    <t>medical-billing/companies/new-york/Hicksville</t>
  </si>
  <si>
    <t>software for medical coding and billing</t>
  </si>
  <si>
    <t>medical-billing/companies/new-york/Islip</t>
  </si>
  <si>
    <t>medical insurance billing services</t>
  </si>
  <si>
    <t>medical billing companies in new rochelle, ny</t>
  </si>
  <si>
    <t>medical-billing/companies/new-york/new-rochelle</t>
  </si>
  <si>
    <t>california healthcare medical billing</t>
  </si>
  <si>
    <t>medical billing companies in Rochester, NY</t>
  </si>
  <si>
    <t>medical-billing/companies/new-york/rochester</t>
  </si>
  <si>
    <t>california medical billing service</t>
  </si>
  <si>
    <t>medical billing companies in yonkers, ny</t>
  </si>
  <si>
    <t>medical-billing/companies/new-york/yonkers</t>
  </si>
  <si>
    <t>medical billing logo</t>
  </si>
  <si>
    <t>medical-billing/companies/north-carolina</t>
  </si>
  <si>
    <t>medical billing and coding software reviews</t>
  </si>
  <si>
    <t>medical-billing/companies/north-carolina/Charlotte</t>
  </si>
  <si>
    <t>medical-billing/companies/north-carolina/Raleigh</t>
  </si>
  <si>
    <t>medical-billing/companies/north-dakota/</t>
  </si>
  <si>
    <t>medical billing for cardiology</t>
  </si>
  <si>
    <t>medical-billing/companies/north-dakota/bismarck</t>
  </si>
  <si>
    <t>united medical billing</t>
  </si>
  <si>
    <t>medical-billing/companies/north-dakota/fargo</t>
  </si>
  <si>
    <t>medical billing clearinghouse software</t>
  </si>
  <si>
    <t>medical-billing/companies/north-dakota/grand-forks</t>
  </si>
  <si>
    <t>medical billing companies in united states</t>
  </si>
  <si>
    <t>medical-billing/companies/ohio</t>
  </si>
  <si>
    <t>medical billing companies las vegas</t>
  </si>
  <si>
    <t>medical-billing/companies/ohio/cincinnati</t>
  </si>
  <si>
    <t>ca medical billing</t>
  </si>
  <si>
    <t>medical-billing/companies/ohio/cleveland</t>
  </si>
  <si>
    <t>outsourced medical billing company</t>
  </si>
  <si>
    <t>medical billing services of america</t>
  </si>
  <si>
    <t>medical-billing/companies/ohio/columbus</t>
  </si>
  <si>
    <t>medical billing partners</t>
  </si>
  <si>
    <t>medical-billing/companies/oklahoma/</t>
  </si>
  <si>
    <t>medical billing and coding software free</t>
  </si>
  <si>
    <t>medical-billing/companies/oklahoma/norman</t>
  </si>
  <si>
    <t>access medical billing</t>
  </si>
  <si>
    <t>medical-billing/companies/oklahoma/oklahoma-city</t>
  </si>
  <si>
    <t>curemd medical billing</t>
  </si>
  <si>
    <t>medical-billing/companies/oklahoma/tulsa</t>
  </si>
  <si>
    <t>medical billing and coding logo</t>
  </si>
  <si>
    <t>medical-billing/companies/oncology</t>
  </si>
  <si>
    <t>medical billing las vegas</t>
  </si>
  <si>
    <t>medical-billing/companies/oregon</t>
  </si>
  <si>
    <t xml:space="preserve">medical-billing/companies/oregon </t>
  </si>
  <si>
    <t>eclipse medical billing software</t>
  </si>
  <si>
    <t>medical-billing/companies/pain-management</t>
  </si>
  <si>
    <t>medical billing platform</t>
  </si>
  <si>
    <t>https://transcure.net/article/medical-billing-companies-in-pennsylvania/</t>
  </si>
  <si>
    <t>medical-billing/companies/pennsylvania</t>
  </si>
  <si>
    <t>medical billing nj</t>
  </si>
  <si>
    <t>medical-billing/companies/pennsylvania/allentown</t>
  </si>
  <si>
    <t>most popular medical billing software</t>
  </si>
  <si>
    <t>medical-billing/companies/pennsylvania/bethlehem</t>
  </si>
  <si>
    <t>medical billing company in us</t>
  </si>
  <si>
    <t>medical-billing/companies/pennsylvania/erie</t>
  </si>
  <si>
    <t>durable medical equipment billing companies</t>
  </si>
  <si>
    <t>medical-billing/companies/pennsylvania/harrisburg</t>
  </si>
  <si>
    <t>top rated medical billing software</t>
  </si>
  <si>
    <t>medical-billing/companies/pennsylvania/lancaster</t>
  </si>
  <si>
    <t>medical billing marketing strategies</t>
  </si>
  <si>
    <t>https://transcure.net/article/medical-billing-companies-in-philadelphia/</t>
  </si>
  <si>
    <t>medical-billing/companies/pennsylvania/philadelphia</t>
  </si>
  <si>
    <t>medical billing review</t>
  </si>
  <si>
    <t>https://transcure.net/article/medical-billing-companies-pittsburgh-pa/</t>
  </si>
  <si>
    <t>medical-billing/companies/pennsylvania/pittsburgh</t>
  </si>
  <si>
    <t>medical billing companies in chennai</t>
  </si>
  <si>
    <t>medical-billing/companies/pennsylvania/scranton</t>
  </si>
  <si>
    <t>medical billing companies chicago</t>
  </si>
  <si>
    <t>medical-billing/companies/podiatry</t>
  </si>
  <si>
    <t>medical billing colorado</t>
  </si>
  <si>
    <t>medical-billing/companies/rhode-island</t>
  </si>
  <si>
    <t>kareo medical billing franchise</t>
  </si>
  <si>
    <t>medical-billing/companies/rhode-island/</t>
  </si>
  <si>
    <t>medical billing companies in tampa florida</t>
  </si>
  <si>
    <t>medical-billing/companies/rhode-island/cranston</t>
  </si>
  <si>
    <t>billing medical practice software</t>
  </si>
  <si>
    <t>medical-billing/companies/rhode-island/providence</t>
  </si>
  <si>
    <t>medical billing services cost</t>
  </si>
  <si>
    <t>medical-billing/companies/rhode-island/warwick</t>
  </si>
  <si>
    <t>medical billing firms</t>
  </si>
  <si>
    <t>medical-billing/companies/south-carolina/</t>
  </si>
  <si>
    <t>medical billing companies in southern california</t>
  </si>
  <si>
    <t>medical-billing/companies/south-carolina/charleston</t>
  </si>
  <si>
    <t>medical billing services fees</t>
  </si>
  <si>
    <t>medical-billing/companies/south-carolina/columbia</t>
  </si>
  <si>
    <t>medical billing softwares list</t>
  </si>
  <si>
    <t>medical-billing/companies/south-carolina/north-charleston</t>
  </si>
  <si>
    <t>top-rated medical billing software</t>
  </si>
  <si>
    <t>medical-billing/companies/south-dakota/</t>
  </si>
  <si>
    <t>ams medical billing</t>
  </si>
  <si>
    <t>medical-billing/companies/south-dakota/aberdeen</t>
  </si>
  <si>
    <t>medical billing software free trial</t>
  </si>
  <si>
    <t>medical-billing/companies/south-dakota/rapid-city</t>
  </si>
  <si>
    <t>core medical billing</t>
  </si>
  <si>
    <t>medical-billing/companies/south-dakota/sioux-falls</t>
  </si>
  <si>
    <t>medical billing in maryland</t>
  </si>
  <si>
    <t>medical-billing/companies/tennessee/</t>
  </si>
  <si>
    <t>medical billing services houston tx</t>
  </si>
  <si>
    <t>medical-billing/companies/tennessee/chattanooga</t>
  </si>
  <si>
    <t>los angeles medical billing</t>
  </si>
  <si>
    <t>medical-billing/companies/tennessee/clarksville</t>
  </si>
  <si>
    <t>medical billing companies in indiana</t>
  </si>
  <si>
    <t>medical-billing/companies/tennessee/franklin</t>
  </si>
  <si>
    <t>medical billing delaware</t>
  </si>
  <si>
    <t>medical-billing/companies/tennessee/jackson</t>
  </si>
  <si>
    <t>medical billing companies in chicago</t>
  </si>
  <si>
    <t>medical-billing/companies/tennessee/johnson-city</t>
  </si>
  <si>
    <t>medical billing services north carolina</t>
  </si>
  <si>
    <t>medical-billing/companies/tennessee/knoxville</t>
  </si>
  <si>
    <t>medical billing diploma online</t>
  </si>
  <si>
    <t>medical-billing/companies/tennessee/memphis</t>
  </si>
  <si>
    <t>medical billing and coding online degrees</t>
  </si>
  <si>
    <t>medical-billing/companies/tennessee/murfreesboro</t>
  </si>
  <si>
    <t>advancedmd medical billing</t>
  </si>
  <si>
    <t>medical-billing/companies/tennessee/nashville</t>
  </si>
  <si>
    <t>efficient medical billing</t>
  </si>
  <si>
    <t>https://transcure.net/article/top-5-medical-billing-companies-in-texas/</t>
  </si>
  <si>
    <t>medical-billing/companies/texas</t>
  </si>
  <si>
    <t>full services medical billing services</t>
  </si>
  <si>
    <t>medical-billing/companies/texas/arlington</t>
  </si>
  <si>
    <t>medical billing company list</t>
  </si>
  <si>
    <t>https://transcure.net/article/medical-billing-companies-austin-tx/</t>
  </si>
  <si>
    <t>medical-billing/companies/texas/austin</t>
  </si>
  <si>
    <t>outsource medical billing companies</t>
  </si>
  <si>
    <t>medical-billing/companies/texas/corpus-christi</t>
  </si>
  <si>
    <t>massachusetts medical billing</t>
  </si>
  <si>
    <t>https://transcure.net/article/medical-billing-companies-dallas-tx/</t>
  </si>
  <si>
    <t>medical-billing/companies/texas/dallas</t>
  </si>
  <si>
    <t>behavioral health medical billing software</t>
  </si>
  <si>
    <t>https://transcure.net/article/medical-billing-companies-el-paso-tx/</t>
  </si>
  <si>
    <t>medical-billing/companies/texas/el-paso</t>
  </si>
  <si>
    <t>medical billing companies new jersey</t>
  </si>
  <si>
    <t>best medical billing companies in forth worth, tx</t>
  </si>
  <si>
    <t>medical-billing/companies/texas/fort-worth</t>
  </si>
  <si>
    <t>how much does medical billing software cost</t>
  </si>
  <si>
    <t>https://transcure.net/article/medical-billing-companies-in-houston-tx/</t>
  </si>
  <si>
    <t>medical-billing/companies/texas/houston</t>
  </si>
  <si>
    <t>medical claim billing software</t>
  </si>
  <si>
    <t xml:space="preserve"> medical-billing/companies/texas/plano</t>
  </si>
  <si>
    <t>medical-billing/companies/texas/plano</t>
  </si>
  <si>
    <t>medical billing outsource companies</t>
  </si>
  <si>
    <t>https://transcure.net/article/medical-billing-companies-san-antonio-texas/</t>
  </si>
  <si>
    <t>medical-billing/companies/texas/san-antonio</t>
  </si>
  <si>
    <t>medical billing company miami</t>
  </si>
  <si>
    <t>medical-billing/companies/utah/</t>
  </si>
  <si>
    <t>medical billing apps</t>
  </si>
  <si>
    <t>medical-billing/companies/utah/provo</t>
  </si>
  <si>
    <t>california medical billing software</t>
  </si>
  <si>
    <t>medical-billing/companies/utah/salt-lake-city</t>
  </si>
  <si>
    <t>medical billing software florida</t>
  </si>
  <si>
    <t>medical-billing/companies/utah/west-valley-city</t>
  </si>
  <si>
    <t>medical billing and coding companies in nj</t>
  </si>
  <si>
    <t>medical-billing/companies/vermont/</t>
  </si>
  <si>
    <t>medical coding and billing online degree</t>
  </si>
  <si>
    <t>medical-billing/companies/vermont/burlington</t>
  </si>
  <si>
    <t>medical transportation billing software</t>
  </si>
  <si>
    <t>medical-billing/companies/vermont/rutland</t>
  </si>
  <si>
    <t>study guide for medical billing and coding</t>
  </si>
  <si>
    <t>medical-billing/companies/vermont/south-burlington</t>
  </si>
  <si>
    <t>medical billing and coding franchise</t>
  </si>
  <si>
    <t>medical-billing/companies/virginia/</t>
  </si>
  <si>
    <t>medical claim billing service</t>
  </si>
  <si>
    <t>outsource medical billing cost</t>
  </si>
  <si>
    <t>medical coding and billing books</t>
  </si>
  <si>
    <t>medical-billing/companies/virginia/alexandria</t>
  </si>
  <si>
    <t>medical billing services las vegas</t>
  </si>
  <si>
    <t>medical-billing/companies/virginia/beach</t>
  </si>
  <si>
    <t>how much is medical billing and coding</t>
  </si>
  <si>
    <t>medical-billing/companies/virginia/chesapeake</t>
  </si>
  <si>
    <t>medical billing software for doctors</t>
  </si>
  <si>
    <t>medical billing opportunity reviews</t>
  </si>
  <si>
    <t>medical-billing/companies/virginia/hampton</t>
  </si>
  <si>
    <t>ecw medical billing software</t>
  </si>
  <si>
    <t>medical-billing/companies/virginia/newport-news</t>
  </si>
  <si>
    <t>medical billing franchises</t>
  </si>
  <si>
    <t>medical-billing/companies/virginia/norfolk</t>
  </si>
  <si>
    <t>medical billing franchise opportunities</t>
  </si>
  <si>
    <t>tuition for medical billing and coding</t>
  </si>
  <si>
    <t>medical-billing/companies/virginia/portsmouth</t>
  </si>
  <si>
    <t>medical billing and coding softwares</t>
  </si>
  <si>
    <t>medical-billing/companies/virginia/richmond</t>
  </si>
  <si>
    <t>medical billing company pennsylvania</t>
  </si>
  <si>
    <t>medical-billing/companies/virginia/roanke</t>
  </si>
  <si>
    <t>medical billing claims software</t>
  </si>
  <si>
    <t>medical-billing/companies/virginia/virginia-beach</t>
  </si>
  <si>
    <t>advancedmd medical billing services</t>
  </si>
  <si>
    <t>medical-billing/companies/washington-dc</t>
  </si>
  <si>
    <t>offshore medical billing services</t>
  </si>
  <si>
    <t>medical-billing/companies/washington/</t>
  </si>
  <si>
    <t>medical billing &amp; coding online</t>
  </si>
  <si>
    <t>medical-billing/companies/washington/seattle</t>
  </si>
  <si>
    <t>medical insurance billing company</t>
  </si>
  <si>
    <t>medical-billing/companies/washington/spokane</t>
  </si>
  <si>
    <t>medical billing process outsourcing</t>
  </si>
  <si>
    <t>medical-billing/companies/washington/tacoma</t>
  </si>
  <si>
    <t>medical coding and billing study guide</t>
  </si>
  <si>
    <t>medical-billing/companies/west-virginia/</t>
  </si>
  <si>
    <t>medical transcription billing company</t>
  </si>
  <si>
    <t>medical-billing/companies/west-virginia/charleston</t>
  </si>
  <si>
    <t>online degree for medical billing and coding</t>
  </si>
  <si>
    <t>medical-billing/companies/west-virginia/huntington</t>
  </si>
  <si>
    <t>omni medical billing</t>
  </si>
  <si>
    <t>medical-billing/companies/west-virginia/morgantown</t>
  </si>
  <si>
    <t>new jersey medical billing</t>
  </si>
  <si>
    <t>medical-billing/companies/wisconsin/</t>
  </si>
  <si>
    <t>medical billing applications</t>
  </si>
  <si>
    <t>medical-billing/companies/wisconsin/green-bay</t>
  </si>
  <si>
    <t>medical billing companies in pa</t>
  </si>
  <si>
    <t>medical-billing/companies/wisconsin/madison</t>
  </si>
  <si>
    <t>mental health medical billing services</t>
  </si>
  <si>
    <t>medical-billing/companies/wisconsin/milwaukee</t>
  </si>
  <si>
    <t>medical billing company michigan</t>
  </si>
  <si>
    <t>medical-billing/companies/wyoming/</t>
  </si>
  <si>
    <t>lytec medical billing software price</t>
  </si>
  <si>
    <t>medical-billing/companies/wyoming/casper</t>
  </si>
  <si>
    <t>medical billing online degrees</t>
  </si>
  <si>
    <t>medical-billing/companies/wyoming/cheyenne</t>
  </si>
  <si>
    <t>medical billing projects outsourcing</t>
  </si>
  <si>
    <t>medical-billing/companies/wyoming/laramie</t>
  </si>
  <si>
    <t>acs medical billing</t>
  </si>
  <si>
    <r>
      <rPr>
        <color rgb="FF1155CC"/>
        <sz val="10.0"/>
        <u/>
      </rPr>
      <t>https://transcure.net/medical-billing-costs/</t>
    </r>
  </si>
  <si>
    <t>medical-billing/costs</t>
  </si>
  <si>
    <t>medical billing and coding books 2020</t>
  </si>
  <si>
    <t>https://transcure.net/endocrinology-billing-services-by-transcure/</t>
  </si>
  <si>
    <t>Medical-billing/endocrinology</t>
  </si>
  <si>
    <t>medical billing software mac</t>
  </si>
  <si>
    <r>
      <rPr>
        <color rgb="FF1155CC"/>
        <sz val="10.0"/>
        <u/>
      </rPr>
      <t>https://transcure.net/how-to-choose-medical-billing-services-florida/</t>
    </r>
  </si>
  <si>
    <t>Medical-billing/florida-choose-best/</t>
  </si>
  <si>
    <t>quality medical billing</t>
  </si>
  <si>
    <t>https://transcure.net/article/florida-medical-billing-laws/</t>
  </si>
  <si>
    <t>medical-billing/florida-laws</t>
  </si>
  <si>
    <t>medical billing website templates</t>
  </si>
  <si>
    <t>X Common Insurances in USA</t>
  </si>
  <si>
    <t>Medical-billing/insurances/</t>
  </si>
  <si>
    <t>medisoft medical billing software pricing</t>
  </si>
  <si>
    <t>https://transcure.net/medicare-reimbursement/</t>
  </si>
  <si>
    <t>Medical-billing/insurances/medicare</t>
  </si>
  <si>
    <t>medical billing services for physicians</t>
  </si>
  <si>
    <r>
      <rPr>
        <color rgb="FF1155CC"/>
        <sz val="10.0"/>
        <u/>
      </rPr>
      <t>https://transcure.net/medicare-fee-schedule-lookup/</t>
    </r>
  </si>
  <si>
    <t>Medical-billing/insurances/medicare/fee-schedule</t>
  </si>
  <si>
    <t>medical billing services indiana</t>
  </si>
  <si>
    <r>
      <rPr>
        <color rgb="FF1155CC"/>
        <sz val="10.0"/>
        <u/>
      </rPr>
      <t>https://transcure.net/mips-medicare-reporting-after-deadline/</t>
    </r>
  </si>
  <si>
    <t>Medical-billing/insurances/medicare/mips-reporting</t>
  </si>
  <si>
    <t>integrated medical billing software</t>
  </si>
  <si>
    <r>
      <rPr>
        <color rgb="FF1155CC"/>
        <sz val="10.0"/>
        <u/>
      </rPr>
      <t>https://transcure.net/new-jersey-balance-billing-law/</t>
    </r>
  </si>
  <si>
    <t>medical-billing/new-jersey-laws-balance-billing/</t>
  </si>
  <si>
    <t>gottlieb medical billing</t>
  </si>
  <si>
    <r>
      <rPr>
        <color rgb="FF1155CC"/>
        <sz val="10.0"/>
        <u/>
      </rPr>
      <t>https://transcure.net/medical-billing-new-jersey-guide/</t>
    </r>
  </si>
  <si>
    <t>medical-billing/new-jersey-laws/</t>
  </si>
  <si>
    <t>premier medical billing</t>
  </si>
  <si>
    <r>
      <rPr>
        <color rgb="FF1155CC"/>
        <sz val="10.0"/>
        <u/>
      </rPr>
      <t>https://transcure.net/how-to-choose-medical-billing-company-new-york-guide/</t>
    </r>
  </si>
  <si>
    <t>Medical-billing/new-york-choose-best/</t>
  </si>
  <si>
    <t>abc medical billing</t>
  </si>
  <si>
    <t>https://transcure.net/billing-for-non-credentialed-physicians/</t>
  </si>
  <si>
    <t>medical-billing/non-credentialed-physicians</t>
  </si>
  <si>
    <t>medex medical billing</t>
  </si>
  <si>
    <r>
      <rPr>
        <color rgb="FF1155CC"/>
        <sz val="10.0"/>
        <u/>
      </rPr>
      <t>https://transcure.net/medical-billing-outsourcing-guide/</t>
    </r>
  </si>
  <si>
    <t>medical-billing/outsource</t>
  </si>
  <si>
    <t>medical billing houston tx</t>
  </si>
  <si>
    <r>
      <rPr>
        <color rgb="FF1155CC"/>
        <sz val="10.0"/>
        <u/>
      </rPr>
      <t>https://transcure.net/medical-billing-company-in-new-jersey/</t>
    </r>
  </si>
  <si>
    <r>
      <rPr>
        <color rgb="FF1155CC"/>
        <sz val="10.0"/>
        <u/>
      </rPr>
      <t>https://transcure.net/best-medical-practice-management-a-comprehensive-guide/</t>
    </r>
  </si>
  <si>
    <t>medical-billing/practice-management</t>
  </si>
  <si>
    <t>careerstep medical billing and coding</t>
  </si>
  <si>
    <t>https://transcure.net/predictive-analytics-healthcare/</t>
  </si>
  <si>
    <t>Medical-billing/predictive-analytics</t>
  </si>
  <si>
    <t>billing management medical software</t>
  </si>
  <si>
    <t>https://transcure.net/primary-care-billing-transcure/</t>
  </si>
  <si>
    <t>Medical-billing/primary-care</t>
  </si>
  <si>
    <t>medical billing negotiator</t>
  </si>
  <si>
    <t>https://transcure.net/revenue-cycle-management-in-healthcare/</t>
  </si>
  <si>
    <t>Medical-billing/rcm</t>
  </si>
  <si>
    <t>best books for medical billing and coding</t>
  </si>
  <si>
    <t>/ar-management-for-medical-group-practices/</t>
  </si>
  <si>
    <t>Medical-billing/services/ar-management</t>
  </si>
  <si>
    <t>medical billing and coding software</t>
  </si>
  <si>
    <t>/laboratory-billing/</t>
  </si>
  <si>
    <t>Medical-billing/services/laboratory</t>
  </si>
  <si>
    <t>outsourcing medical billing</t>
  </si>
  <si>
    <t>/medical-transcription-services/</t>
  </si>
  <si>
    <t>Medical-billing/services/medical-transcription</t>
  </si>
  <si>
    <t>/pricing/</t>
  </si>
  <si>
    <t>Medical-billing/services/pricing</t>
  </si>
  <si>
    <t>lab medical billing</t>
  </si>
  <si>
    <t>Medical-billing/services/revenue-audit</t>
  </si>
  <si>
    <t>outsource medical billing</t>
  </si>
  <si>
    <t>/rpa/</t>
  </si>
  <si>
    <t>Medical-billing/services/rpa</t>
  </si>
  <si>
    <t>/states/</t>
  </si>
  <si>
    <t>Medical-billing/services/states</t>
  </si>
  <si>
    <t>physician medical billing</t>
  </si>
  <si>
    <t>/states/medical-billing-services-in-california/</t>
  </si>
  <si>
    <t>Medical-billing/services/states/California</t>
  </si>
  <si>
    <t>dermatology medical billing services</t>
  </si>
  <si>
    <t>/states/medical-billing-services-in-delaware/</t>
  </si>
  <si>
    <t>Medical-billing/services/states/delaware</t>
  </si>
  <si>
    <t>medical billing company in texas</t>
  </si>
  <si>
    <t>/states/medical-billing-company-in-florida/</t>
  </si>
  <si>
    <t>Medical-billing/services/states/florida</t>
  </si>
  <si>
    <t>medical billing accounting software</t>
  </si>
  <si>
    <t>/states/medical-billing-services-in-new-jersey/</t>
  </si>
  <si>
    <t>Medical-billing/services/states/new-jersey</t>
  </si>
  <si>
    <t>ophthalmology medical billing services</t>
  </si>
  <si>
    <t>/states/medical-billing-services-in-new-york/</t>
  </si>
  <si>
    <t>Medical-billing/services/states/new-york</t>
  </si>
  <si>
    <t>outsource medical billing company</t>
  </si>
  <si>
    <t>/states/medical-billing-services-in-pennsylvania/</t>
  </si>
  <si>
    <t>Medical-billing/services/states/pennsylvania</t>
  </si>
  <si>
    <t>medical billing clearinghouse services</t>
  </si>
  <si>
    <t>/states/medical-billing-company-texas/</t>
  </si>
  <si>
    <t>Medical-billing/services/states/texas</t>
  </si>
  <si>
    <t>top 10 medical billing software</t>
  </si>
  <si>
    <t>/testimonials/</t>
  </si>
  <si>
    <t>Medical-billing/services/testmonials</t>
  </si>
  <si>
    <t>medical billing company usa</t>
  </si>
  <si>
    <t>Medical-billing/software/</t>
  </si>
  <si>
    <t>first choice medical billing</t>
  </si>
  <si>
    <t>https://transcure.net/eclinicalworks-emr-boost-your-revenue/</t>
  </si>
  <si>
    <t>Medical-billing/software/eclinicalworks</t>
  </si>
  <si>
    <t>medical billing companies charlotte nc</t>
  </si>
  <si>
    <t>web-based medical billing software</t>
  </si>
  <si>
    <r>
      <rPr>
        <color rgb="FF1155CC"/>
        <sz val="10.0"/>
        <u/>
      </rPr>
      <t>https://transcure.net/5-best-electronic-health-records-for-asc-medical-billing/</t>
    </r>
  </si>
  <si>
    <t>Medical-billing/software/ehr/asc</t>
  </si>
  <si>
    <t>books on medical billing</t>
  </si>
  <si>
    <t>Medical-billing/software/emr/</t>
  </si>
  <si>
    <t>electronic billing medical</t>
  </si>
  <si>
    <r>
      <rPr>
        <color rgb="FF1155CC"/>
        <sz val="10.0"/>
        <u/>
      </rPr>
      <t>https://transcure.net/advanced-md-ehr/</t>
    </r>
  </si>
  <si>
    <t>Medical-billing/software/emr/advancedmd</t>
  </si>
  <si>
    <t>ads medical billing software</t>
  </si>
  <si>
    <t>Medical-billing/software/emr/amazing-charts</t>
  </si>
  <si>
    <t>business options medical billing</t>
  </si>
  <si>
    <r>
      <rPr>
        <color rgb="FF1155CC"/>
        <sz val="10.0"/>
        <u/>
      </rPr>
      <t>https://transcure.net/athenahealth-billing-services-a-complete-guide/</t>
    </r>
  </si>
  <si>
    <t>Medical-billing/software/emr/athenahealth/</t>
  </si>
  <si>
    <t>idx medical billing software</t>
  </si>
  <si>
    <r>
      <rPr>
        <color rgb="FF1155CC"/>
        <sz val="10.0"/>
        <u/>
      </rPr>
      <t>https://transcure.net/top-emr-systems-in-the-usa/</t>
    </r>
  </si>
  <si>
    <t>Medical-billing/software/emr/best</t>
  </si>
  <si>
    <t>pa medical billing</t>
  </si>
  <si>
    <t>Medical-billing/software/emr/best-aesthetics</t>
  </si>
  <si>
    <t>Medical-billing/software/emr/best-asc</t>
  </si>
  <si>
    <t>Medical-billing/software/emr/best-cardiology</t>
  </si>
  <si>
    <t>Medical-billing/software/emr/best-dental</t>
  </si>
  <si>
    <t>medical billing business opportunities</t>
  </si>
  <si>
    <t>Medical-billing/software/emr/best-dermatology</t>
  </si>
  <si>
    <t>Medical-billing/software/emr/best-family-practice</t>
  </si>
  <si>
    <t>Medical-billing/software/emr/best-gastroenterology</t>
  </si>
  <si>
    <t>Medical-billing/software/emr/best-home-health-care</t>
  </si>
  <si>
    <t>Medical-billing/software/emr/best-hospital</t>
  </si>
  <si>
    <t>Medical-billing/software/emr/best-integrative-medicine</t>
  </si>
  <si>
    <t>Medical-billing/software/emr/best-internal-medicine</t>
  </si>
  <si>
    <t>Medical-billing/software/emr/best-mental-health</t>
  </si>
  <si>
    <t>Medical-billing/software/emr/best-nephrology</t>
  </si>
  <si>
    <t>Medical-billing/software/emr/best-neurology</t>
  </si>
  <si>
    <t>Medical-billing/software/emr/best-nutritionist</t>
  </si>
  <si>
    <t>Medical-billing/software/emr/best-obgyn</t>
  </si>
  <si>
    <t>Medical-billing/software/emr/best-oncology</t>
  </si>
  <si>
    <t>Medical-billing/software/emr/best-ophthalmology</t>
  </si>
  <si>
    <t>Medical-billing/software/emr/best-optometry</t>
  </si>
  <si>
    <t>Medical-billing/software/emr/best-orthopedics</t>
  </si>
  <si>
    <t>Medical-billing/software/emr/best-otolaryngology</t>
  </si>
  <si>
    <t>Medical-billing/software/emr/best-pain-management</t>
  </si>
  <si>
    <t>Medical-billing/software/emr/best-pathology</t>
  </si>
  <si>
    <t>Medical-billing/software/emr/best-pediatrics</t>
  </si>
  <si>
    <t>Medical-billing/software/emr/best-plastic-surgery</t>
  </si>
  <si>
    <t>cosmetic surgery</t>
  </si>
  <si>
    <t>Medical-billing/software/emr/best-podiatry</t>
  </si>
  <si>
    <t>medical billing and coding self study books</t>
  </si>
  <si>
    <t>Medical-billing/software/emr/best-primary-care</t>
  </si>
  <si>
    <t>Medical-billing/software/emr/best-psychiatry</t>
  </si>
  <si>
    <t>Medical-billing/software/emr/best-radiology</t>
  </si>
  <si>
    <t>Medical-billing/software/emr/best-rural-health</t>
  </si>
  <si>
    <t>Medical-billing/software/emr/best-small-practice</t>
  </si>
  <si>
    <t>independent practice, small clinics</t>
  </si>
  <si>
    <t>acom medical billing</t>
  </si>
  <si>
    <t>Medical-billing/software/emr/best-telehealth</t>
  </si>
  <si>
    <t>Medical-billing/software/emr/best-telemedicine</t>
  </si>
  <si>
    <t>Medical-billing/software/emr/best-urgent-care</t>
  </si>
  <si>
    <t>Medical-billing/software/emr/best-uruology</t>
  </si>
  <si>
    <t>Medical-billing/software/emr/carecloud</t>
  </si>
  <si>
    <t>medical billing companies georgia</t>
  </si>
  <si>
    <t>Medical-billing/software/emr/Cerner-health</t>
  </si>
  <si>
    <t>medical billing companies in charlotte nc</t>
  </si>
  <si>
    <r>
      <rPr>
        <color rgb="FF1155CC"/>
        <sz val="10.0"/>
        <u/>
      </rPr>
      <t>https://transcure.net/ecw-health-portal/</t>
    </r>
  </si>
  <si>
    <t>Medical-billing/software/emr/eclinicalworks/health-portal</t>
  </si>
  <si>
    <t>medical billing services south jersey</t>
  </si>
  <si>
    <r>
      <rPr>
        <color rgb="FF1155CC"/>
        <sz val="10.0"/>
        <u/>
      </rPr>
      <t>https://transcure.net/request-authorizations-in-eclinicalworks-software/</t>
    </r>
  </si>
  <si>
    <t>Medical-billing/software/emr/eclinicalworks/request-authrization</t>
  </si>
  <si>
    <t>Medical-billing/services/emr/Athenahealth</t>
  </si>
  <si>
    <t>ed2go reviews medical billing and coding</t>
  </si>
  <si>
    <t>https://transcure.net/ecw-software-and-sunoh-ai-bringing-revolution/</t>
  </si>
  <si>
    <t>Medical-billing/software/emr/eclinicalworks/sunoh-ai</t>
  </si>
  <si>
    <t>cerner medical billing software</t>
  </si>
  <si>
    <r>
      <rPr>
        <color rgb="FF1155CC"/>
        <sz val="10.0"/>
        <u/>
      </rPr>
      <t>https://transcure.net/eclinical-emr-v12/</t>
    </r>
  </si>
  <si>
    <t>Medical-billing/software/emr/eclinicalworks/v12</t>
  </si>
  <si>
    <t>medical billing consultants in usa</t>
  </si>
  <si>
    <r>
      <rPr>
        <color rgb="FF1155CC"/>
        <sz val="10.0"/>
        <u/>
      </rPr>
      <t>https://transcure.net/epic-ehr-system-benefits/</t>
    </r>
  </si>
  <si>
    <t>Medical-billing/software/emr/epic/</t>
  </si>
  <si>
    <t>medical billing denver</t>
  </si>
  <si>
    <r>
      <rPr>
        <color rgb="FF1155CC"/>
        <sz val="10.0"/>
        <u/>
      </rPr>
      <t>https://transcure.net/epic-healthcare-software/</t>
    </r>
  </si>
  <si>
    <t>dme medical billing service</t>
  </si>
  <si>
    <r>
      <rPr>
        <color rgb="FF1155CC"/>
        <sz val="10.0"/>
        <u/>
      </rPr>
      <t>https://transcure.net/ai-coding-feature-in-the-epic-emr-system/</t>
    </r>
  </si>
  <si>
    <t>Medical-billing/software/emr/epic/ai-coding</t>
  </si>
  <si>
    <t>Medical-billing/software/emr/multi-specialty</t>
  </si>
  <si>
    <t>career step medical billing</t>
  </si>
  <si>
    <t>Medical-billing/software/emr/ICANotes</t>
  </si>
  <si>
    <t>list of medical billing companies in india</t>
  </si>
  <si>
    <t>Medical-billing/software/emr/Kareo</t>
  </si>
  <si>
    <t>medical billing rate</t>
  </si>
  <si>
    <t>Medical-billing/software/emr/medisoft</t>
  </si>
  <si>
    <t>medical coding and billing book</t>
  </si>
  <si>
    <r>
      <rPr>
        <color rgb="FF1155CC"/>
        <sz val="10.0"/>
        <u/>
      </rPr>
      <t>https://transcure.net/nextgen-rcm-for-small-practices/</t>
    </r>
  </si>
  <si>
    <t>Medical-billing/software/emr/nextgen</t>
  </si>
  <si>
    <t>medical billing &amp; collection</t>
  </si>
  <si>
    <t>career step medical coding and billing</t>
  </si>
  <si>
    <t>Medical-billing/software/emr/NextGen-Healthcare</t>
  </si>
  <si>
    <t>medical billing and coding books for dummies</t>
  </si>
  <si>
    <r>
      <rPr>
        <color rgb="FF1155CC"/>
        <sz val="10.0"/>
        <u/>
      </rPr>
      <t>https://transcure.net/gastro-suite-in-nextgen-medical-billing-software/</t>
    </r>
  </si>
  <si>
    <t>Medical-billing/software/emr/nextgen/gastro-suite</t>
  </si>
  <si>
    <t>medical equipment billing software</t>
  </si>
  <si>
    <t>https://transcure.net/practice-fusion-emr-with-rpm/</t>
  </si>
  <si>
    <t>Medical-billing/software/emr/practice-fusion</t>
  </si>
  <si>
    <t>medical billing supplies</t>
  </si>
  <si>
    <t>Medical-billing/software/emr/prognocis</t>
  </si>
  <si>
    <t>elite medical billing and practice management</t>
  </si>
  <si>
    <t>https://transcure.net/allscripts-rcm-transforms-into-veradigm/</t>
  </si>
  <si>
    <t>Medical-billing/software/emr/Veradigm</t>
  </si>
  <si>
    <t>medical billing in arizona</t>
  </si>
  <si>
    <r>
      <rPr>
        <color rgb="FF1155CC"/>
        <sz val="10.0"/>
        <u/>
      </rPr>
      <t>https://transcure.net/invoice-billing-process-via-epic-medical-software/</t>
    </r>
  </si>
  <si>
    <t>Medical-billing/software/epic/invoicing</t>
  </si>
  <si>
    <t>medical billing companies in ct</t>
  </si>
  <si>
    <t>https://transcure.net/practice-fusion-emr/</t>
  </si>
  <si>
    <t>Medical-billing/software/practise-fusion</t>
  </si>
  <si>
    <t>electronic medical records billing software</t>
  </si>
  <si>
    <r>
      <rPr>
        <color rgb="FF1155CC"/>
        <sz val="10.0"/>
        <u/>
      </rPr>
      <t>https://transcure.net/medical-billing-solutions-complete-guide/</t>
    </r>
  </si>
  <si>
    <t>medical billing sheets</t>
  </si>
  <si>
    <t>https://transcure.net/texas-medical-billing/</t>
  </si>
  <si>
    <t>Medical-billing/texas</t>
  </si>
  <si>
    <t>medical billing advertisement</t>
  </si>
  <si>
    <t>https://transcure.net/texas-law-on-unpaid-medical-bills/</t>
  </si>
  <si>
    <t>Medical-billing/texas-laws</t>
  </si>
  <si>
    <t>medical billing and coding books 2024</t>
  </si>
  <si>
    <r>
      <rPr>
        <color rgb="FF1155CC"/>
        <sz val="10.0"/>
        <u/>
      </rPr>
      <t>https://transcure.net/balance-billing-florida/</t>
    </r>
  </si>
  <si>
    <t>medical-billing/texas-laws-balance-billing/</t>
  </si>
  <si>
    <t>pmg medical billing</t>
  </si>
  <si>
    <r>
      <rPr>
        <color rgb="FF1155CC"/>
        <sz val="10.0"/>
        <u/>
      </rPr>
      <t>https://transcure.net/texas-timely-billing-law/</t>
    </r>
  </si>
  <si>
    <t>medical-billing/texas-laws-time-limits/</t>
  </si>
  <si>
    <t>medical billing book for beginners</t>
  </si>
  <si>
    <r>
      <rPr>
        <color rgb="FF1155CC"/>
        <sz val="10.0"/>
        <u/>
      </rPr>
      <t>https://transcure.net/outsource-podiatry-medical-billing-benefits/</t>
    </r>
  </si>
  <si>
    <r>
      <rPr>
        <color rgb="FF000000"/>
        <sz val="11.0"/>
      </rPr>
      <t xml:space="preserve">merge context in this page: </t>
    </r>
    <r>
      <rPr>
        <color rgb="FF1155CC"/>
        <sz val="11.0"/>
        <u/>
      </rPr>
      <t>https://transcure.net/article/podiatry-billing-companies/</t>
    </r>
  </si>
  <si>
    <t>medical billing brochure</t>
  </si>
  <si>
    <t>/office-ally-ehr/office-ally-emr/</t>
  </si>
  <si>
    <t>medical billing company</t>
  </si>
  <si>
    <t>/halloween-whitepaper-2/</t>
  </si>
  <si>
    <t>medical billing outsourcing companies</t>
  </si>
  <si>
    <t>/emr-ehr-support/</t>
  </si>
  <si>
    <t>Medical-billing/services/emr/</t>
  </si>
  <si>
    <t>affordable medical billing software</t>
  </si>
  <si>
    <t>/multi-specialty-ehr/</t>
  </si>
  <si>
    <t>Medical-billing/services/emr/multi-specialty</t>
  </si>
  <si>
    <t>medical billing company software</t>
  </si>
  <si>
    <t>/prognocis-emr/</t>
  </si>
  <si>
    <t>Medical-billing/services/emr/prognocis</t>
  </si>
  <si>
    <t>medical billing platforms</t>
  </si>
  <si>
    <t>/prognocis-emr/medical-billing-services/</t>
  </si>
  <si>
    <t>/prognocis-emr/emr-support/</t>
  </si>
  <si>
    <t>family practice medical billing</t>
  </si>
  <si>
    <t>/prognocis-emr/ar-management/</t>
  </si>
  <si>
    <t>online medical coding and billing degree</t>
  </si>
  <si>
    <t>/carecloud-ehr/</t>
  </si>
  <si>
    <t>Medical-billing/services/emr/carecloud</t>
  </si>
  <si>
    <t>radiology medical billing company</t>
  </si>
  <si>
    <t>/carecloud-ehr/medical-billing-services/</t>
  </si>
  <si>
    <t>kareo medical billing</t>
  </si>
  <si>
    <t>/carecloud-ehr/emr-support/</t>
  </si>
  <si>
    <t>preppy medical billing and coding</t>
  </si>
  <si>
    <t>/carecloud-ehr/ar-management/</t>
  </si>
  <si>
    <t>medical practice billing software</t>
  </si>
  <si>
    <t>/carecloud-ehr/rcm-services/</t>
  </si>
  <si>
    <t>medical billing massachusetts</t>
  </si>
  <si>
    <t>/allscripts-ehr/allscripts-emr/</t>
  </si>
  <si>
    <t>Medical-billing/services/emr/Veradigm</t>
  </si>
  <si>
    <t>medical billing franchise</t>
  </si>
  <si>
    <t>/allscripts-ehr/</t>
  </si>
  <si>
    <t>solutions medical billing</t>
  </si>
  <si>
    <t>/allscripts-ehr/ar-management/</t>
  </si>
  <si>
    <t>electronic medical billing companies</t>
  </si>
  <si>
    <t>/allscripts-ehr/medical-billing-services/</t>
  </si>
  <si>
    <t>dme medical billing software</t>
  </si>
  <si>
    <t>/icanotes-ehr/</t>
  </si>
  <si>
    <t>Medical-billing/services/emr/ICANotes</t>
  </si>
  <si>
    <t>radiology medical billing services</t>
  </si>
  <si>
    <t>/icanotes-ehr/medical-billing-services/</t>
  </si>
  <si>
    <t>best medical billing software for home based business</t>
  </si>
  <si>
    <t>/icanotes-ehr/rcm-services/</t>
  </si>
  <si>
    <t>third party medical billing companies</t>
  </si>
  <si>
    <t>/cerner-ehr/</t>
  </si>
  <si>
    <t>Medical-billing/services/emr/Cerner-health</t>
  </si>
  <si>
    <t>chiropractic medical billing services</t>
  </si>
  <si>
    <t>/cerner-ehr/medical-billing-services/</t>
  </si>
  <si>
    <t>geriatrics medical billing services</t>
  </si>
  <si>
    <t>/cerner-ehr/rcm-services/</t>
  </si>
  <si>
    <t>internal medicine medical billing services</t>
  </si>
  <si>
    <t>/athena-ehr/</t>
  </si>
  <si>
    <t>medical billing services companies</t>
  </si>
  <si>
    <t>/athena-ehr/ar-management/</t>
  </si>
  <si>
    <t>medical billing audit companies</t>
  </si>
  <si>
    <t>/practice-fusion-ehr/medical-billing-services/</t>
  </si>
  <si>
    <t>/medical-billing/services/emr/practice-fusion</t>
  </si>
  <si>
    <t>medical billing services ca</t>
  </si>
  <si>
    <t>/office-ally-ehr/</t>
  </si>
  <si>
    <t>/medical-billing/services/emr/office-ally</t>
  </si>
  <si>
    <t>medical billing and practice management</t>
  </si>
  <si>
    <t>/office-ally-ehr/ar-management/</t>
  </si>
  <si>
    <t>medical billing agencies</t>
  </si>
  <si>
    <t>/office-ally-ehr/rcm-services/</t>
  </si>
  <si>
    <t>billing services medical</t>
  </si>
  <si>
    <t>/kareo-ehr/</t>
  </si>
  <si>
    <t>Medical-billing/services/emr/Kareo</t>
  </si>
  <si>
    <t>medical billing company florida</t>
  </si>
  <si>
    <t>/kareo-ehr/medical-billing-services/</t>
  </si>
  <si>
    <t>medical billing solution</t>
  </si>
  <si>
    <t>/kareo-ehr/kareo-emr/</t>
  </si>
  <si>
    <t>best medical billing service</t>
  </si>
  <si>
    <t>/emr-eclinicalworks/</t>
  </si>
  <si>
    <t>Medical-billing/services/emr/eclinicalworks</t>
  </si>
  <si>
    <t>medical coding and billing software</t>
  </si>
  <si>
    <t>/emr-eclinicalworks/medical-billing-services/</t>
  </si>
  <si>
    <t>california medical billing companies</t>
  </si>
  <si>
    <t>/emr-eclinicalworks/ar-management/</t>
  </si>
  <si>
    <t>software for medical billing companies</t>
  </si>
  <si>
    <t>/emr-eclinicalworks/rcm-services/</t>
  </si>
  <si>
    <t>medical billing software company</t>
  </si>
  <si>
    <t>/emr-eclinicalworks/eclinicalworks-ehr/</t>
  </si>
  <si>
    <t>best medical billing company in usa</t>
  </si>
  <si>
    <t>/icanotes-ehr/icanotes-emr/</t>
  </si>
  <si>
    <t>top 10 medical billing companies</t>
  </si>
  <si>
    <t>/kareo-ehr/rcm-services/</t>
  </si>
  <si>
    <t>medical billing software for home based business</t>
  </si>
  <si>
    <t>/advancedmd-ehr/rcm-services/</t>
  </si>
  <si>
    <t>medical billing companies in new york</t>
  </si>
  <si>
    <t>/advancedmd-ehr/ar-management/</t>
  </si>
  <si>
    <t>medical billing and coding study guide</t>
  </si>
  <si>
    <t>/advancedmd-ehr/advancedmd-emr/</t>
  </si>
  <si>
    <t>outsourced medical billing companies</t>
  </si>
  <si>
    <t>/athena-ehr/medical-billing-services/</t>
  </si>
  <si>
    <t>medical billing clearinghouse companies</t>
  </si>
  <si>
    <t>/office-ally-ehr/medical-billing-services/</t>
  </si>
  <si>
    <t>how much is medical billing software</t>
  </si>
  <si>
    <t>/nextgen-ehr/</t>
  </si>
  <si>
    <t>Medical-billing/services/emr/NextGen-Healthcare</t>
  </si>
  <si>
    <t>medical billing app</t>
  </si>
  <si>
    <t>/advancedmd-ehr/</t>
  </si>
  <si>
    <t>Medical-billing/services/emr/AdvancedMD</t>
  </si>
  <si>
    <t>ecw medical billing</t>
  </si>
  <si>
    <t>medical billing software list</t>
  </si>
  <si>
    <t>/athena-ehr/rcm-services/</t>
  </si>
  <si>
    <t>medical billing software prices</t>
  </si>
  <si>
    <t>/allscripts-ehr/rcm-services/</t>
  </si>
  <si>
    <t>medical billing software vendors</t>
  </si>
  <si>
    <t>/cerner-ehr/ar-management/</t>
  </si>
  <si>
    <t>medical billing reviews</t>
  </si>
  <si>
    <t>/hospital-billing-services/</t>
  </si>
  <si>
    <t>florida medical billing services</t>
  </si>
  <si>
    <t>/hospital-revenue-cycle-management/</t>
  </si>
  <si>
    <t>best medical billing software for small practices</t>
  </si>
  <si>
    <t>/medisoft-emr/</t>
  </si>
  <si>
    <t>Medical-billing/services/emr/medisoft</t>
  </si>
  <si>
    <t>medical billing companies in usa</t>
  </si>
  <si>
    <t>/medisoft-emr/emr-support/</t>
  </si>
  <si>
    <t>web based medical billing software</t>
  </si>
  <si>
    <t>/medisoft-emr/rcm-services/</t>
  </si>
  <si>
    <t>medical billing services in nj</t>
  </si>
  <si>
    <t>/medisoft-emr/medical-billing-services/</t>
  </si>
  <si>
    <t>medical billing software for chiropractic</t>
  </si>
  <si>
    <t>/medisoft-emr/ar-management/</t>
  </si>
  <si>
    <t>medical billing ehr</t>
  </si>
  <si>
    <t>/practice-fusion-ehr/</t>
  </si>
  <si>
    <t>Medical-billing/services/emr/Practice-Fusion</t>
  </si>
  <si>
    <t>medcerts medical billing and coding</t>
  </si>
  <si>
    <t>/practice-fusion-ehr/ar-management/</t>
  </si>
  <si>
    <t>medical billing companies in los angeles</t>
  </si>
  <si>
    <t>/practice-fusion-ehr/practice-fusion-rcm/</t>
  </si>
  <si>
    <t>medical billing services new jersey</t>
  </si>
  <si>
    <t>/practice-fusion-ehr/practice-fusion-emr/</t>
  </si>
  <si>
    <t>medical billing software systems</t>
  </si>
  <si>
    <t>/amazing-charts-emr/</t>
  </si>
  <si>
    <t>Medical-billing/services/emr/amazing-charts</t>
  </si>
  <si>
    <t>dermatology medical billing company</t>
  </si>
  <si>
    <t>/amazing-charts-emr/ar-management/</t>
  </si>
  <si>
    <t>medical billing in california</t>
  </si>
  <si>
    <t>/amazing-charts-emr/medical-billing-services/</t>
  </si>
  <si>
    <t>medical management and billing solutions</t>
  </si>
  <si>
    <t>/amazing-charts-emr/rcm-services/</t>
  </si>
  <si>
    <t>medical billing service provider</t>
  </si>
  <si>
    <t>/amazing-charts-emr/amazing-charts-ehr/</t>
  </si>
  <si>
    <t>online medical coding billing</t>
  </si>
  <si>
    <t>/end-to-end-rcm-services-for-medical-group-practice/</t>
  </si>
  <si>
    <t>medical billing emr software</t>
  </si>
  <si>
    <t>/nextgen-ehr/nextgen-emr/</t>
  </si>
  <si>
    <t>medical billing companies usa</t>
  </si>
  <si>
    <t>/kareo-ehr/kareo-ar-management/</t>
  </si>
  <si>
    <t>orthopedic medical billing companies</t>
  </si>
  <si>
    <t>/icanotes-ehr/ar-management/</t>
  </si>
  <si>
    <t>medical billing florida</t>
  </si>
  <si>
    <t>/nextgen-ehr/ar-management/</t>
  </si>
  <si>
    <t>medical billing companies texas</t>
  </si>
  <si>
    <t>/athena-ehr/athena-emr/</t>
  </si>
  <si>
    <t>top medical billing company</t>
  </si>
  <si>
    <t>/mips-consultation/</t>
  </si>
  <si>
    <t>medical billing companies massachusetts</t>
  </si>
  <si>
    <t>/hospital-ar-management/</t>
  </si>
  <si>
    <t>medical billing services new york</t>
  </si>
  <si>
    <t>/cerner-ehr/emr-support/</t>
  </si>
  <si>
    <t>florida medical billing company</t>
  </si>
  <si>
    <t>/author-profile-osama/</t>
  </si>
  <si>
    <t>medical billing coding software</t>
  </si>
  <si>
    <t>/all-solutions/</t>
  </si>
  <si>
    <t>medical billing new york</t>
  </si>
  <si>
    <t>/fte/</t>
  </si>
  <si>
    <t>resolution medical billing services</t>
  </si>
  <si>
    <t>/about-us/</t>
  </si>
  <si>
    <t>medical billing software cost</t>
  </si>
  <si>
    <t>/author-profile-warda/</t>
  </si>
  <si>
    <t>medical billing companies in alabama</t>
  </si>
  <si>
    <t>/author-profile-ahmed/</t>
  </si>
  <si>
    <t>iclaim medical billing</t>
  </si>
  <si>
    <t>medical billing coding services</t>
  </si>
  <si>
    <t>anesthesia medical billing software</t>
  </si>
  <si>
    <t>best software for medical billing</t>
  </si>
  <si>
    <t>medical billing software for mental health</t>
  </si>
  <si>
    <t>non emergency medical transportation billing software</t>
  </si>
  <si>
    <t>medical coding and billing company</t>
  </si>
  <si>
    <t>medisoft medical billing software</t>
  </si>
  <si>
    <t>top medical billing services</t>
  </si>
  <si>
    <t>medical billing services delaware</t>
  </si>
  <si>
    <t>medical billing software psychiatry</t>
  </si>
  <si>
    <t>pain management medical billing company</t>
  </si>
  <si>
    <t>medical billing companies in ny</t>
  </si>
  <si>
    <t>medical billing companies in pennsylvania</t>
  </si>
  <si>
    <t>medical billing and coding for dummies</t>
  </si>
  <si>
    <t>medical billing services in illinois</t>
  </si>
  <si>
    <t>physicians medical billing</t>
  </si>
  <si>
    <t>medical billing companies in delaware</t>
  </si>
  <si>
    <t>preppy medical billing and coding reviews</t>
  </si>
  <si>
    <t>medical billing and coding software for home business</t>
  </si>
  <si>
    <t>medical billing companies in india</t>
  </si>
  <si>
    <t>medical billing staffing agency</t>
  </si>
  <si>
    <t>medical coding and billing diploma</t>
  </si>
  <si>
    <t>mobile medical billing</t>
  </si>
  <si>
    <t>medical billing and coding staffing agencies</t>
  </si>
  <si>
    <t>medical oncology billing services</t>
  </si>
  <si>
    <t>software used for medical billing and coding</t>
  </si>
  <si>
    <t>free medical billing software for small business</t>
  </si>
  <si>
    <t>medical billing softwares</t>
  </si>
  <si>
    <t>medical billing companies pennsylvania</t>
  </si>
  <si>
    <t>medical billing services colorado</t>
  </si>
  <si>
    <t>medical billing services michigan</t>
  </si>
  <si>
    <t>medical billing companies india</t>
  </si>
  <si>
    <t>hipaa compliant medical billing software</t>
  </si>
  <si>
    <t>portland medical billing</t>
  </si>
  <si>
    <t>medical billing companies in miami</t>
  </si>
  <si>
    <t>medical billing services maryland</t>
  </si>
  <si>
    <t>billing medical office software</t>
  </si>
  <si>
    <t>physical therapy medical billing services</t>
  </si>
  <si>
    <t>edi medical billing software</t>
  </si>
  <si>
    <t>medical billing services in pennsylvania</t>
  </si>
  <si>
    <t>private medical billing company</t>
  </si>
  <si>
    <t>buy medical billing software</t>
  </si>
  <si>
    <t>medical billing company in massachusetts</t>
  </si>
  <si>
    <t>medical billing office</t>
  </si>
  <si>
    <t>medical store billing software</t>
  </si>
  <si>
    <t>dme medical billing company</t>
  </si>
  <si>
    <t>outsource medical billing philippines</t>
  </si>
  <si>
    <t>medical billing management delaware</t>
  </si>
  <si>
    <t>medical billing company massachusetts</t>
  </si>
  <si>
    <t>medical billing services in maryland</t>
  </si>
  <si>
    <t>medical billing company in ny</t>
  </si>
  <si>
    <t>medical billing company rates</t>
  </si>
  <si>
    <t>electronic medical billing services</t>
  </si>
  <si>
    <t>medical billing and coding software solutions</t>
  </si>
  <si>
    <t>online medical billing services</t>
  </si>
  <si>
    <t>medical billing company nj</t>
  </si>
  <si>
    <t>hospital medical billing software</t>
  </si>
  <si>
    <t>internal medicine medical billing company</t>
  </si>
  <si>
    <t>medical billing companies in houston</t>
  </si>
  <si>
    <t>medical billing offshore</t>
  </si>
  <si>
    <t>medical billing companies list</t>
  </si>
  <si>
    <t>third-party medical billing companies</t>
  </si>
  <si>
    <t>medical insurance billing companies</t>
  </si>
  <si>
    <t>medical laboratory billing software</t>
  </si>
  <si>
    <t>medical claims billing service</t>
  </si>
  <si>
    <t>https://transcure.net/article/faq-for-nephrology-billing-solutions/</t>
  </si>
  <si>
    <t>cloud medical billing software</t>
  </si>
  <si>
    <t>medical billing ny</t>
  </si>
  <si>
    <t>https://transcure.net/article/psychiatry-billing-services-updates-2024/</t>
  </si>
  <si>
    <t>insurance medical billing software</t>
  </si>
  <si>
    <t>pharmacy medical billing software</t>
  </si>
  <si>
    <t>new york medical billing</t>
  </si>
  <si>
    <t>medical billing dallas</t>
  </si>
  <si>
    <t>arizona medical billing companies</t>
  </si>
  <si>
    <t>https://transcure.net/article/asc-billing-services-gi-prior-authorization-expansion/</t>
  </si>
  <si>
    <t>medical billing companies colorado</t>
  </si>
  <si>
    <t>accurate medical billing</t>
  </si>
  <si>
    <t>medical billing services in ny</t>
  </si>
  <si>
    <t>health medical billing software</t>
  </si>
  <si>
    <t>medical billing software for billing company</t>
  </si>
  <si>
    <t>https://transcure.net/top-medical-billing-companies-usa-2023/</t>
  </si>
  <si>
    <t>advanced medical billing services</t>
  </si>
  <si>
    <t>medical billing services illinois</t>
  </si>
  <si>
    <t>medical billing companies los angeles</t>
  </si>
  <si>
    <t>medical billing company in new jersey</t>
  </si>
  <si>
    <t>medical billing miami</t>
  </si>
  <si>
    <t>medical billing web design</t>
  </si>
  <si>
    <t>medical electronic billing software</t>
  </si>
  <si>
    <t>medical billing nyc</t>
  </si>
  <si>
    <t>medical billing software pennsylvania</t>
  </si>
  <si>
    <t>medical billing chiropractic</t>
  </si>
  <si>
    <t>nextgen medical billing</t>
  </si>
  <si>
    <t>medical billing service california</t>
  </si>
  <si>
    <t>list of medical billing software in us</t>
  </si>
  <si>
    <t>ohio medical billing companies</t>
  </si>
  <si>
    <t>medical billing san diego</t>
  </si>
  <si>
    <t>medical billing on allscripts</t>
  </si>
  <si>
    <t>medical billing companies in los angeles ca</t>
  </si>
  <si>
    <t>medical billing software india</t>
  </si>
  <si>
    <t>nj medical billing</t>
  </si>
  <si>
    <t>medical billing pennsylvania</t>
  </si>
  <si>
    <t>penn foster medical billing and coding cost</t>
  </si>
  <si>
    <t>medical billing software pricing</t>
  </si>
  <si>
    <t>complete medical billing</t>
  </si>
  <si>
    <t>medical billing franchise reviews</t>
  </si>
  <si>
    <t>kareo medical billing reviews</t>
  </si>
  <si>
    <t>inexpensive medical billing software</t>
  </si>
  <si>
    <t>medical billing study guide</t>
  </si>
  <si>
    <t>medical billing michigan</t>
  </si>
  <si>
    <t>abs medical billing</t>
  </si>
  <si>
    <t>pro medical billing solutions</t>
  </si>
  <si>
    <t>medical billing offices</t>
  </si>
  <si>
    <t>medical billing staffing</t>
  </si>
  <si>
    <t>how much should i charge for medical billing services</t>
  </si>
  <si>
    <t>best medical billing and coding software</t>
  </si>
  <si>
    <t>fusion medical billing</t>
  </si>
  <si>
    <t>affordable medical billing solutions</t>
  </si>
  <si>
    <t>medical billing mental health</t>
  </si>
  <si>
    <t>penn foster medical coding and billing</t>
  </si>
  <si>
    <t>emr medical billing services</t>
  </si>
  <si>
    <t>medical scheduling and billing software</t>
  </si>
  <si>
    <t>allscripts medical billing software</t>
  </si>
  <si>
    <t>medical billing outsourcing to india</t>
  </si>
  <si>
    <t>medical billing partnership</t>
  </si>
  <si>
    <t>medical billing services india</t>
  </si>
  <si>
    <t>asp medical billing</t>
  </si>
  <si>
    <t>medical billing bpo</t>
  </si>
  <si>
    <t>medical billing and coding cost online</t>
  </si>
  <si>
    <t>medical billing company reviews</t>
  </si>
  <si>
    <t>ed2go medical billing and coding</t>
  </si>
  <si>
    <t>medical billing arizona</t>
  </si>
  <si>
    <t>medical billing electronic</t>
  </si>
  <si>
    <t>how much does a medical billing company charge</t>
  </si>
  <si>
    <t>medical billing and coding companies in india</t>
  </si>
  <si>
    <t>medical billing services inc</t>
  </si>
  <si>
    <t>advocate medical billing</t>
  </si>
  <si>
    <t>reliable medical billing</t>
  </si>
  <si>
    <t>medical billing companies in mumbai</t>
  </si>
  <si>
    <t>medical billing service chicago</t>
  </si>
  <si>
    <t>medical coding and billing for dummies</t>
  </si>
  <si>
    <t>freeware medical billing software</t>
  </si>
  <si>
    <t>pbs medical billing</t>
  </si>
  <si>
    <t>medical billing software for anesthesia</t>
  </si>
  <si>
    <t>medical billing software cloud</t>
  </si>
  <si>
    <t>imagine medical billing software</t>
  </si>
  <si>
    <t>medical billing services georgia</t>
  </si>
  <si>
    <t>medical billing services san diego</t>
  </si>
  <si>
    <t>claimtek medical billing franchise</t>
  </si>
  <si>
    <t>top 10 medical billing companies in india</t>
  </si>
  <si>
    <t>ads medical billing</t>
  </si>
  <si>
    <t>medical billing services connecticut</t>
  </si>
  <si>
    <t>medical billing service florida</t>
  </si>
  <si>
    <t>medical billing textbook</t>
  </si>
  <si>
    <t>list of medical billing companies in usa</t>
  </si>
  <si>
    <t>san antonio medical billing</t>
  </si>
  <si>
    <t>michigan medical billing</t>
  </si>
  <si>
    <t>nuemd medical billing software</t>
  </si>
  <si>
    <t>medical billing and coding books for beginners</t>
  </si>
  <si>
    <t>medical billing software comparisons</t>
  </si>
  <si>
    <t>best online medical billing software</t>
  </si>
  <si>
    <t>cover on services page</t>
  </si>
  <si>
    <t>medical billing software prices comparison</t>
  </si>
  <si>
    <t>ims medical billing software</t>
  </si>
  <si>
    <t>medical billing san francisco</t>
  </si>
  <si>
    <t>medical billing company in chennai</t>
  </si>
  <si>
    <t>mbs medical billing services</t>
  </si>
  <si>
    <t>medical billing envelopes</t>
  </si>
  <si>
    <t>medical billing companies in coimbatore</t>
  </si>
  <si>
    <t>medical billing companies chennai</t>
  </si>
  <si>
    <t>software medical billing</t>
  </si>
  <si>
    <t>medical billing software in india</t>
  </si>
  <si>
    <t>priority medical billing</t>
  </si>
  <si>
    <t>software used for medical billing</t>
  </si>
  <si>
    <t>online medical billing service</t>
  </si>
  <si>
    <t>medical billing companies in il</t>
  </si>
  <si>
    <t>medical billing sites</t>
  </si>
  <si>
    <t>medical billing flyer</t>
  </si>
  <si>
    <t>books for medical billing and coding</t>
  </si>
  <si>
    <t>medical billing companies us</t>
  </si>
  <si>
    <t>medical billing companies in usa list</t>
  </si>
  <si>
    <t>free medisoft medical billing software</t>
  </si>
  <si>
    <t>medical billing inc</t>
  </si>
  <si>
    <t>online colleges with medical billing and coding</t>
  </si>
  <si>
    <t>medical billing companies in san francisco</t>
  </si>
  <si>
    <t>medical billing services ohio</t>
  </si>
  <si>
    <t>medical billing companies in indianapolis</t>
  </si>
  <si>
    <t>medical billing software insurance</t>
  </si>
  <si>
    <t>medical billing orange county</t>
  </si>
  <si>
    <t>gateway medical billing</t>
  </si>
  <si>
    <t>fortis medical billing audit</t>
  </si>
  <si>
    <t>medical software for billing</t>
  </si>
  <si>
    <t>best laptops for medical billing and coding</t>
  </si>
  <si>
    <t>electronic medical billing service</t>
  </si>
  <si>
    <t>centricity medical billing software</t>
  </si>
  <si>
    <t>accurate medical billing services</t>
  </si>
  <si>
    <t>quick claim medical billing</t>
  </si>
  <si>
    <t>top medical billing companies in us</t>
  </si>
  <si>
    <t>medical billing companies in sacramento ca</t>
  </si>
  <si>
    <t>physicians choice medical billing</t>
  </si>
  <si>
    <t>cheap medical billing software free</t>
  </si>
  <si>
    <t>medical billing services oklahoma</t>
  </si>
  <si>
    <t>medical billing textbooks</t>
  </si>
  <si>
    <t>medical billing comany</t>
  </si>
  <si>
    <t>ecw medical billing company</t>
  </si>
  <si>
    <t>medical billing and coding computer software</t>
  </si>
  <si>
    <t>medical billing soft ware</t>
  </si>
  <si>
    <t>billing cheap medical software</t>
  </si>
  <si>
    <t>medical billing companies in</t>
  </si>
  <si>
    <t>medical billing online software</t>
  </si>
  <si>
    <t>medical billing and coding books 2022</t>
  </si>
  <si>
    <t>acupuncture medical billing service</t>
  </si>
  <si>
    <t>medical billing software for home-based business</t>
  </si>
  <si>
    <t>best medical billing clearinghouse</t>
  </si>
  <si>
    <t>medical billing stickers</t>
  </si>
  <si>
    <t>medical billing and coding boot camp</t>
  </si>
  <si>
    <t>medical billing service atlanta ga</t>
  </si>
  <si>
    <t>medical billing and coding home study</t>
  </si>
  <si>
    <t>medical billing and management</t>
  </si>
  <si>
    <t>medical billing software package</t>
  </si>
  <si>
    <t>self-paced medical billing and coding online</t>
  </si>
  <si>
    <t>medical billing education cost</t>
  </si>
  <si>
    <t>medical billing company in mumbai</t>
  </si>
  <si>
    <t>medical billing outsourcing companies in chennai</t>
  </si>
  <si>
    <t>medisoft medical billing software download</t>
  </si>
  <si>
    <t>medical billing softwear</t>
  </si>
  <si>
    <t>medical billing and coding books 2023</t>
  </si>
  <si>
    <t>el medical billing solutions</t>
  </si>
  <si>
    <t>medical billing and coding books online</t>
  </si>
  <si>
    <t>careerstep medical coding and billing</t>
  </si>
  <si>
    <t>medical billing and management services hamilton nj</t>
  </si>
  <si>
    <t>medical billing company india</t>
  </si>
  <si>
    <t>lytec medical billing</t>
  </si>
  <si>
    <t>medical billing software ohio</t>
  </si>
  <si>
    <t>medical billing services minnesota</t>
  </si>
  <si>
    <t>franchise medical billing</t>
  </si>
  <si>
    <t>san diego medical billing</t>
  </si>
  <si>
    <t>hampton park medical centre bulk billing</t>
  </si>
  <si>
    <t>medical billing company ecw</t>
  </si>
  <si>
    <t>ability medical billing</t>
  </si>
  <si>
    <t>medical billing solutions and consulting</t>
  </si>
  <si>
    <t>kaplan medical billing and coding online</t>
  </si>
  <si>
    <t>medical billing and coding business franchise</t>
  </si>
  <si>
    <t>medical billing business income potential</t>
  </si>
  <si>
    <t>medical billing companies in az</t>
  </si>
  <si>
    <t>medical billing companies websites</t>
  </si>
  <si>
    <t>medical billing prices</t>
  </si>
  <si>
    <t>medical billing services in</t>
  </si>
  <si>
    <t>ashworth college medical billing and coding cost</t>
  </si>
  <si>
    <t>medical billing service illinois</t>
  </si>
  <si>
    <t>medical billing and coding books 2021</t>
  </si>
  <si>
    <t>usa medical billing companies</t>
  </si>
  <si>
    <t>medical billing and coding demystified</t>
  </si>
  <si>
    <t>utah medical billing companies</t>
  </si>
  <si>
    <t>web based medical billing software reviews</t>
  </si>
  <si>
    <t>medical billing template forms</t>
  </si>
  <si>
    <t>medical billing free</t>
  </si>
  <si>
    <t>behavior health medical billing services</t>
  </si>
  <si>
    <t>medical billing companies in birmingham alabama</t>
  </si>
  <si>
    <t>medical billing software for counselors</t>
  </si>
  <si>
    <t>claimcare medical billing</t>
  </si>
  <si>
    <t>medical billing and emr software</t>
  </si>
  <si>
    <t>medical billing outsourced nj</t>
  </si>
  <si>
    <t>medical billing companies in raleigh nc</t>
  </si>
  <si>
    <t>apex medical billing software</t>
  </si>
  <si>
    <t>medical billing orange county ca</t>
  </si>
  <si>
    <t>full service medical billing</t>
  </si>
  <si>
    <t>adam nager medical billing reviews</t>
  </si>
  <si>
    <t>medical billing company in hyderabad</t>
  </si>
  <si>
    <t>prc medical billing</t>
  </si>
  <si>
    <t>medical billing software ratings</t>
  </si>
  <si>
    <t>adp medical billing software</t>
  </si>
  <si>
    <t>contract medical billing</t>
  </si>
  <si>
    <t>medpro medical billing</t>
  </si>
  <si>
    <t>medical billing solutions troy il</t>
  </si>
  <si>
    <t>medical billing &amp; coding demystified</t>
  </si>
  <si>
    <t>medical billing compant usa</t>
  </si>
  <si>
    <t>medical billing software for physicians</t>
  </si>
  <si>
    <t>billing medical review software</t>
  </si>
  <si>
    <t>medical billing services virginia</t>
  </si>
  <si>
    <t>outsource medical billing india</t>
  </si>
  <si>
    <t>medical billing service nj</t>
  </si>
  <si>
    <t>cost of medical billing</t>
  </si>
  <si>
    <t>medical billing company in bangalore</t>
  </si>
  <si>
    <t>medical billing software asp</t>
  </si>
  <si>
    <t>medical billing services portland oregon</t>
  </si>
  <si>
    <t>windows based medical billing software</t>
  </si>
  <si>
    <t>medical billing online education</t>
  </si>
  <si>
    <t>medical billing australia</t>
  </si>
  <si>
    <t>medical billing com</t>
  </si>
  <si>
    <t>medical billing marketing letter</t>
  </si>
  <si>
    <t>medical billing clearinghouse reviews</t>
  </si>
  <si>
    <t>abs systems medical billing</t>
  </si>
  <si>
    <t>medical billing portland oregon</t>
  </si>
  <si>
    <t>medical billing companies in delhi</t>
  </si>
  <si>
    <t>medical billing advocates of america reviews</t>
  </si>
  <si>
    <t>raintree medical billing software review</t>
  </si>
  <si>
    <t>medical billing services des moines</t>
  </si>
  <si>
    <t>medical billing payment posting jobs in chennai</t>
  </si>
  <si>
    <t>medical billing forms hcfa 1500</t>
  </si>
  <si>
    <t>medical billing for dummies book</t>
  </si>
  <si>
    <t>medical management billing</t>
  </si>
  <si>
    <t>medical billing sofware</t>
  </si>
  <si>
    <t>medical billing coding books</t>
  </si>
  <si>
    <t>medical billing degrees online</t>
  </si>
  <si>
    <t>american medical billing software</t>
  </si>
  <si>
    <t>medical billing consulting firms</t>
  </si>
  <si>
    <t>medical billing sevices</t>
  </si>
  <si>
    <t>medical billing software in south africa</t>
  </si>
  <si>
    <t>medical billing software quickbooks</t>
  </si>
  <si>
    <t>online degrees in medical billing and coding</t>
  </si>
  <si>
    <t>list of medical billing companies in chennai</t>
  </si>
  <si>
    <t>medical billing companies in ma</t>
  </si>
  <si>
    <t>internet based medical billing software</t>
  </si>
  <si>
    <t>medical billing companies in colorado</t>
  </si>
  <si>
    <t>pay for medical coding and billing</t>
  </si>
  <si>
    <t>medical billing outsourcing companies india</t>
  </si>
  <si>
    <t>quick claims medical billing</t>
  </si>
  <si>
    <t>medical billing sacramento</t>
  </si>
  <si>
    <t>top medical billing companies in new jersey</t>
  </si>
  <si>
    <t>medical billing and collection companies</t>
  </si>
  <si>
    <t>medical billing softward</t>
  </si>
  <si>
    <t>medical billing coding book</t>
  </si>
  <si>
    <t>pmeb medical billing</t>
  </si>
  <si>
    <t>online medical billing system</t>
  </si>
  <si>
    <t>medical billing systems inc</t>
  </si>
  <si>
    <t>medlook medical billing software</t>
  </si>
  <si>
    <t>nj medical billing company</t>
  </si>
  <si>
    <t>medical massage billing software</t>
  </si>
  <si>
    <t>medical billing experts charlotte nc</t>
  </si>
  <si>
    <t>kareo medical billing software reviews</t>
  </si>
  <si>
    <t>itu medical billing and coding reviews</t>
  </si>
  <si>
    <t>medical billing quickbooks</t>
  </si>
  <si>
    <t>mental health medical billing companies</t>
  </si>
  <si>
    <t>based billing medical software web</t>
  </si>
  <si>
    <t>cincinnati medical billing service</t>
  </si>
  <si>
    <t>medical billing software lytec</t>
  </si>
  <si>
    <t>medical billing services wisconsin</t>
  </si>
  <si>
    <t>quickbooks medical billing software</t>
  </si>
  <si>
    <t>medical billing companies in columbus ohio</t>
  </si>
  <si>
    <t>excel medical billing</t>
  </si>
  <si>
    <t>mba medical billing</t>
  </si>
  <si>
    <t>cert medical billing online</t>
  </si>
  <si>
    <t>medical billing companies in pittsburgh pa</t>
  </si>
  <si>
    <t>medical billing hipaa compliant software</t>
  </si>
  <si>
    <t>medical billing catch phrases</t>
  </si>
  <si>
    <t>adp medical billing</t>
  </si>
  <si>
    <t>medical billing project</t>
  </si>
  <si>
    <t>medical billing services portland or</t>
  </si>
  <si>
    <t>medical billing claim forms</t>
  </si>
  <si>
    <t>medical billing services fresno ca</t>
  </si>
  <si>
    <t>practice partner medical billing</t>
  </si>
  <si>
    <t>medical billing clearinghouse free</t>
  </si>
  <si>
    <t>medical billing business software</t>
  </si>
  <si>
    <t>lytec software medical billing</t>
  </si>
  <si>
    <t>group one medical billing</t>
  </si>
  <si>
    <t>used medical billing and coding books</t>
  </si>
  <si>
    <t>medical billing sheet template</t>
  </si>
  <si>
    <t>computerized medical billing systems</t>
  </si>
  <si>
    <t>Titles</t>
  </si>
  <si>
    <t>https://medibillmd.com/blog/medical-credentialing-companies/</t>
  </si>
  <si>
    <t>Top 10 Best Medical Credentialing Companies In 2025</t>
  </si>
  <si>
    <t>https://medibillmd.com/blog/oncology-cpt-codes/</t>
  </si>
  <si>
    <t>Chemotherapy &amp; Radiation Oncology CPT Codes &amp; Coding Guide</t>
  </si>
  <si>
    <t>Location (City, State)</t>
  </si>
  <si>
    <t>Blog Title</t>
  </si>
  <si>
    <t>https://medibillmd.com/blog/pediatric-cpt-codes/</t>
  </si>
  <si>
    <t>Most Common Pediatric CPT Codes | Update 2024</t>
  </si>
  <si>
    <t>Anchorage, AK</t>
  </si>
  <si>
    <t>Top 10 Best Medical Billing Companies In Anchorage, AK</t>
  </si>
  <si>
    <t>https://medibillmd.com/blog/obgyn-cpt-codes/</t>
  </si>
  <si>
    <t>CPT Codes For OBGYN Procedures And Coding Guidelines 2025</t>
  </si>
  <si>
    <t>Boise, ID</t>
  </si>
  <si>
    <t>Top 10 Best Medical Billing Companies In Boise, ID In 2025</t>
  </si>
  <si>
    <t>https://medibillmd.com/blog/anesthesia-cpt-codes/</t>
  </si>
  <si>
    <t>Most Common Anesthesia CPT Codes &amp; Coding Guidelines 2024</t>
  </si>
  <si>
    <t>Raleigh, NC</t>
  </si>
  <si>
    <t>Top 10 Best Medical Billing Companies In Raleigh, NC In 2025</t>
  </si>
  <si>
    <t>https://medibillmd.com/blog/wound-care-cpt-codes/</t>
  </si>
  <si>
    <t>Wound Care CPT Codes For Evaluation, Treatment &amp; More (2024)</t>
  </si>
  <si>
    <t>Omaha, NE</t>
  </si>
  <si>
    <t>Top 10 Best Medical Billing Companies In Omaha, NE In 2025</t>
  </si>
  <si>
    <t>https://medibillmd.com/blog/pathology-cpt-codes/</t>
  </si>
  <si>
    <t>Understanding Common CPT Code For Pathology Procedures 2024</t>
  </si>
  <si>
    <t>Virginia Beach, VA</t>
  </si>
  <si>
    <t>Top 10 Best Medical Billing Companies In Virginia Beach, VA</t>
  </si>
  <si>
    <t>https://medibillmd.com/blog/medical-billing-companies-in-anchorage/</t>
  </si>
  <si>
    <t>Albuquerque, NM</t>
  </si>
  <si>
    <t>Top 10 Best Medical Billing Companies In Albuquerque, NM</t>
  </si>
  <si>
    <t>https://medibillmd.com/blog/modifier-q0/</t>
  </si>
  <si>
    <t>What Is Modifier Q0 Description In Medical Billing?</t>
  </si>
  <si>
    <t>Knoxville, TN</t>
  </si>
  <si>
    <t>Best Medical Billing Companies In Knoxville, TN - MedibillMD Blogs</t>
  </si>
  <si>
    <t>https://medibillmd.com/blog/cpt-code-80307/</t>
  </si>
  <si>
    <t>CPT Code 80307 Description, Examples &amp; Reimbursement Guide</t>
  </si>
  <si>
    <t>Aurora, CO</t>
  </si>
  <si>
    <t>Top 10 Best Medical Billing Companies In Aurora, CO In 2025</t>
  </si>
  <si>
    <t>https://medibillmd.com/blog/united-healthcare-credentialing/</t>
  </si>
  <si>
    <t>UnitedHealthcare (UHC) Provider Credentialing Guidelines</t>
  </si>
  <si>
    <t>Cleveland, OH</t>
  </si>
  <si>
    <t>Top 10 Best Medical Billing Companies In Cleveland, OH</t>
  </si>
  <si>
    <t>https://medibillmd.com/blog/medicaid-credentialing/</t>
  </si>
  <si>
    <t>Medicaid Provider Credentialing Application Requirements</t>
  </si>
  <si>
    <t>Louisville, KY</t>
  </si>
  <si>
    <t>Top 10 Best Medical Billing Companies In Louisville, KY</t>
  </si>
  <si>
    <t>https://medibillmd.com/blog/medical-billing-companies-in-boise/</t>
  </si>
  <si>
    <t>New Jersey</t>
  </si>
  <si>
    <t>Top 10 Best Medical Billing Companies In New Jersey In 2025</t>
  </si>
  <si>
    <t>https://medibillmd.com/blog/cpt-code-52310/</t>
  </si>
  <si>
    <t>CPT Code 52310 Description, Examples &amp; Reimbursement Guide</t>
  </si>
  <si>
    <t>Pennsylvania</t>
  </si>
  <si>
    <t>Top 10 Best Medical Billing Companies In Pennsylvania 2025</t>
  </si>
  <si>
    <t>https://medibillmd.com/blog/humana-credentialing/</t>
  </si>
  <si>
    <t>Humana Provider Credentialing Application Guidelines</t>
  </si>
  <si>
    <t>Massachusetts</t>
  </si>
  <si>
    <t>Top 10 Best Medical Billing Companies In Massachusetts 2025</t>
  </si>
  <si>
    <t>https://medibillmd.com/blog/medical-billing-companies-in-dover/</t>
  </si>
  <si>
    <t>Illinois</t>
  </si>
  <si>
    <t>Top 10 Best Medical Billing Companies In Illinois In 2025</t>
  </si>
  <si>
    <t>https://medibillmd.com/blog/cpt-code-93228/</t>
  </si>
  <si>
    <t>CPT Code 93228 Description, Examples &amp; Reimbursement Guide</t>
  </si>
  <si>
    <t>Los Angeles, CA</t>
  </si>
  <si>
    <t>Top 10 Best Medical Billing Companies In Los Angeles In 2025</t>
  </si>
  <si>
    <t>https://medibillmd.com/blog/cpt-code-93308/</t>
  </si>
  <si>
    <t>CPT Code 93308 Description, Examples &amp; Reimbursement Guide</t>
  </si>
  <si>
    <t>New York (NY)</t>
  </si>
  <si>
    <t>Top 10 Best Medical Billing Companies In New York (NY) 2025</t>
  </si>
  <si>
    <t>https://medibillmd.com/blog/cpt-code-01400/</t>
  </si>
  <si>
    <t>CPT Code 01400 Description, Examples &amp; Reimbursement Guide</t>
  </si>
  <si>
    <t>California</t>
  </si>
  <si>
    <t>Top 10 Best Medical Billing Companies In California In 2025</t>
  </si>
  <si>
    <t>https://medibillmd.com/blog/cpt-code-33208/</t>
  </si>
  <si>
    <t>CPT Code 33208 Description, Examples &amp; Reimbursement Guide</t>
  </si>
  <si>
    <t>Georgia</t>
  </si>
  <si>
    <t>Top 10 Best Medical Billing Companies In Georgia In 2025</t>
  </si>
  <si>
    <t>https://medibillmd.com/blog/medical-billing-companies-in-raleigh/</t>
  </si>
  <si>
    <t>Florida</t>
  </si>
  <si>
    <t>Top 10 Best Medical Billing Companies In Florida In 2025</t>
  </si>
  <si>
    <t>https://medibillmd.com/blog/medical-billing-companies-in-omaha/</t>
  </si>
  <si>
    <t>Bend, OR</t>
  </si>
  <si>
    <t>Top 10 Best Medical Billing Companies In Bend, OR 2025</t>
  </si>
  <si>
    <t>https://medibillmd.com/blog/cpt-code-93307/</t>
  </si>
  <si>
    <t>CPT Code 93307 Description, Examples &amp; Reimbursement Guide</t>
  </si>
  <si>
    <t>St. Louis, MO</t>
  </si>
  <si>
    <t>Top 10 Best Medical Billing Companies In St. Louis, MO</t>
  </si>
  <si>
    <t>https://medibillmd.com/blog/medical-billing-companies-in-virginia-beach/</t>
  </si>
  <si>
    <t>Camden, NJ</t>
  </si>
  <si>
    <t>Top 10 Best Medical Billing Companies In Camden, NJ</t>
  </si>
  <si>
    <t>https://medibillmd.com/blog/cpt-code-92960/</t>
  </si>
  <si>
    <t>CPT Code 92960 Description, Examples &amp; Reimbursement Guide</t>
  </si>
  <si>
    <t>Salt Lake City, UT</t>
  </si>
  <si>
    <t>Top 10 Best Medical Billing Companies In Salt Lake City, UT</t>
  </si>
  <si>
    <t>https://medibillmd.com/blog/cpt-code-92928/</t>
  </si>
  <si>
    <t>CPT Code 92928 Description, Examples &amp; Reimbursement Guide</t>
  </si>
  <si>
    <t>Oklahoma City, OK</t>
  </si>
  <si>
    <t>Top 10 Best Medical Billing Companies In Oklahoma City, OK</t>
  </si>
  <si>
    <t>https://medibillmd.com/blog/cpt-code-52332/</t>
  </si>
  <si>
    <t>CPT Code 52332 Description, Examples &amp; Reimbursement Guide</t>
  </si>
  <si>
    <t>Kansas City, MO</t>
  </si>
  <si>
    <t>Top 10 Best Medical Billing Companies In Kansas City, MO</t>
  </si>
  <si>
    <t>https://medibillmd.com/blog/cpt-code-33249/</t>
  </si>
  <si>
    <t>CPT Code 33249 Description, Examples &amp; Reimbursement Guide</t>
  </si>
  <si>
    <t>Minneapolis, MN</t>
  </si>
  <si>
    <t>Top 10 Best Medical Billing Companies In Minneapolis, MN</t>
  </si>
  <si>
    <t>https://medibillmd.com/blog/aetna-credentialing/</t>
  </si>
  <si>
    <t>Aetna Provider Credentialing Application &amp; Enrollment Guide</t>
  </si>
  <si>
    <t>Columbia, SC</t>
  </si>
  <si>
    <t>Top 10 Best Medical Billing Companies In Columbia, SC</t>
  </si>
  <si>
    <t>https://medibillmd.com/blog/cpt-code-95819/</t>
  </si>
  <si>
    <t>CPT Code 95819 Description, Examples &amp; Reimbursement Guide</t>
  </si>
  <si>
    <t>Boston, MA</t>
  </si>
  <si>
    <t>Top 10 Best Medical Billing Companies In Boston, MA In 2025</t>
  </si>
  <si>
    <t>https://medibillmd.com/blog/medical-billing-companies/</t>
  </si>
  <si>
    <t>Top 10 Best Third-Party Medical Billing Companies USA 2025</t>
  </si>
  <si>
    <t>Fresno, CA</t>
  </si>
  <si>
    <t>Top 10 Best Medical Billing Companies In Fresno, CA</t>
  </si>
  <si>
    <t>https://medibillmd.com/blog/healthcare-revenue-cycle-management-companies/</t>
  </si>
  <si>
    <t>Top 10 Best Revenue Cycle Management (RCM) Companies In USA</t>
  </si>
  <si>
    <t>El Paso, TX</t>
  </si>
  <si>
    <t>Top 10 Best Medical Billing Companies In El Paso, TX In 2025</t>
  </si>
  <si>
    <t>https://medibillmd.com/blog/cigna-credentialing/</t>
  </si>
  <si>
    <t>Cigna Provider Credentialing Application Guide &amp; Requirement</t>
  </si>
  <si>
    <t>Seattle, WA</t>
  </si>
  <si>
    <t>Top 10 Best Medical Billing Companies In Seattle, WA In 2025</t>
  </si>
  <si>
    <t>https://medibillmd.com/blog/cpt-code-51798/</t>
  </si>
  <si>
    <t>CPT Code 51798 Description, Examples &amp; Reimbursement Guide</t>
  </si>
  <si>
    <t>Indianapolis, IN</t>
  </si>
  <si>
    <t>Top 10 Best Medical Billing Companies In Indianapolis, IN</t>
  </si>
  <si>
    <t>https://medibillmd.com/blog/medical-billing-companies-in-albuquerque/</t>
  </si>
  <si>
    <t>San Francisco, CA</t>
  </si>
  <si>
    <t>Top 10 Best Medical Billing Companies In San Francisco, CA</t>
  </si>
  <si>
    <t>https://medibillmd.com/blog/cpt-code-93016/</t>
  </si>
  <si>
    <t>CPT Code 93016 Description, Examples &amp; Reimbursement Guide</t>
  </si>
  <si>
    <t>Philadelphia, PA</t>
  </si>
  <si>
    <t>Top 10 Best Medical Billing Companies In Philadelphia, PA</t>
  </si>
  <si>
    <t>https://medibillmd.com/blog/cpt-code-77080/</t>
  </si>
  <si>
    <t>CPT Code 77080 Description, Examples &amp; Reimbursement Guide</t>
  </si>
  <si>
    <t>Milwaukee, WI</t>
  </si>
  <si>
    <t>Top 10 Best Medical Billing In Milwaukee, WI In 2025</t>
  </si>
  <si>
    <t>https://medibillmd.com/blog/cpt-code-90832/</t>
  </si>
  <si>
    <t>CPT Code 90832 Description, Examples &amp; Reimbursement Guide</t>
  </si>
  <si>
    <t>Sacramento, CA</t>
  </si>
  <si>
    <t>Top 10 Best Medical Billing Companies In Sacramento, CA</t>
  </si>
  <si>
    <t>https://medibillmd.com/blog/bcbs-credentialing/</t>
  </si>
  <si>
    <t>Blue Cross Blue Shield (BCBS) Provider Credentialing Guide</t>
  </si>
  <si>
    <t>Birmingham, AL</t>
  </si>
  <si>
    <t>Top 10 Best Medical Billing Companies In Birmingham, AL</t>
  </si>
  <si>
    <t>https://medibillmd.com/blog/best-medical-billing-companies-in-knoxville-tn/</t>
  </si>
  <si>
    <t>Dallas, TX</t>
  </si>
  <si>
    <t>Top 10 Best Medical Billing Companies In Dallas, TX In 2025</t>
  </si>
  <si>
    <t>https://medibillmd.com/blog/cpt-code-99308/</t>
  </si>
  <si>
    <t>CPT Code 99308 Description, Examples &amp; Reimbursement Guide</t>
  </si>
  <si>
    <t>San Diego, CA</t>
  </si>
  <si>
    <t>Top 10 Best Medical Billing Companies In San Diego, CA, 2025</t>
  </si>
  <si>
    <t>https://medibillmd.com/blog/cpt-code-97813/</t>
  </si>
  <si>
    <t>CPT Code 97813 Description, Examples &amp; Reimbursement Guide</t>
  </si>
  <si>
    <t>Phoenix, AZ</t>
  </si>
  <si>
    <t>Top 10 Best Medical Billing Companies In Phoenix, AZ In 2025</t>
  </si>
  <si>
    <t>https://medibillmd.com/blog/cpt-code-97811/</t>
  </si>
  <si>
    <t>CPT Code 97811 Description, Examples &amp; Reimbursement Guide</t>
  </si>
  <si>
    <t>Chicago, IL</t>
  </si>
  <si>
    <t>Top 10 Best Medical Billing Companies In Chicago, IL In 2025</t>
  </si>
  <si>
    <t>https://medibillmd.com/blog/cpt-code-99381/</t>
  </si>
  <si>
    <t>CPT Code 99381 Description, Examples &amp; Reimbursement Guide</t>
  </si>
  <si>
    <t>Tampa, FL</t>
  </si>
  <si>
    <t>Top 10 Best Medical Billing Companies In Tampa, FL In 2025</t>
  </si>
  <si>
    <t>https://medibillmd.com/blog/cpt-code-90792/</t>
  </si>
  <si>
    <t>CPT Code 90792 Description, Examples &amp; Reimbursement Guide</t>
  </si>
  <si>
    <t>Portland, OR</t>
  </si>
  <si>
    <t>Top 10 Best Medical Billing Companies In Portland, OR - 2025</t>
  </si>
  <si>
    <t>https://medibillmd.com/blog/medical-billing-companies-in-aurora/</t>
  </si>
  <si>
    <t>Miami, FL</t>
  </si>
  <si>
    <t>Top 10 Best Medical Billing Companies In Miami, FL In 2025</t>
  </si>
  <si>
    <t>https://medibillmd.com/blog/cpt-code-99305/</t>
  </si>
  <si>
    <t>CPT Code 99305 Description, Examples &amp; Reimbursement Guide</t>
  </si>
  <si>
    <t>Atlanta, GA</t>
  </si>
  <si>
    <t>Top 10 Best Medical Billing Companies In Atlanta, GA In 2025</t>
  </si>
  <si>
    <t>https://medibillmd.com/blog/medical-billing-companies-in-cleveland/</t>
  </si>
  <si>
    <t>Ohio</t>
  </si>
  <si>
    <t>Top 10 Best Medical Billing Companies In Ohio In 2025</t>
  </si>
  <si>
    <t>https://medibillmd.com/blog/medical-billing-companies-in-louisville/</t>
  </si>
  <si>
    <t>Michigan</t>
  </si>
  <si>
    <t>Top 10 Best Medical Billing Companies In Michigan In 2025</t>
  </si>
  <si>
    <t>https://medibillmd.com/blog/cpt-code-99382/</t>
  </si>
  <si>
    <t>CPT Code 99382 Description, Examples &amp; Reimbursement Guide</t>
  </si>
  <si>
    <t>San Antonio, TX</t>
  </si>
  <si>
    <t>Top 10 Best Medical Billing Companies In San Antonio In 2025</t>
  </si>
  <si>
    <t>https://medibillmd.com/blog/cpt-code-99309/</t>
  </si>
  <si>
    <t>CPT Code 99309 Description, Examples &amp; Reimbursement Guide</t>
  </si>
  <si>
    <t>Las Vegas, NV</t>
  </si>
  <si>
    <t>Top 10 Best Medical Billing Companies In Las Vegas In 2025</t>
  </si>
  <si>
    <t>https://medibillmd.com/blog/cpt-code-99394/</t>
  </si>
  <si>
    <t>CPT Code 99394 Description, Examples &amp; Reimbursement Guide</t>
  </si>
  <si>
    <t>Texas</t>
  </si>
  <si>
    <t>Top 10 Best Medical Billing Companies In Texas In 2024</t>
  </si>
  <si>
    <t>https://medibillmd.com/blog/cpt-code-99391/</t>
  </si>
  <si>
    <t>CPT Code 99391 Description, Examples &amp; Reimbursement Guide</t>
  </si>
  <si>
    <t>Houston, TX</t>
  </si>
  <si>
    <t>Top 10 Best Medical Billing Companies In Houston In 2025</t>
  </si>
  <si>
    <t>https://medibillmd.com/blog/medical-billing-companies-in-new-jersey/</t>
  </si>
  <si>
    <t>Maryland</t>
  </si>
  <si>
    <t>Top 10 Best Medical Billing Companies In Maryland In 2025</t>
  </si>
  <si>
    <t>https://medibillmd.com/blog/medical-billing-companies-in-pennsylvania/</t>
  </si>
  <si>
    <t>Delaware</t>
  </si>
  <si>
    <t>Top 10 Best Medical Billing Companies In Delaware In 2025</t>
  </si>
  <si>
    <t>https://medibillmd.com/blog/medical-billing-companies-in-massachusetts/</t>
  </si>
  <si>
    <t>Virginia</t>
  </si>
  <si>
    <t>Top 10 Best Medical Billing Companies In Virginia In 2025</t>
  </si>
  <si>
    <t>https://medibillmd.com/blog/medical-billing-companies-in-illinois/</t>
  </si>
  <si>
    <t>Pittsburgh, PA</t>
  </si>
  <si>
    <t>Cardiology Medical Billing Services Pittsburgh, PA</t>
  </si>
  <si>
    <t>https://medibillmd.com/blog/medical-billing-companies-in-los-angeles/</t>
  </si>
  <si>
    <t>https://medibillmd.com/blog/mental-health-billing-companies/</t>
  </si>
  <si>
    <t>Top 10 Best Mental Health Billing Companies In USA In 2025</t>
  </si>
  <si>
    <t>https://medibillmd.com/blog/medical-billing-companies-in-new-york/</t>
  </si>
  <si>
    <t>https://medibillmd.com/blog/medical-billing-companies-in-california/</t>
  </si>
  <si>
    <t>https://medibillmd.com/blog/cpt-code-97810/</t>
  </si>
  <si>
    <t>CPT Code 97810 Description, Examples &amp; Reimbursement Guide</t>
  </si>
  <si>
    <t>https://medibillmd.com/blog/cpt-code-77063/</t>
  </si>
  <si>
    <t>CPT Code 77063 Description, Examples &amp; Reimbursement Guide</t>
  </si>
  <si>
    <t>https://medibillmd.com/blog/medical-billing-companies-in-georgia/</t>
  </si>
  <si>
    <t>https://medibillmd.com/blog/medical-billing-companies-in-florida/</t>
  </si>
  <si>
    <t>https://medibillmd.com/blog/dental-billing-companies/</t>
  </si>
  <si>
    <t>Top 10 Best Dental Billing Companies In The USA In 2025</t>
  </si>
  <si>
    <t>https://medibillmd.com/blog/dme-billing-companies/</t>
  </si>
  <si>
    <t>Top 10 Best DME Billing Companies In The USA In 2025</t>
  </si>
  <si>
    <t>https://medibillmd.com/blog/home-health-cpt-codes/</t>
  </si>
  <si>
    <t>Most Common Home Health CPT &amp; HCPCS Codes In 2025</t>
  </si>
  <si>
    <t>https://medibillmd.com/blog/cpt-code-97530/</t>
  </si>
  <si>
    <t>CPT Code 97530 Description, Examples &amp; Reimbursement Guide</t>
  </si>
  <si>
    <t>https://medibillmd.com/blog/cpt-code-90834/</t>
  </si>
  <si>
    <t>CPT Code 90834 Description, Examples &amp; Reimbursement Guide</t>
  </si>
  <si>
    <t>https://medibillmd.com/blog/medical-billing-companies-in-bend/</t>
  </si>
  <si>
    <t>https://medibillmd.com/blog/cpt-code-74176/</t>
  </si>
  <si>
    <t>CPT Code 74176 Description, Examples &amp; Reimbursement Guide</t>
  </si>
  <si>
    <t>https://medibillmd.com/blog/medical-billing-companies-in-st-louis/</t>
  </si>
  <si>
    <t>https://medibillmd.com/blog/cpt-code-76942/</t>
  </si>
  <si>
    <t>CPT Code 76942 Description, Examples &amp; Reimbursement Guide</t>
  </si>
  <si>
    <t>https://medibillmd.com/blog/medical-billing-companies-in-camden/</t>
  </si>
  <si>
    <t>https://medibillmd.com/blog/cpt-code-52000/</t>
  </si>
  <si>
    <t>CPT Code 52000 Description, Examples &amp; Reimbursement Guide</t>
  </si>
  <si>
    <t>https://medibillmd.com/blog/cpt-code-76705/</t>
  </si>
  <si>
    <t>CPT Code 76705 Description, Examples &amp; Reimbursement Guide</t>
  </si>
  <si>
    <t>https://medibillmd.com/blog/cpt-code-98943/</t>
  </si>
  <si>
    <t>CPT Code 98943 Description, Examples &amp; Reimbursement Guide</t>
  </si>
  <si>
    <t>https://medibillmd.com/blog/cpt-code-90791/</t>
  </si>
  <si>
    <t>CPT Code 90791 Description, Examples &amp; Reimbursement Guide</t>
  </si>
  <si>
    <t>https://medibillmd.com/blog/cpt-code-71250/</t>
  </si>
  <si>
    <t>CPT Code 71250 Description, Examples &amp; Reimbursement Guide</t>
  </si>
  <si>
    <t>https://medibillmd.com/blog/medical-billing-companies-in-salt-lake-city/</t>
  </si>
  <si>
    <t>https://medibillmd.com/blog/cpt-code-77067/</t>
  </si>
  <si>
    <t>CPT Code 77067 Description, Examples &amp; Reimbursement Guide</t>
  </si>
  <si>
    <t>https://medibillmd.com/blog/cpt-code-98940/</t>
  </si>
  <si>
    <t>CPT Code 98940 Description, Examples &amp; Reimbursement Guide</t>
  </si>
  <si>
    <t>https://medibillmd.com/blog/cpt-code-73721/</t>
  </si>
  <si>
    <t>CPT Code 73721 Description, Examples &amp; Reimbursement Guide</t>
  </si>
  <si>
    <t>https://medibillmd.com/blog/cpt-code-99439/</t>
  </si>
  <si>
    <t>CPT Code 99439 Description, Examples &amp; Reimbursement Guide</t>
  </si>
  <si>
    <t>https://medibillmd.com/blog/cpt-code-90837/</t>
  </si>
  <si>
    <t>CPT Code 90837 Description, Examples &amp; Reimbursement Guide</t>
  </si>
  <si>
    <t>https://medibillmd.com/blog/cpt-code-98941/</t>
  </si>
  <si>
    <t>CPT Code 98941 Description, Examples &amp; Reimbursement Guide</t>
  </si>
  <si>
    <t>https://medibillmd.com/blog/cpt-code-85025/</t>
  </si>
  <si>
    <t>CPT Code 85025 Description, Examples &amp; Reimbursement Guide</t>
  </si>
  <si>
    <t>https://medibillmd.com/blog/cpt-code-80048/</t>
  </si>
  <si>
    <t>CPT Code 80048 Description, Examples &amp; Reimbursement Guide</t>
  </si>
  <si>
    <t>https://medibillmd.com/blog/medical-billing-companies-in-oklahoma-city/</t>
  </si>
  <si>
    <t>https://medibillmd.com/blog/medical-billing-companies-in-kansas-city/</t>
  </si>
  <si>
    <t>https://medibillmd.com/blog/cpt-code-72148/</t>
  </si>
  <si>
    <t>CPT Code 72148 Description, Examples &amp; Reimbursement Guide</t>
  </si>
  <si>
    <t>https://medibillmd.com/blog/cpt-code-99487/</t>
  </si>
  <si>
    <t>CPT Code 99487 Description, Examples &amp; Reimbursement Guide</t>
  </si>
  <si>
    <t>https://medibillmd.com/blog/cpt-code-70450/</t>
  </si>
  <si>
    <t>CPT Code 70450 Description, Examples &amp; Reimbursement Guide</t>
  </si>
  <si>
    <t>https://medibillmd.com/blog/medical-billing-companies-in-minneapolis/</t>
  </si>
  <si>
    <t>https://medibillmd.com/blog/cpt-code-81002/</t>
  </si>
  <si>
    <t>CPT Code 81002 Description, Examples &amp; Reimbursement Guide</t>
  </si>
  <si>
    <t>https://medibillmd.com/blog/medical-billing-companies-in-columbia/</t>
  </si>
  <si>
    <t>https://medibillmd.com/blog/medical-billing-companies-in-boston/</t>
  </si>
  <si>
    <t>https://medibillmd.com/blog/cpt-code-80050/</t>
  </si>
  <si>
    <t>CPT Code 80050 Description, Examples &amp; Reimbursement Guide</t>
  </si>
  <si>
    <t>https://medibillmd.com/blog/cpt-code-11045/</t>
  </si>
  <si>
    <t>CPT Code 11045 Description, Examples &amp; Reimbursement Guide</t>
  </si>
  <si>
    <t>https://medibillmd.com/blog/cpt-code-31579/</t>
  </si>
  <si>
    <t>CPT Code 31579 Description, Examples &amp; Reimbursement Guide</t>
  </si>
  <si>
    <t>https://medibillmd.com/blog/cpt-code-74177/</t>
  </si>
  <si>
    <t>CPT Code 74177 Description, Examples &amp; Reimbursement Guide</t>
  </si>
  <si>
    <t>https://medibillmd.com/blog/cpt-code-81001/</t>
  </si>
  <si>
    <t>CPT Code 81001 Description, Examples &amp; Reimbursement Guide</t>
  </si>
  <si>
    <t>https://medibillmd.com/blog/cpt-code-92550/</t>
  </si>
  <si>
    <t>CPT Code 92550 Description, Examples &amp; Reimbursement Guide</t>
  </si>
  <si>
    <t>https://medibillmd.com/blog/medical-billing-companies-in-fresno/</t>
  </si>
  <si>
    <t>https://medibillmd.com/blog/modifier-q9/</t>
  </si>
  <si>
    <t>What Is Modifier Q9 In Medical Billing?</t>
  </si>
  <si>
    <t>https://medibillmd.com/blog/denial-code-119/</t>
  </si>
  <si>
    <t>Denial Code 119 Description, Reasons &amp; Resolution Guide</t>
  </si>
  <si>
    <t>https://medibillmd.com/blog/cpt-code-23472/</t>
  </si>
  <si>
    <t>CPT Code 23472 Description, Examples &amp; Reimbursement Guide</t>
  </si>
  <si>
    <t>https://medibillmd.com/blog/medical-billing-companies-in-el-paso/</t>
  </si>
  <si>
    <t>https://medibillmd.com/blog/cpt-code-93000/</t>
  </si>
  <si>
    <t>CPT Code 93000 Description | EKG Interpretation CPT Code</t>
  </si>
  <si>
    <t>f</t>
  </si>
  <si>
    <t>https://medibillmd.com/blog/cpt-code-97598/</t>
  </si>
  <si>
    <t>CPT Code 97598 Description, Scenarios &amp; Applicable Modifiers</t>
  </si>
  <si>
    <t>https://medibillmd.com/blog/cpt-code-97602/</t>
  </si>
  <si>
    <t>CPT Code 97602 Description, Scenarios &amp; Applicable Modifiers</t>
  </si>
  <si>
    <t>https://medibillmd.com/blog/modifier-q8/</t>
  </si>
  <si>
    <t>Modifier Q8 In Medical Billing | Description, Usage &amp; More</t>
  </si>
  <si>
    <t>https://medibillmd.com/blog/cpt-code-95811/</t>
  </si>
  <si>
    <t>CPT Code 95811 Description, Scenarios &amp; Applicable Modifiers</t>
  </si>
  <si>
    <t>https://medibillmd.com/blog/medical-billing-companies-in-seattle/</t>
  </si>
  <si>
    <t>https://medibillmd.com/blog/cpt-code-95165/</t>
  </si>
  <si>
    <t>CPT Code 95165 Description, Scenarios &amp; Applicable Modifiers</t>
  </si>
  <si>
    <t>https://medibillmd.com/blog/cpt-code-31237/</t>
  </si>
  <si>
    <t>CPT Code 31237 Description, Scenarios &amp; Applicable Modifiers</t>
  </si>
  <si>
    <t>https://medibillmd.com/blog/medical-billing-companies-in-indianapolis/</t>
  </si>
  <si>
    <t>https://medibillmd.com/blog/medical-billing-companies-in-san-francisco/</t>
  </si>
  <si>
    <t>https://medibillmd.com/blog/cpt-code-12001/</t>
  </si>
  <si>
    <t>CPT Code 12001 Description, Scenarios &amp; Applicable Modifiers</t>
  </si>
  <si>
    <t>https://medibillmd.com/blog/medical-billing-companies-in-philadelphia/</t>
  </si>
  <si>
    <t>https://medibillmd.com/blog/medical-billing-companies-in-milwaukee/</t>
  </si>
  <si>
    <t>https://medibillmd.com/blog/cpt-code-81003/</t>
  </si>
  <si>
    <t>CPT Code 81003 Description, Scenarios &amp; Applicable Modifiers</t>
  </si>
  <si>
    <t>https://medibillmd.com/blog/cpt-code-69433/</t>
  </si>
  <si>
    <t>CPT Code 69433 Description, Scenarios &amp; Applicable Modifiers</t>
  </si>
  <si>
    <t>https://medibillmd.com/blog/cpt-code-66984/</t>
  </si>
  <si>
    <t>CPT Code 66984 Description, Scenarios &amp; Applicable Modifiers</t>
  </si>
  <si>
    <t>https://medibillmd.com/blog/cpt-code-92310/</t>
  </si>
  <si>
    <t>CPT Code 92310 Description, Scenarios &amp; Applicable Modifiers</t>
  </si>
  <si>
    <t>https://medibillmd.com/blog/denial-code-253/</t>
  </si>
  <si>
    <t>CO253 Denial Code: What Is Sequestration In Medical Billing?</t>
  </si>
  <si>
    <t>https://medibillmd.com/blog/podiatry-cpt-codes/</t>
  </si>
  <si>
    <t>Understanding The Most Common Podiatry CPT Codes In 2024</t>
  </si>
  <si>
    <t>https://medibillmd.com/blog/cpt-code-90999/</t>
  </si>
  <si>
    <t>CPT Code 90999 Description, Scenarios &amp; Applicable Modifiers</t>
  </si>
  <si>
    <t>https://medibillmd.com/blog/modifier-qw/</t>
  </si>
  <si>
    <t>What Is QW Modifier? | Description &amp; Billing Guidelines</t>
  </si>
  <si>
    <t>https://medibillmd.com/blog/cpt-code-29888/</t>
  </si>
  <si>
    <t>CPT Code 29888 Description, Scenarios &amp; Applicable Modifiers</t>
  </si>
  <si>
    <t>https://medibillmd.com/blog/cpt-code-20605/</t>
  </si>
  <si>
    <t>CPT Code 20605 Description, Scenarios &amp; Applicable Modifiers</t>
  </si>
  <si>
    <t>https://medibillmd.com/blog/cpt-code-20550/</t>
  </si>
  <si>
    <t>CPT Code 20550 Description, Scenarios &amp; Applicable Modifiers</t>
  </si>
  <si>
    <t>https://medibillmd.com/blog/cpt-code-83036/</t>
  </si>
  <si>
    <t>CPT Code 83036 Description, Scenarios &amp; Applicable Modifiers</t>
  </si>
  <si>
    <t>https://medibillmd.com/blog/cpt-code-92567/</t>
  </si>
  <si>
    <t>CPT Code 92567 Description, Scenarios &amp; Applicable Modifiers</t>
  </si>
  <si>
    <t>https://medibillmd.com/blog/cpt-code-20680/</t>
  </si>
  <si>
    <t>CPT Code 20680 Description, Scenarios &amp; Applicable Modifiers</t>
  </si>
  <si>
    <t>https://medibillmd.com/blog/modifier-90/</t>
  </si>
  <si>
    <t>Modifier 90 Description, Examples, &amp; Usage Guidelines</t>
  </si>
  <si>
    <t>https://medibillmd.com/blog/asc-coding/</t>
  </si>
  <si>
    <t>Ambulatory Surgery Center(ASC) Coding Guidelines &amp; CPT Codes</t>
  </si>
  <si>
    <t>https://medibillmd.com/blog/medical-billing-companies-in-san-jose/</t>
  </si>
  <si>
    <t>Top 10 Best Medical Billing &amp; RCM Companies In San Jose, CA</t>
  </si>
  <si>
    <t>https://medibillmd.com/blog/cpt-code-92557/</t>
  </si>
  <si>
    <t>CPT Code 92557 Description, Scenarios &amp; Applicable Modifiers</t>
  </si>
  <si>
    <t>https://medibillmd.com/blog/cpt-code-27447/</t>
  </si>
  <si>
    <t>CPT Code 27447 Description, Scenarios &amp; Applicable Modifiers</t>
  </si>
  <si>
    <t>https://medibillmd.com/blog/cpt-code-31575/</t>
  </si>
  <si>
    <t>CPT Code 31575 Description, Scenarios &amp; Applicable Modifiers</t>
  </si>
  <si>
    <t>https://medibillmd.com/blog/cpt-code-80061/</t>
  </si>
  <si>
    <t>CPT Code 80061 Description, Scenarios &amp; Applicable Modifiers</t>
  </si>
  <si>
    <t>https://medibillmd.com/blog/cpt-code-84443/</t>
  </si>
  <si>
    <t>CPT Code 84443 Description, Scenarios &amp; Applicable Modifiers</t>
  </si>
  <si>
    <t>https://medibillmd.com/blog/cpt-code-31231/</t>
  </si>
  <si>
    <t>CPT Code 31231 Description, Scenarios &amp; Applicable Modifiers</t>
  </si>
  <si>
    <t>https://medibillmd.com/blog/denial-code-31/</t>
  </si>
  <si>
    <t>PR 31 Denial Code Description, Reasons &amp; Resolution Guide</t>
  </si>
  <si>
    <t>https://medibillmd.com/blog/cpt-code-29881/</t>
  </si>
  <si>
    <t>CPT Code 29881 Description, Scenarios &amp; Applicable Modifiers</t>
  </si>
  <si>
    <t>https://medibillmd.com/blog/cpt-code-80053/</t>
  </si>
  <si>
    <t>CPT Code 80053 Description, Scenarios &amp; Applicable Modifiers</t>
  </si>
  <si>
    <t>https://medibillmd.com/blog/cpt-code-69210/</t>
  </si>
  <si>
    <t>CPT Code 69210 Description, Scenarios &amp; Applicable Modifiers</t>
  </si>
  <si>
    <t>https://medibillmd.com/blog/cpt-code-97605/</t>
  </si>
  <si>
    <t>CPT Code 97605 Description, Scenarios &amp; Applicable Modifiers</t>
  </si>
  <si>
    <t>https://medibillmd.com/blog/cpt-code-11044/</t>
  </si>
  <si>
    <t>CPT Code 11044 Description, Scenarios &amp; Applicable Modifiers</t>
  </si>
  <si>
    <t>https://medibillmd.com/blog/cpt-code-11042/</t>
  </si>
  <si>
    <t>CPT Code 11042 Description, Scenarios &amp; Applicable Modifiers</t>
  </si>
  <si>
    <t>https://medibillmd.com/blog/denial-code-13/</t>
  </si>
  <si>
    <t>CO 13 Denial Code Description, Reasons &amp; Resolution Guide</t>
  </si>
  <si>
    <t>https://medibillmd.com/blog/co-286-denial-code/</t>
  </si>
  <si>
    <t>CO 286 Denial Code Description, Reasons &amp; Resolution Guide</t>
  </si>
  <si>
    <t>https://medibillmd.com/blog/cpt-code-62270/</t>
  </si>
  <si>
    <t>CPT Code 62270 Description, Scenarios &amp; Applicable Modifiers</t>
  </si>
  <si>
    <t>https://medibillmd.com/blog/cpt-code-95816/</t>
  </si>
  <si>
    <t>CPT Code 95816 Description, Scenarios &amp; Applicable Modifiers</t>
  </si>
  <si>
    <t>https://medibillmd.com/blog/cpt-code-95806/</t>
  </si>
  <si>
    <t>CPT Code 95806 Description, Scenarios &amp; Applicable Modifiers</t>
  </si>
  <si>
    <t>https://medibillmd.com/blog/cpt-code-95886/</t>
  </si>
  <si>
    <t>CPT Code 95886 Description, Scenarios &amp; Applicable Modifiers</t>
  </si>
  <si>
    <t>https://medibillmd.com/blog/cpt-code-19125/</t>
  </si>
  <si>
    <t>CPT Code 19125 Description, Scenarios &amp; Applicable Modifiers</t>
  </si>
  <si>
    <t>https://medibillmd.com/blog/pr-272-denial-code/</t>
  </si>
  <si>
    <t>PR 272 Denial Code Description, Reasons &amp; Resolution Guide</t>
  </si>
  <si>
    <t>https://medibillmd.com/blog/medical-billing-companies-in-orlando/</t>
  </si>
  <si>
    <t>Top 10 Best Medical Billing Companies In Orlando, FL In 2025</t>
  </si>
  <si>
    <t>https://medibillmd.com/blog/cpt-code-77290/</t>
  </si>
  <si>
    <t>CPT Code 77290 Description, Scenarios &amp; Applicable Modifiers</t>
  </si>
  <si>
    <t>https://medibillmd.com/blog/medical-billing-companies-in-austin/</t>
  </si>
  <si>
    <t>Top 10 Best Medical Billing Companies In Austin, TX In 2025</t>
  </si>
  <si>
    <t>https://medibillmd.com/blog/cpt-code-43239/</t>
  </si>
  <si>
    <t>CPT Code 43239 Description, Scenarios &amp; Applicable Modifiers</t>
  </si>
  <si>
    <t>https://medibillmd.com/blog/cpt-code-43249/</t>
  </si>
  <si>
    <t>CPT Code 43249 Description, Scenarios &amp; Applicable Modifiers</t>
  </si>
  <si>
    <t>https://medibillmd.com/blog/cpt-code-43248/</t>
  </si>
  <si>
    <t>CPT Code 43248 Description, Scenarios &amp; Applicable Modifiers</t>
  </si>
  <si>
    <t>https://medibillmd.com/blog/cpt-code-45380/</t>
  </si>
  <si>
    <t>CPT Code 45380 Description, Scenarios &amp; Applicable Modifiers</t>
  </si>
  <si>
    <t>https://medibillmd.com/blog/cpt-code-45385/</t>
  </si>
  <si>
    <t>CPT Code 45385 Description, Examples, Modifiers &amp; Guidelines</t>
  </si>
  <si>
    <t>https://medibillmd.com/blog/cpt-code-45384/</t>
  </si>
  <si>
    <t>CPT Code 45384 Description, Examples, Modifiers &amp; Guidelines</t>
  </si>
  <si>
    <t>https://medibillmd.com/blog/cpt-code-77280/</t>
  </si>
  <si>
    <t>CPT Code 77280 Description, Examples, Modifiers &amp; Guidelines</t>
  </si>
  <si>
    <t>https://medibillmd.com/blog/cpt-code-45378/</t>
  </si>
  <si>
    <t>CPT Code 45378 Description, Examples, Modifiers &amp; Guidelines</t>
  </si>
  <si>
    <t>https://medibillmd.com/blog/cpt-code-19301/</t>
  </si>
  <si>
    <t>CPT Code 19301 Description, Examples, Modifiers &amp; Guidelines</t>
  </si>
  <si>
    <t>https://medibillmd.com/blog/cpt-code-59812/</t>
  </si>
  <si>
    <t>CPT Code 59812 Description, Examples, Modifiers &amp; Guidelines</t>
  </si>
  <si>
    <t>https://medibillmd.com/blog/cpt-code-19303/</t>
  </si>
  <si>
    <t>CPT Code 19303 Description, Examples, Modifiers &amp; Guidelines</t>
  </si>
  <si>
    <t>https://medibillmd.com/blog/cpt-code-11750/</t>
  </si>
  <si>
    <t>CPT Code 11750 Description, Examples, Modifiers &amp; Guidelines</t>
  </si>
  <si>
    <t>https://medibillmd.com/blog/cpt-code-77386/</t>
  </si>
  <si>
    <t>CPT Code 77386 Description, Examples, Modifiers &amp; Guidelines</t>
  </si>
  <si>
    <t>https://medibillmd.com/blog/cpt-code-77301/</t>
  </si>
  <si>
    <t>CPT Code 77301 Description, Examples, Modifiers &amp; Guidelines</t>
  </si>
  <si>
    <t>https://medibillmd.com/blog/medical-billing-companies-in-sacramento/</t>
  </si>
  <si>
    <t>https://medibillmd.com/blog/medical-billing-companies-in-birmingham/</t>
  </si>
  <si>
    <t>https://medibillmd.com/blog/cpt-code-76801/</t>
  </si>
  <si>
    <t>CPT Code 76801 Description, Examples, Modifiers &amp; Guidelines</t>
  </si>
  <si>
    <t>https://medibillmd.com/blog/cpt-code-11056/</t>
  </si>
  <si>
    <t>CPT Code 11056 Description, Examples, Modifiers &amp; Guidelines</t>
  </si>
  <si>
    <t>https://medibillmd.com/blog/cpt-code-11730/</t>
  </si>
  <si>
    <t>CPT Code 11730 Description, Examples, Modifiers &amp; Guidelines</t>
  </si>
  <si>
    <t>https://medibillmd.com/blog/medical-billing-companies-in-dallas/</t>
  </si>
  <si>
    <t>https://medibillmd.com/blog/medical-billing-compliance/</t>
  </si>
  <si>
    <t>What Is Healthcare Compliance? | Medical Billing Compliance</t>
  </si>
  <si>
    <t>https://medibillmd.com/blog/medical-billing-companies-in-san-diego/</t>
  </si>
  <si>
    <t>https://medibillmd.com/blog/cpt-code-70553/</t>
  </si>
  <si>
    <t>CPT Code 70553 Description, Examples, Modifiers &amp; Guidelines</t>
  </si>
  <si>
    <t>https://medibillmd.com/blog/cpt-code-93798/</t>
  </si>
  <si>
    <t>CPT Code 93798 Description, Usage Examples &amp; Billing Guide</t>
  </si>
  <si>
    <t>https://medibillmd.com/blog/cpt-code-93015/</t>
  </si>
  <si>
    <t>CPT Code 93015 Description, Usage Examples &amp; Billing Guide</t>
  </si>
  <si>
    <t>https://medibillmd.com/blog/modifier-82/</t>
  </si>
  <si>
    <t>Modifier 82 Description, Examples, And Usage Guidelines</t>
  </si>
  <si>
    <t>https://medibillmd.com/blog/cpt-code-67904/</t>
  </si>
  <si>
    <t>CPT Code 67904 Description, Scenarios, &amp; Billing Guidelines</t>
  </si>
  <si>
    <t>https://medibillmd.com/blog/cpt-code-44140/</t>
  </si>
  <si>
    <t>CPT Code 44140 Description, Usage Scenarios &amp; Billing Guide</t>
  </si>
  <si>
    <t>https://medibillmd.com/blog/plastic-surgery-cpt-codes/</t>
  </si>
  <si>
    <t>Most Common Plastic Surgery CPT Codes List 2025</t>
  </si>
  <si>
    <t>https://medibillmd.com/blog/cpt-code-15877/</t>
  </si>
  <si>
    <t>CPT Code 15877 Description, Applicable Modifier &amp; Guidelines</t>
  </si>
  <si>
    <t>https://medibillmd.com/blog/cpt-code-90686/</t>
  </si>
  <si>
    <t>CPT Code 90686 Description, Usage Scenarios &amp; Guidelines</t>
  </si>
  <si>
    <t>https://medibillmd.com/blog/cpt-code-96365/</t>
  </si>
  <si>
    <t>CPT Code 96365 Description, Examples, Modifiers &amp; Guidelines</t>
  </si>
  <si>
    <t>https://medibillmd.com/blog/cpt-code-96415/</t>
  </si>
  <si>
    <t>CPT Code 96415 Description, Examples, Modifiers &amp; Guidelines</t>
  </si>
  <si>
    <t>https://medibillmd.com/blog/cpt-code-58570/</t>
  </si>
  <si>
    <t>CPT Code 58570 Description, Usage Examples &amp; Billing Guide</t>
  </si>
  <si>
    <t>https://medibillmd.com/blog/cpt-code-58150/</t>
  </si>
  <si>
    <t>CPT Code 58150 Description, Usage Scenarios &amp; Guidelines</t>
  </si>
  <si>
    <t>https://medibillmd.com/blog/cpt-code-61510/</t>
  </si>
  <si>
    <t>CPT Code 61510 Description, Examples &amp; Billing Guidelines</t>
  </si>
  <si>
    <t>https://medibillmd.com/blog/neurosurgery-cpt-codes/</t>
  </si>
  <si>
    <t>Most Common Neurosurgery CPT Codes List 2025</t>
  </si>
  <si>
    <t>https://medibillmd.com/blog/radiology-cpt-codes/</t>
  </si>
  <si>
    <t>CPT Codes For Radiology Procedures &amp; Coding Guidelines 2024</t>
  </si>
  <si>
    <t>https://medibillmd.com/blog/modifier-23/</t>
  </si>
  <si>
    <t>Modifier 23 Description, Examples, &amp; Usage Guidelines</t>
  </si>
  <si>
    <t>https://medibillmd.com/blog/cpt-code-25000/</t>
  </si>
  <si>
    <t>CPT Code 25000 Description, Examples &amp; Billing Guidelines</t>
  </si>
  <si>
    <t>https://medibillmd.com/blog/modifier-xp/</t>
  </si>
  <si>
    <t>What Is Modifier XP? | Description, Scenarios &amp; Guidelines</t>
  </si>
  <si>
    <t>https://medibillmd.com/blog/modifier-66/</t>
  </si>
  <si>
    <t>Modifier 66 Description, Examples &amp; Accurate Usage Guideline</t>
  </si>
  <si>
    <t>https://medibillmd.com/blog/modifier-27/</t>
  </si>
  <si>
    <t>Modifier 27 Description, Examples &amp; Accurate Usage Guide</t>
  </si>
  <si>
    <t>https://medibillmd.com/blog/cpt-code-91110/</t>
  </si>
  <si>
    <t>CPT Code 91110 Description, Examples &amp; Reimbursement Guide</t>
  </si>
  <si>
    <t>https://medibillmd.com/blog/physical-therapy-cpt-codes/</t>
  </si>
  <si>
    <t>Physical Therapy CPT Codes 2024 | MediBill MD</t>
  </si>
  <si>
    <t>https://medibillmd.com/blog/cpt-code-92920/</t>
  </si>
  <si>
    <t>CPT Code 92920 Description, Usage Examples &amp; Billing Guide</t>
  </si>
  <si>
    <t>https://medibillmd.com/blog/cpt-code-11720/</t>
  </si>
  <si>
    <t>CPT Code 11720 Description, Examples, Modifiers &amp; Guidelines</t>
  </si>
  <si>
    <t>https://medibillmd.com/blog/cpt-code-58100/</t>
  </si>
  <si>
    <t>CPT Code 58100 Description, Examples, Modifiers &amp; Guidelines</t>
  </si>
  <si>
    <t>https://medibillmd.com/blog/cpt-code-58300/</t>
  </si>
  <si>
    <t>CPT Code 58300 Description, Examples, Modifiers &amp; Guidelines</t>
  </si>
  <si>
    <t>https://medibillmd.com/blog/medical-billing-companies-in-phoenix/</t>
  </si>
  <si>
    <t>https://medibillmd.com/blog/acupuncture-cpt-codes/</t>
  </si>
  <si>
    <t>Most Common Acupuncture CPT Codes | Billing &amp; Coding Guide</t>
  </si>
  <si>
    <t>https://medibillmd.com/blog/cardiology-cpt-codes/</t>
  </si>
  <si>
    <t>Cardiology CPT Codes And Best Practices</t>
  </si>
  <si>
    <t>https://medibillmd.com/blog/cpt-code-96375/</t>
  </si>
  <si>
    <t>CPT Code 96375 Description, Examples, Modifiers &amp; Guidelines</t>
  </si>
  <si>
    <t>https://medibillmd.com/blog/medical-billing-companies-in-chicago/</t>
  </si>
  <si>
    <t>https://medibillmd.com/blog/medical-billing-companies-in-tampa/</t>
  </si>
  <si>
    <t>https://medibillmd.com/blog/medical-billing-companies-in-portland/</t>
  </si>
  <si>
    <t>https://medibillmd.com/blog/cpt-code-96413/</t>
  </si>
  <si>
    <t>CPT Code 96413 Description, Examples, Modifiers &amp; Guidelines</t>
  </si>
  <si>
    <t>https://medibillmd.com/blog/cpt-code-70552/</t>
  </si>
  <si>
    <t>CPT Code 70552 Description, Examples, Modifiers &amp; Guidelines</t>
  </si>
  <si>
    <t>https://medibillmd.com/blog/cpt-code-58301/</t>
  </si>
  <si>
    <t>CPT Code 58301 Description, Examples, Modifiers &amp; Guidelines</t>
  </si>
  <si>
    <t>https://medibillmd.com/blog/cpt-code-77263/</t>
  </si>
  <si>
    <t>CPT Code 77263 Description, Examples, Modifiers &amp; Guidelines</t>
  </si>
  <si>
    <t>https://medibillmd.com/blog/medical-billing-companies-in-miami/</t>
  </si>
  <si>
    <t>https://medibillmd.com/blog/cpt-code-11055/</t>
  </si>
  <si>
    <t>CPT Code 11055 Description, Examples, Modifiers &amp; Guidelines</t>
  </si>
  <si>
    <t>https://medibillmd.com/blog/cpt-code-70551/</t>
  </si>
  <si>
    <t>CPT Code 70551 Description, Applicable Scenarios &amp; Modifiers</t>
  </si>
  <si>
    <t>https://medibillmd.com/blog/medical-billing-companies-in-atlanta/</t>
  </si>
  <si>
    <t>https://medibillmd.com/blog/modifier-gz/</t>
  </si>
  <si>
    <t>What Is Modifier GZ In Medical Billing? | Usage Guidelines</t>
  </si>
  <si>
    <t>https://medibillmd.com/blog/cpt-code-96366/</t>
  </si>
  <si>
    <t>CPT Code 96366 Description, Examples, Modifiers &amp; Guidelines</t>
  </si>
  <si>
    <t>https://medibillmd.com/blog/what-is-mso/</t>
  </si>
  <si>
    <t>What Are Healthcare Management Service Organizations (MSO)?</t>
  </si>
  <si>
    <t>https://medibillmd.com/blog/cpt-code-11721/</t>
  </si>
  <si>
    <t>CPT Code 11721 Description, Examples, Modifiers &amp; Guidelines</t>
  </si>
  <si>
    <t>https://medibillmd.com/blog/revenue-cycle-analytics/</t>
  </si>
  <si>
    <t>What Is Revenue Cycle Analytics For Medical Practices?</t>
  </si>
  <si>
    <t>https://medibillmd.com/blog/cpt-code-47563/</t>
  </si>
  <si>
    <t>CPT Code 47563 Description, Examples, Modifiers &amp; Guidelines</t>
  </si>
  <si>
    <t>https://medibillmd.com/blog/cpt-code-93297/</t>
  </si>
  <si>
    <t>CPT Code 93297 Description, Examples, Modifiers &amp; Guidelines</t>
  </si>
  <si>
    <t>https://medibillmd.com/blog/cpt-code-27130/</t>
  </si>
  <si>
    <t>CPT Code 27130 Description, Usage Examples &amp; Billing Guide</t>
  </si>
  <si>
    <t>https://medibillmd.com/blog/cpt-code-27279/</t>
  </si>
  <si>
    <t>CPT Code 27279 Description, Usage Examples &amp; Billing Guide</t>
  </si>
  <si>
    <t>https://medibillmd.com/blog/cpt-code-93018/</t>
  </si>
  <si>
    <t>CPT Code 93018 Description, Usage Examples &amp; Billing Guide</t>
  </si>
  <si>
    <t>https://medibillmd.com/blog/cpt-code-99204/</t>
  </si>
  <si>
    <t>CPT Code 99204 Description, Applicable Scenario &amp; Guidelines</t>
  </si>
  <si>
    <t>https://medibillmd.com/blog/cpt-code-33533/</t>
  </si>
  <si>
    <t>CPT Code 33533 Description, Usage Examples &amp; Billing Guide</t>
  </si>
  <si>
    <t>https://medibillmd.com/blog/cpt-code-93325/</t>
  </si>
  <si>
    <t>CPT Code 93325 Description, Usage Examples &amp; Billing Guide</t>
  </si>
  <si>
    <t>https://medibillmd.com/blog/chiropractic-cpt-codes/</t>
  </si>
  <si>
    <t>Common Chiropractic CPT Codes &amp; Coding Guidelines 2024</t>
  </si>
  <si>
    <t>https://medibillmd.com/blog/cpt-code-93296/</t>
  </si>
  <si>
    <t>CPT Code 93296 Description, Usage Examples &amp; Billing Guide</t>
  </si>
  <si>
    <t>https://medibillmd.com/blog/cpt-code-93224/</t>
  </si>
  <si>
    <t>CPT Code 93224 Description, Usage Examples &amp; Billing Guide</t>
  </si>
  <si>
    <t>https://medibillmd.com/blog/cpt-code-93458/</t>
  </si>
  <si>
    <t>CPT Code 93458 Description, Usage Examples &amp; Billing Guide</t>
  </si>
  <si>
    <t>https://medibillmd.com/blog/cpt-code-93005/</t>
  </si>
  <si>
    <t>CPT Code 93005 Description, Usage Examples &amp; Billing Guide</t>
  </si>
  <si>
    <t>https://medibillmd.com/blog/cpt-code-93010/</t>
  </si>
  <si>
    <t>CPT Code 93010 Description, Usage Examples &amp; Billing Guide</t>
  </si>
  <si>
    <t>https://medibillmd.com/blog/cpt-code-01922/</t>
  </si>
  <si>
    <t>CPT Code 01922 Description, Usage Examples &amp; Billing Guide</t>
  </si>
  <si>
    <t>https://medibillmd.com/blog/modifier-81/</t>
  </si>
  <si>
    <t>Modifier 81 Description, Examples, And Usage Guidelines</t>
  </si>
  <si>
    <t>https://medibillmd.com/blog/modifier-95/</t>
  </si>
  <si>
    <t>Modifier 95 Description, Examples, And Usage Guidelines</t>
  </si>
  <si>
    <t>https://medibillmd.com/blog/cpt-code-47562/</t>
  </si>
  <si>
    <t>CPT Code 47562 Description, Scenarios, &amp; Billing Guidelines</t>
  </si>
  <si>
    <t>https://medibillmd.com/blog/modifier-53/</t>
  </si>
  <si>
    <t>Modifier 53 Description, Examples &amp; Accurate Usage Guide</t>
  </si>
  <si>
    <t>https://medibillmd.com/blog/modifier-91/</t>
  </si>
  <si>
    <t>Modifier 91 Description, Examples, And Usage Guidelines</t>
  </si>
  <si>
    <t>https://medibillmd.com/blog/modifier-sl/</t>
  </si>
  <si>
    <t>Modifier SL Description, Scenarios, And Billing Guidelines</t>
  </si>
  <si>
    <t>https://medibillmd.com/blog/cpt-code-49083/</t>
  </si>
  <si>
    <t>CPT Code 49083 Description, Usage Scenarios, &amp; Guidelines</t>
  </si>
  <si>
    <t>https://medibillmd.com/blog/cpt-code-00142/</t>
  </si>
  <si>
    <t>CPT Code 00142 Description | Applicable Scenario &amp; Modifiers</t>
  </si>
  <si>
    <t>https://medibillmd.com/blog/cpt-codes-for-urology-procedures/</t>
  </si>
  <si>
    <t>CPT Codes For Urology Procedures &amp; Coding Guidelines 2024</t>
  </si>
  <si>
    <t>https://medibillmd.com/blog/modifier-xe/</t>
  </si>
  <si>
    <t>XE Modifier Description, Uses &amp; Billing Guidelines</t>
  </si>
  <si>
    <t>https://medibillmd.com/blog/gastroenterology-cpt-codes/</t>
  </si>
  <si>
    <t>Most Common Gastroenterology CPT Codes | Updated 2024</t>
  </si>
  <si>
    <t>https://medibillmd.com/blog/cpt-code-15823/</t>
  </si>
  <si>
    <t>CPT Code 15823 Description, Scenarios &amp; Applicable Modifiers</t>
  </si>
  <si>
    <t>https://medibillmd.com/blog/cpt-code-15847/</t>
  </si>
  <si>
    <t>CPT Code 15847 Description, Usage Scenarios &amp; Billing Guide</t>
  </si>
  <si>
    <t>https://medibillmd.com/blog/medical-billing-companies-in-ohio/</t>
  </si>
  <si>
    <t>https://medibillmd.com/blog/cpt-code-58970/</t>
  </si>
  <si>
    <t>CPT Code 58970 Description, Applicable Modifier &amp; Guidelines</t>
  </si>
  <si>
    <t>https://medibillmd.com/blog/cpt-code-92204/</t>
  </si>
  <si>
    <t>What Is CPT Code 92014? Description, Example &amp; Billing Guide</t>
  </si>
  <si>
    <t>https://medibillmd.com/blog/cpt-code-52601/</t>
  </si>
  <si>
    <t>CPT Code 52601 Description, Applicable Scenarios &amp; Modifiers</t>
  </si>
  <si>
    <t>https://medibillmd.com/blog/modifiers-rt-and-lt/</t>
  </si>
  <si>
    <t>Modifier RT &amp; LT Description, Applicable Scenario &amp; Billing</t>
  </si>
  <si>
    <t>https://medibillmd.com/blog/cpt-code-94010/</t>
  </si>
  <si>
    <t>CPT Code 94010 Description, Applicable Scenarios &amp; Modifiers</t>
  </si>
  <si>
    <t>https://medibillmd.com/blog/cpt-code-76700/</t>
  </si>
  <si>
    <t>CPT Code 76700 Description, Applicable Scenarios &amp; Modifiers</t>
  </si>
  <si>
    <t>https://medibillmd.com/blog/cpt-code-99203/</t>
  </si>
  <si>
    <t>What Is CPT Code 99203? | Description &amp; Billing Guidelines</t>
  </si>
  <si>
    <t>https://medibillmd.com/blog/cpt-code-20610/</t>
  </si>
  <si>
    <t>CPT Code 20610 Description, Examples, Modifiers &amp; Guidelines</t>
  </si>
  <si>
    <t>https://medibillmd.com/blog/modifier-50/</t>
  </si>
  <si>
    <t>What Is Modifier 50? | Description, Examples &amp; Reimbursement</t>
  </si>
  <si>
    <t>https://medibillmd.com/blog/modifier-gy/</t>
  </si>
  <si>
    <t>What Is GY Modifier? | Description, Usage &amp; Billing Guide</t>
  </si>
  <si>
    <t>https://medibillmd.com/blog/icd-10-codes-for-skin-tags/</t>
  </si>
  <si>
    <t>Common ICD 10 Codes For Skin Tags</t>
  </si>
  <si>
    <t>https://medibillmd.com/blog/modifier-xu/</t>
  </si>
  <si>
    <t>What Is Modifier XU? | Description, Examples &amp; Billing Guide</t>
  </si>
  <si>
    <t>https://medibillmd.com/blog/cpt-code-97760/</t>
  </si>
  <si>
    <t>CPT Code 97760 Description, Examples &amp; Reimbursement Guide</t>
  </si>
  <si>
    <t>https://medibillmd.com/blog/recoupment-payment/</t>
  </si>
  <si>
    <t>Recoupment Payment In Medical Billing Vs Refunds Vs Offset</t>
  </si>
  <si>
    <t>https://medibillmd.com/blog/cpt-code-77427/</t>
  </si>
  <si>
    <t>CPT Code 77427 Description, Examples &amp; Reimbursement Guide</t>
  </si>
  <si>
    <t>https://medibillmd.com/blog/j-codes-in-medical-billing/</t>
  </si>
  <si>
    <t>What Are J Codes In Medical Billing? | How Do They Work?</t>
  </si>
  <si>
    <t>https://medibillmd.com/blog/coordination-of-benefits/</t>
  </si>
  <si>
    <t>What Is Coordination Of Benefits (COB) In Medical Billing?</t>
  </si>
  <si>
    <t>https://medibillmd.com/blog/cpt-code-00812/</t>
  </si>
  <si>
    <t>CPT Code 00812 Description, Applicable Scenario &amp; Guidelines</t>
  </si>
  <si>
    <t>https://medibillmd.com/blog/cpt-code-77295/</t>
  </si>
  <si>
    <t>CPT Code 77295 Description, Applicable Modifier &amp; Guidelines</t>
  </si>
  <si>
    <t>https://medibillmd.com/blog/cpt-code-77300/</t>
  </si>
  <si>
    <t>CPT Code 77300 Description, Scenarios &amp; Billing Guidelines</t>
  </si>
  <si>
    <t>https://medibillmd.com/blog/cpt-code-91010/</t>
  </si>
  <si>
    <t>CPT Code 91010 Description, Applicable Scenarios &amp; Guideline</t>
  </si>
  <si>
    <t>https://medibillmd.com/blog/cpt-code-91200/</t>
  </si>
  <si>
    <t>CPT Code 91200 Description, Scenarios &amp; Reimbursement Guide</t>
  </si>
  <si>
    <t>https://medibillmd.com/blog/cpt-code-93306/</t>
  </si>
  <si>
    <t>CPT Code 93306 Description, Usage &amp; Reimbursement Guidelines</t>
  </si>
  <si>
    <t>https://medibillmd.com/blog/cpt-code-76830/</t>
  </si>
  <si>
    <t>CPT Code 76830 Description, Scenarios &amp; Reimbursement Guide</t>
  </si>
  <si>
    <t>https://medibillmd.com/blog/cpt-code-91065/</t>
  </si>
  <si>
    <t>CPT Code 91065 Description, Examples &amp; Billing Guidelines</t>
  </si>
  <si>
    <t>https://medibillmd.com/blog/cpt-code-96372/</t>
  </si>
  <si>
    <t>What Is CPT Code 96372? | Description &amp; Reimbursement Guide</t>
  </si>
  <si>
    <t>https://medibillmd.com/blog/cpt-code-91035/</t>
  </si>
  <si>
    <t>CPT Code 91035 Description, Applicable Modifier &amp; Guidelines</t>
  </si>
  <si>
    <t>https://medibillmd.com/blog/point-of-care-documentation/</t>
  </si>
  <si>
    <t>What Is Point Of Care (POC) Documentation? | Best Practices</t>
  </si>
  <si>
    <t>https://medibillmd.com/blog/modifier-tc/</t>
  </si>
  <si>
    <t>Modifier TC Description, Application &amp; Billing Guidelines</t>
  </si>
  <si>
    <t>https://medibillmd.com/blog/what-is-a-superbill/</t>
  </si>
  <si>
    <t>What Is Superbill In Medical Billing? | Benefits &amp; Drawbacks</t>
  </si>
  <si>
    <t>https://medibillmd.com/blog/xs-modifier/</t>
  </si>
  <si>
    <t>XS Modifier Description, Applicable Scenario &amp; Best Practice</t>
  </si>
  <si>
    <t>https://medibillmd.com/blog/modifier-qz/</t>
  </si>
  <si>
    <t>QZ Modifier Description, Applicable Scenario &amp; Billing Guide</t>
  </si>
  <si>
    <t>https://medibillmd.com/blog/doctors-looking-for-medical-billers/</t>
  </si>
  <si>
    <t>Ultimate Guide For U.S. Doctors Looking For Medical Billers</t>
  </si>
  <si>
    <t>https://medibillmd.com/blog/modifier-80/</t>
  </si>
  <si>
    <t>Modifier 80 Description, Examples, &amp; Usage Guidelines</t>
  </si>
  <si>
    <t>https://medibillmd.com/blog/ga-modifier/</t>
  </si>
  <si>
    <t>What Is A GA Modifier? | Description &amp; Applicable Scenarios</t>
  </si>
  <si>
    <t>https://medibillmd.com/blog/cpt-code-43235/</t>
  </si>
  <si>
    <t>CPT Code 43235 Description, Applicable Modifier &amp; Guidelines</t>
  </si>
  <si>
    <t>https://medibillmd.com/blog/medical-billing-companies-in-michigan/</t>
  </si>
  <si>
    <t>https://medibillmd.com/blog/pt-modifier/</t>
  </si>
  <si>
    <t>PT Modifier Description, Applicable Scenarios &amp; Guidelines</t>
  </si>
  <si>
    <t>https://medibillmd.com/blog/external-billing-auditing-team/</t>
  </si>
  <si>
    <t>Why Your Practice Needs An External Billing Auditing Team?</t>
  </si>
  <si>
    <t>https://medibillmd.com/blog/medical-billing-companies-in-san-antonio/</t>
  </si>
  <si>
    <t>https://medibillmd.com/blog/medical-billing-companies-in-las-vegas/</t>
  </si>
  <si>
    <t>https://medibillmd.com/blog/revenue-code-in-medical-billing/</t>
  </si>
  <si>
    <t>What Are Revenue Codes In Medical Billing? | Uses &amp; Examples</t>
  </si>
  <si>
    <t>https://medibillmd.com/blog/hospital-billing-vs-professional-billing/</t>
  </si>
  <si>
    <t>Hospital Billing Vs Professional Billing: How Do They Differ?</t>
  </si>
  <si>
    <t>https://medibillmd.com/blog/pain-management-billing-companies/</t>
  </si>
  <si>
    <t>Best Pain Management Billing Companies In 2025 | Top 10 List</t>
  </si>
  <si>
    <t>https://medibillmd.com/blog/common-denials-in-medical-billing/</t>
  </si>
  <si>
    <t>Most Common Denials In Medical Billing | Top 10 Denial Codes</t>
  </si>
  <si>
    <t>https://medibillmd.com/blog/denial-management-companies/</t>
  </si>
  <si>
    <t>Top 10 Best Denial Management Companies In USA 2025</t>
  </si>
  <si>
    <t>https://medibillmd.com/blog/medical-coding-companies/</t>
  </si>
  <si>
    <t>Best Top 10 Medical Coding Companies In USA In 2024</t>
  </si>
  <si>
    <t>https://medibillmd.com/blog/cpt-code-93017/</t>
  </si>
  <si>
    <t>CPT Code 93017 Description, Examples &amp; Billing Guidelines</t>
  </si>
  <si>
    <t>https://medibillmd.com/blog/medical-billing-companies-in-texas/</t>
  </si>
  <si>
    <t>https://medibillmd.com/blog/primary-care-cpt-codes/</t>
  </si>
  <si>
    <t>Most Common CPT Codes For Primary Care Practices | Updated 2024</t>
  </si>
  <si>
    <t>https://medibillmd.com/blog/gp-modifier/</t>
  </si>
  <si>
    <t>What Is A GP Modifier? | GP Modifier For Physical Therapy</t>
  </si>
  <si>
    <t>https://medibillmd.com/blog/emr-implementation/</t>
  </si>
  <si>
    <t>Step-by-Step Guide To Overcome EMR Implementation Challenges</t>
  </si>
  <si>
    <t>https://medibillmd.com/blog/co-5-denial-code/</t>
  </si>
  <si>
    <t>CO 5 Denial Code Description, Reasons &amp; Resolution Guide</t>
  </si>
  <si>
    <t>https://medibillmd.com/blog/medicare-8-minute-rule/</t>
  </si>
  <si>
    <t>Understanding Medicare 8-minute Rule For Physical Therapy</t>
  </si>
  <si>
    <t>https://medibillmd.com/blog/neurology-cpt-codes/</t>
  </si>
  <si>
    <t>Most Common Neurology CPT Codes And Coding Guidelines</t>
  </si>
  <si>
    <t>https://medibillmd.com/blog/cpt-code-97110/</t>
  </si>
  <si>
    <t>What Is CPT Code 97110? | 97110 CPT Code Description</t>
  </si>
  <si>
    <t>https://medibillmd.com/blog/charge-capture-in-medical-billing/</t>
  </si>
  <si>
    <t>What Is The Role Of Charge Capture In Medical Billing?</t>
  </si>
  <si>
    <t>https://medibillmd.com/blog/ai-medical-billing/</t>
  </si>
  <si>
    <t>The Role Of Artificial Intelligence (AI) In Medical Billing</t>
  </si>
  <si>
    <t>https://medibillmd.com/blog/hcpcs-code-g2211/</t>
  </si>
  <si>
    <t>HCPCS Code G2211 Description &amp; Reimbursement Guidelines</t>
  </si>
  <si>
    <t>https://medibillmd.com/blog/cardiology-medical-billing-services-pittsburgh/</t>
  </si>
  <si>
    <t>https://medibillmd.com/blog/hematology-cpt-codes/</t>
  </si>
  <si>
    <t>Most Common CPT Codes For Hematology Procedures In 2025</t>
  </si>
  <si>
    <t>https://medibillmd.com/blog/modifier-57/</t>
  </si>
  <si>
    <t>Modifier 57 Description, Examples, &amp; Accurate Usage Guide</t>
  </si>
  <si>
    <t>https://medibillmd.com/blog/how-are-corrections-made-to-the-ehr/</t>
  </si>
  <si>
    <t>How Are Corrections Made To The Electronic Health Record?</t>
  </si>
  <si>
    <t>https://medibillmd.com/blog/icd-10-cm-guidelines/</t>
  </si>
  <si>
    <t>What Is ICD-10-CM? | ICD 10 CM Guidelines 2025</t>
  </si>
  <si>
    <t>https://medibillmd.com/blog/rheumatology-icd-10-codes/</t>
  </si>
  <si>
    <t>Rheumatology ICD 10 Codes And Billing Guidelines</t>
  </si>
  <si>
    <t>https://medibillmd.com/blog/modifier-52/</t>
  </si>
  <si>
    <t>What Is Modifier 52? | Description, Examples &amp; Usage Guide</t>
  </si>
  <si>
    <t>https://medibillmd.com/blog/co-236-denial-code/</t>
  </si>
  <si>
    <t>CO 236 Denial Code Description, Reasons &amp; Resolution Guide</t>
  </si>
  <si>
    <t>https://medibillmd.com/blog/clean-claim-rate-in-medical-billing/</t>
  </si>
  <si>
    <t>The Importance Of Clean Claims Rate In Medical Billing</t>
  </si>
  <si>
    <t>https://medibillmd.com/blog/cpt-code-99213/</t>
  </si>
  <si>
    <t>What Is CPT Code 99213? | Description &amp; Usage Guidelines</t>
  </si>
  <si>
    <t>https://medibillmd.com/blog/modifier-73/</t>
  </si>
  <si>
    <t>Modifier 73 Description, Examples, And Usage Guidelines</t>
  </si>
  <si>
    <t>https://medibillmd.com/blog/denial-code-co-234/</t>
  </si>
  <si>
    <t>CO 234 Denial Code Description, Reasons &amp; Resolution Guide</t>
  </si>
  <si>
    <t>https://medibillmd.com/blog/medical-billing-companies-in-houston/</t>
  </si>
  <si>
    <t>https://medibillmd.com/blog/difference-between-rarc-and-carc/</t>
  </si>
  <si>
    <t>Understanding The Difference Between RARC And CARC Codes</t>
  </si>
  <si>
    <t>https://medibillmd.com/blog/thoracic-surgery-cpt-codes/</t>
  </si>
  <si>
    <t>Most Common Thoracic Surgery CPT Codes In 2025</t>
  </si>
  <si>
    <t>https://medibillmd.com/blog/healthcare-rcm-automation/</t>
  </si>
  <si>
    <t>Healthcare Revenue Cycle Management(RCM) Automation Using AI</t>
  </si>
  <si>
    <t>https://medibillmd.com/blog/fqhc-billing-guidelines/</t>
  </si>
  <si>
    <t>Common HCPCS Codes For FQHC &amp; Billing Guidelines</t>
  </si>
  <si>
    <t>https://medibillmd.com/blog/medical-billing-companies-in-maryland/</t>
  </si>
  <si>
    <t>https://medibillmd.com/blog/medical-billing-companies-in-delaware/</t>
  </si>
  <si>
    <t>https://medibillmd.com/blog/medical-billing-companies-in-virginia/</t>
  </si>
  <si>
    <t>https://medibillmd.com/blog/modifiers-in-medical-billing/</t>
  </si>
  <si>
    <t>Types Of Modifiers In Medical Billing &amp; Accurate Usage Guide</t>
  </si>
  <si>
    <t>https://medibillmd.com/blog/modifier-76/</t>
  </si>
  <si>
    <t>Modifier 76 Description, Examples &amp; Reimbursement Guidelines</t>
  </si>
  <si>
    <t>https://medibillmd.com/blog/modifier-79/</t>
  </si>
  <si>
    <t>What Is Modifier 79? Description, Examples &amp; Usage Guideline</t>
  </si>
  <si>
    <t>https://medibillmd.com/blog/modifier-26/</t>
  </si>
  <si>
    <t>Modifier 26 Description, Examples, And Usage Guidelines</t>
  </si>
  <si>
    <t>https://medibillmd.com/blog/laboratory-cpt-codes/</t>
  </si>
  <si>
    <t>Laboratory CPT Codes 2024 | Lab Coding &amp; Billing Guidelines</t>
  </si>
  <si>
    <t>https://medibillmd.com/blog/modifier-24/</t>
  </si>
  <si>
    <t>Modifier 24 Description, Examples, And Usage Guidelines</t>
  </si>
  <si>
    <t>https://medibillmd.com/blog/co-96-denial-code/</t>
  </si>
  <si>
    <t>CO 96 Denial Code Description, Reasons &amp; Resolution Guide</t>
  </si>
  <si>
    <t>https://medibillmd.com/blog/b7-denial-code/</t>
  </si>
  <si>
    <t>B7 Denial Code Description, Reasons &amp; Resolution Guide</t>
  </si>
  <si>
    <t>https://medibillmd.com/blog/cpt-code-99458/</t>
  </si>
  <si>
    <t>99458 CPT Code Description, Scenarios &amp; Coding Guidelines</t>
  </si>
  <si>
    <t>https://medibillmd.com/blog/modifier-77/</t>
  </si>
  <si>
    <t>What Is Modifier 77 Used For? Description, Examples &amp; Usage</t>
  </si>
  <si>
    <t>https://medibillmd.com/blog/jw-and-jz-modifier/</t>
  </si>
  <si>
    <t>What Is The Difference Between JW And JZ Modifier?</t>
  </si>
  <si>
    <t>https://medibillmd.com/blog/modifier-25/</t>
  </si>
  <si>
    <t>What Is Modifier 25? | Description, Examples &amp; Usage Guide</t>
  </si>
  <si>
    <t>https://medibillmd.com/blog/cpt-code-99454/</t>
  </si>
  <si>
    <t>CPT Code 99454 Description, Examples &amp; Reimbursement Guide</t>
  </si>
  <si>
    <t>https://medibillmd.com/blog/kx-modifier/</t>
  </si>
  <si>
    <t>KX Modifier Description, Examples &amp; Documentation Required</t>
  </si>
  <si>
    <t>https://medibillmd.com/blog/cpt-code-97150/</t>
  </si>
  <si>
    <t>97150 CPT Code Description, Usage &amp; Reimbursement Guidelines</t>
  </si>
  <si>
    <t>https://medibillmd.com/blog/new-cpt-codes/</t>
  </si>
  <si>
    <t>New CPT Codes For 2024 &amp; 2025 | Updated &amp; Discontinued Codes</t>
  </si>
  <si>
    <t>https://medibillmd.com/blog/hospice-modifiers-gv-and-gw/</t>
  </si>
  <si>
    <t>Hospice Modifiers For Medicare: GV Vs GW Modifier</t>
  </si>
  <si>
    <t>https://medibillmd.com/blog/modifier-58/</t>
  </si>
  <si>
    <t>What Is Modifier 58? | Modifier 58 Vs 78 | Modifier 58 Vs 79</t>
  </si>
  <si>
    <t>https://medibillmd.com/blog/modifier-51-vs-59/</t>
  </si>
  <si>
    <t>When To Use Modifier 51 Vs 59? | Correct Usage Examplesâ€‹</t>
  </si>
  <si>
    <t>https://medibillmd.com/blog/modifier-62/</t>
  </si>
  <si>
    <t>What Is Modifier 62? | Description, Examples &amp; Documentation</t>
  </si>
  <si>
    <t>https://medibillmd.com/blog/modifier-78/</t>
  </si>
  <si>
    <t>Modifier 78 Description, Examples &amp; Documentation Guidelines</t>
  </si>
  <si>
    <t>https://medibillmd.com/blog/modifier-22/</t>
  </si>
  <si>
    <t>Modifier 22 Description, Examples, And Usage Guidelines</t>
  </si>
  <si>
    <t>https://medibillmd.com/blog/modifier-33/</t>
  </si>
  <si>
    <t>Modifier 33 Description, Examples, And Usage Guidelines</t>
  </si>
  <si>
    <t>https://medibillmd.com/blog/ems-cpt-codes/</t>
  </si>
  <si>
    <t>Common Emergency Medical Services (EMS) HCPCS/CPT Codes 2024</t>
  </si>
  <si>
    <t>https://medibillmd.com/blog/cpt-code-97537/</t>
  </si>
  <si>
    <t>CPT Code 97537 Description, Examples &amp; Billing Guidelines</t>
  </si>
  <si>
    <t>https://medibillmd.com/blog/rpm-cpt-codes/</t>
  </si>
  <si>
    <t>What Are The Essential RPM CPT Codes? | RPM CPT Codes 2024</t>
  </si>
  <si>
    <t>https://medibillmd.com/blog/cpt-code-97763/</t>
  </si>
  <si>
    <t>CPT Code 97763 Description, Examples &amp; Reimbursement Guide</t>
  </si>
  <si>
    <t>https://medibillmd.com/blog/cpt-code-97151/</t>
  </si>
  <si>
    <t>97151 CPT Code Description, Examples &amp; Billing Guidelines</t>
  </si>
  <si>
    <t>https://medibillmd.com/blog/co-24-denial-code/</t>
  </si>
  <si>
    <t>CO 24 Denial Code Description, Reasons &amp; Resolution Guide</t>
  </si>
  <si>
    <t>https://medibillmd.com/blog/nursing-home-cpt-codes/</t>
  </si>
  <si>
    <t>Most Common Nursing Home CPT Codes | Updated 2024</t>
  </si>
  <si>
    <t>https://medibillmd.com/blog/medical-billing-changed-over-the-years/</t>
  </si>
  <si>
    <t>News &amp; Insights About The Evolution Medical Billing Industry</t>
  </si>
  <si>
    <t>https://medibillmd.com/blog/co-252-denial-code/</t>
  </si>
  <si>
    <t>CO 252 Denial Code Description, Reasons &amp; Resolution Guide</t>
  </si>
  <si>
    <t>https://medibillmd.com/blog/cpt-code-97112/</t>
  </si>
  <si>
    <t>What Is CPT Code 97112? | Neuromuscular Reeducation CPT Code</t>
  </si>
  <si>
    <t>https://medibillmd.com/blog/cpt-code-97750/</t>
  </si>
  <si>
    <t>CPT Code 97750 For Functional Capacity Evaluation (FCE)</t>
  </si>
  <si>
    <t>https://medibillmd.com/blog/co-15-denial-code/</t>
  </si>
  <si>
    <t>CO15 Denial Code Description, Reasons, Prevention &amp; Solution</t>
  </si>
  <si>
    <t>https://medibillmd.com/blog/cpt-codes-for-urgent-care/</t>
  </si>
  <si>
    <t>What Are The CPT Codes For Urgent Care? Updated List - 2024</t>
  </si>
  <si>
    <t>https://medibillmd.com/blog/cpt-code-75716/</t>
  </si>
  <si>
    <t>CPT Code 75716 Description, Application &amp; Modifiers Required</t>
  </si>
  <si>
    <t>https://medibillmd.com/blog/cpt-code-99211/</t>
  </si>
  <si>
    <t>CPT Code 99211 Description, Scenarios &amp; Billing Guide 2024</t>
  </si>
  <si>
    <t>https://medibillmd.com/blog/co-50-denial-code/</t>
  </si>
  <si>
    <t>CO 50 Denial Code Description, Reasons &amp; Resolution Guide</t>
  </si>
  <si>
    <t>https://medibillmd.com/blog/co-256-denial-code/</t>
  </si>
  <si>
    <t>CO 256 Denial Code Description, Reasons &amp; Resolution Guide</t>
  </si>
  <si>
    <t>https://medibillmd.com/blog/denial-code-277/</t>
  </si>
  <si>
    <t>OA 277 Denial Code Description, Causes &amp; Resolution Guide</t>
  </si>
  <si>
    <t>https://medibillmd.com/blog/pr-227-denial-code/</t>
  </si>
  <si>
    <t>PR 227 Denial Code Description, Reasons &amp; Resolution Guide</t>
  </si>
  <si>
    <t>https://medibillmd.com/blog/cpt-code-99490/</t>
  </si>
  <si>
    <t>CPT Code 99490 Description, Challenges &amp; Best Practices</t>
  </si>
  <si>
    <t>https://medibillmd.com/blog/ent-cpt-codes/</t>
  </si>
  <si>
    <t>Most Common Otolaryngology (ENT) CPT Codes 2024</t>
  </si>
  <si>
    <t>https://medibillmd.com/blog/what-is-a-medical-crossover-claim/</t>
  </si>
  <si>
    <t>What Is A Medicare Crossover Claim? | How Does It Work?</t>
  </si>
  <si>
    <t>https://medibillmd.com/blog/b9-denial-code/</t>
  </si>
  <si>
    <t>What To Do For Denial Code B9? | What Causes B9 Denial?</t>
  </si>
  <si>
    <t>https://medibillmd.com/blog/denial-code-23/</t>
  </si>
  <si>
    <t>What Is OA 23 Denial Code? | Description, Reason &amp; Solutions</t>
  </si>
  <si>
    <t>https://medibillmd.com/blog/pr-204-denial-code/</t>
  </si>
  <si>
    <t>PR 204 Denial Code Description, Reasons &amp; Resolution Guide</t>
  </si>
  <si>
    <t>https://medibillmd.com/blog/dermatology-cpt-codes/</t>
  </si>
  <si>
    <t>Dermatology CPT Codes 2024 | Billing &amp; Coding Guidelines</t>
  </si>
  <si>
    <t>https://medibillmd.com/blog/co-226-denial-code/</t>
  </si>
  <si>
    <t>CO 226 Denial Code Description, Reasons, &amp; Resolution Guide</t>
  </si>
  <si>
    <t>https://medibillmd.com/blog/ccm-cpt-codes/</t>
  </si>
  <si>
    <t>Chronic Care Management (CCM) CPT Codes 2024</t>
  </si>
  <si>
    <t>https://medibillmd.com/blog/speech-therapy-cpt-codes/</t>
  </si>
  <si>
    <t>Speech Therapy CPT Codes For Evaluation And Treatment 2024</t>
  </si>
  <si>
    <t>https://medibillmd.com/blog/co-97-denial-code/</t>
  </si>
  <si>
    <t>CO 97 Denial Code Description, Causes &amp; Resolution Guide</t>
  </si>
  <si>
    <t>https://medibillmd.com/blog/co-11-denial-code/</t>
  </si>
  <si>
    <t>CO 11 Denial Code Description, Causes &amp; Resolution Guide</t>
  </si>
  <si>
    <t>https://medibillmd.com/blog/co-4-denial-code/</t>
  </si>
  <si>
    <t>CO4 Denial Code Description, Reason, Management &amp; Resolution</t>
  </si>
  <si>
    <t>https://medibillmd.com/blog/getting-credentialed-with-insurance-companies/</t>
  </si>
  <si>
    <t>How To Get Credentialed With Insurance Companies?</t>
  </si>
  <si>
    <t>https://medibillmd.com/blog/dme-hcpcs-codes/</t>
  </si>
  <si>
    <t>Most Common Durable Medical Equipment (DME) HCPCS Codes 2024</t>
  </si>
  <si>
    <t>https://medibillmd.com/blog/clearinghouse-rejection-codes/</t>
  </si>
  <si>
    <t>Common Clearinghouse Rejection Codes During Claim Submission</t>
  </si>
  <si>
    <t>https://medibillmd.com/blog/tips-for-maintaining-productivity-with-new-medical-coders/</t>
  </si>
  <si>
    <t>Tips For Maintaining Productivity With New Medical Coders</t>
  </si>
  <si>
    <t>https://medibillmd.com/blog/hospital-vendor-credentialing/</t>
  </si>
  <si>
    <t>What Is Hospital Vendor Credentialing? All You Need To Know</t>
  </si>
  <si>
    <t>https://medibillmd.com/blog/transitional-care-management-cpt-codes/</t>
  </si>
  <si>
    <t>Transitional Care Management CPT Codes &amp; Billing Guidelines</t>
  </si>
  <si>
    <t>https://medibillmd.com/blog/hospice-hcpcs-codes/</t>
  </si>
  <si>
    <t>Hospice Common Procedure Codes | Hospice HCPCS Codes 2024</t>
  </si>
  <si>
    <t>https://medibillmd.com/blog/place-of-service-in-medical-billing/</t>
  </si>
  <si>
    <t>Why Place Of Service In Medical Billing Is Important</t>
  </si>
  <si>
    <t>https://medibillmd.com/blog/claims-adjudication/</t>
  </si>
  <si>
    <t>What Is Claims Adjudication And How To Optimize It</t>
  </si>
  <si>
    <t>https://medibillmd.com/blog/cpt-code-99214/</t>
  </si>
  <si>
    <t>What Is Procedure Code 99214? | CPT Code 99214 Description</t>
  </si>
  <si>
    <t>https://medibillmd.com/blog/co-167-denial-code/</t>
  </si>
  <si>
    <t>CO 167 Denial Code Description, Causes &amp; Resolution Guide</t>
  </si>
  <si>
    <t>https://medibillmd.com/blog/co-22-denial-code/</t>
  </si>
  <si>
    <t>CO 22 Denial Code Description, Causes &amp; Resolution Guide</t>
  </si>
  <si>
    <t>https://medibillmd.com/blog/co-109-denial-code/</t>
  </si>
  <si>
    <t>CO 109 Denial Code Description, Causes &amp; Resolution Guide</t>
  </si>
  <si>
    <t>https://medibillmd.com/blog/pros-and-cons-of-medical-billing-and-coding/</t>
  </si>
  <si>
    <t>Pros And Cons Of Outsourced Medical Billing &amp; Coding</t>
  </si>
  <si>
    <t>https://medibillmd.com/blog/denial-management/</t>
  </si>
  <si>
    <t>A Comprehensive Guide On Denial Management In Healthcare</t>
  </si>
  <si>
    <t>https://medibillmd.com/blog/healthcare-revenue-cycle-management/</t>
  </si>
  <si>
    <t>A Comprehensive Guide On Healthcare Revenue Cycle Management</t>
  </si>
  <si>
    <t>https://medibillmd.com/blog/medical-billing-vs-revenue-cycle-management/</t>
  </si>
  <si>
    <t>Medical Billing Vs. Revenue Cycle Management (RCM)</t>
  </si>
  <si>
    <t>https://medibillmd.com/blog/orthopedic-billing-and-coding-guidelines/</t>
  </si>
  <si>
    <t>CPT Codes For Orthopedic Procedures | Billing &amp; Coding Guide</t>
  </si>
  <si>
    <t>https://medibillmd.com/blog/claim-scrubbing-medical-billing/</t>
  </si>
  <si>
    <t>What Is Claim Scrubbing In Medical Billing?</t>
  </si>
  <si>
    <t>https://medibillmd.com/blog/workers-compensation-billing-and-credentialing/</t>
  </si>
  <si>
    <t>Workersâ€™ Compensation Medical Billing &amp; Credentialing Guide</t>
  </si>
  <si>
    <t>https://medibillmd.com/blog/inpatient-vs-outpatient-coding/</t>
  </si>
  <si>
    <t>Inpatient Vs Outpatient Coding: Difference &amp; Similarities</t>
  </si>
  <si>
    <t>https://medibillmd.com/blog/contractual-adjustment-in-medical-billing/</t>
  </si>
  <si>
    <t>What Is Contractual Adjustment In Medical Billing?</t>
  </si>
  <si>
    <t>https://medibillmd.com/blog/credentialing-in-medical-billing/</t>
  </si>
  <si>
    <t>What Is Credentialing In Medical Billing? | Medibill MD</t>
  </si>
  <si>
    <t>https://medibillmd.com/blog/dental-cdt-codes/</t>
  </si>
  <si>
    <t>Current Dental Terminology (CTD) Codes For Dental Procedures</t>
  </si>
  <si>
    <t>https://medibillmd.com/blog/write-offs-in-medical-billing/</t>
  </si>
  <si>
    <t>What Is A Write-off In Medical Billing? - MediBill MD</t>
  </si>
  <si>
    <t>https://medibillmd.com/blog/remote-therapeutic-monitoring-vs-remote-patient-monitoring/</t>
  </si>
  <si>
    <t>Remote Therapeutic Monitoring Vs Remote Patient Monitoring</t>
  </si>
  <si>
    <t>https://medibillmd.com/blog/ophthalmology-cpt-codes/</t>
  </si>
  <si>
    <t>Common Ophthalmology CPT Codes List &amp; Description - Oct 2024</t>
  </si>
  <si>
    <t>https://medibillmd.com/blog/medical-practice-management-consultant/</t>
  </si>
  <si>
    <t>Do You Need A Medical Practice Management Consultant?</t>
  </si>
  <si>
    <t>https://medibillmd.com/blog/remote-patient-monitoring-companies/</t>
  </si>
  <si>
    <t>Top 10 Best Remote Patient Monitoring (RPM) Companies 2024</t>
  </si>
  <si>
    <t>https://medibillmd.com/blog/era-and-eob-difference-in-medical-billing/</t>
  </si>
  <si>
    <t>ERA &amp; EOB Difference In Medical Billing | ERA &amp; EOB Examples</t>
  </si>
  <si>
    <t>https://medibillmd.com/blog/nephrology-cpt-codes/</t>
  </si>
  <si>
    <t>Common Nephrology CPT Codes &amp; Descriptions | Updated 2024</t>
  </si>
  <si>
    <t>https://medibillmd.com/blog/what-is-payment-posting/</t>
  </si>
  <si>
    <t>What Is Payment Posting In Medical Billing?</t>
  </si>
  <si>
    <t>https://medibillmd.com/blog/medical-billing-and-coding/</t>
  </si>
  <si>
    <t>What Is Medical Billing And Coding?</t>
  </si>
  <si>
    <t>https://medibillmd.com/blog/how-to-use-unspecified-codes-in-icd-10/</t>
  </si>
  <si>
    <t>How To Use Unspecified Codes In ICD-10</t>
  </si>
  <si>
    <t>https://medibillmd.com/blog/what-is-an-entity-code-in-medical-billing/</t>
  </si>
  <si>
    <t>What Is An Entity Code In Medical Billing?</t>
  </si>
  <si>
    <t>https://medibillmd.com/blog/accounts-receivable-in-healthcare/</t>
  </si>
  <si>
    <t>Understanding The Healthcare Accounts Receivable | Medibill MD</t>
  </si>
  <si>
    <t>https://medibillmd.com/blog/upcoding-in-medical-billing/</t>
  </si>
  <si>
    <t>What Is Upcoding And Unbundling In Medical Billing?</t>
  </si>
  <si>
    <t>https://medibillmd.com/blog/denial-code-45/</t>
  </si>
  <si>
    <t>What Is CO 45 Denial Code? How To Prevent, Manage &amp; Resolve?</t>
  </si>
  <si>
    <t>https://medibillmd.com/blog/denial-code-27/</t>
  </si>
  <si>
    <t>CO 27 Denial Code Description, Causes &amp; Resolution Tips</t>
  </si>
  <si>
    <t>https://medibillmd.com/blog/pain-management-cpt-codes/</t>
  </si>
  <si>
    <t>Pain Management CPT Codes &amp; Billing Guidelines 2024</t>
  </si>
  <si>
    <t>https://medibillmd.com/blog/co-29-denial-code/</t>
  </si>
  <si>
    <t>CO 29 Denial Code Description, Causes &amp; Resolution Guide</t>
  </si>
  <si>
    <t>https://medibillmd.com/blog/co-18-denial-code/</t>
  </si>
  <si>
    <t>CO 18 Denial Code Description, Causes &amp; Resolution</t>
  </si>
  <si>
    <t>https://medibillmd.com/blog/co-16-denial-code/</t>
  </si>
  <si>
    <t>CO 16 Denial Code Description, Causes &amp; Resolution</t>
  </si>
  <si>
    <t>https://medibillmd.com/blog/aba-therapy-cpt-codes/</t>
  </si>
  <si>
    <t>Applied Behavior Analysis (ABA) Therapy CPT Codes 2024</t>
  </si>
  <si>
    <t>https://medibillmd.com/blog/how-to-bill-medicare-and-medicaid-as-a-provider/</t>
  </si>
  <si>
    <t>How To Bill Medicare &amp; Medicaid As A Provider?</t>
  </si>
  <si>
    <t>https://medibillmd.com/blog/mental-health-cpt-codes/</t>
  </si>
  <si>
    <t>Mental Health CPT Codes &amp; Coding Guidelines 2024</t>
  </si>
  <si>
    <t>https://medibillmd.com/blog/cpt-code-97597/</t>
  </si>
  <si>
    <t>CPT Code 97597 Description: For Active Wound Care Management</t>
  </si>
  <si>
    <t>https://medibillmd.com/blog/global-period-in-medical-billing/</t>
  </si>
  <si>
    <t>What Is Global Period In Medical Billing? | MediBIll MD</t>
  </si>
  <si>
    <t>https://medibillmd.com/blog/prior-authorization-in-medical-billing/</t>
  </si>
  <si>
    <t>What Is Prior Authorization In Medical Billing?</t>
  </si>
  <si>
    <t>https://medibillmd.com/blog/denial-code-197/</t>
  </si>
  <si>
    <t>What Is Denial Code 197? Description, Reasons &amp; Solutions</t>
  </si>
  <si>
    <t>https://medibillmd.com/blog/substance-abuse-cpt-codes/</t>
  </si>
  <si>
    <t>Substance Abuse &amp; Rehab CPT Codes | Updated: September 2024</t>
  </si>
  <si>
    <t>https://medibillmd.com/blog/healthcare-technology-and-ai/</t>
  </si>
  <si>
    <t>Healthcare Technology And AI Trends In 2023</t>
  </si>
  <si>
    <t>https://medibillmd.com/blog/physician-burnout/</t>
  </si>
  <si>
    <t>What Causes Physician Burnout &amp; Can Outsourcing Reduce It?</t>
  </si>
  <si>
    <t>https://medibillmd.com/blog/kpi-metrics-for-medical-billing/</t>
  </si>
  <si>
    <t>Medical Billing Key Performance Indicators (KPIs) &amp; Metrics</t>
  </si>
  <si>
    <t>https://medibillmd.com/blog/medical-billing-and-coding-errors/</t>
  </si>
  <si>
    <t>Medical Billing And Coding Errors And Tips To Avoid Them</t>
  </si>
  <si>
    <t>https://medibillmd.com/blog/medical-billing-and-coding-challenges/</t>
  </si>
  <si>
    <t>How To Overcome Medical Billing And Coding Challenges?</t>
  </si>
  <si>
    <t>https://medibillmd.com/blog/downcoding-in-medical-billing/</t>
  </si>
  <si>
    <t>What Is Downcoding In Medical Billing? How To Prevent It?</t>
  </si>
  <si>
    <t>https://medibillmd.com/blog/patient-collections/</t>
  </si>
  <si>
    <t>Strategies To Maximize The Patient Collections</t>
  </si>
  <si>
    <t>https://medibillmd.com/blog/physician-credentialing-checklist/</t>
  </si>
  <si>
    <t>The Essential Physician Credentialing Checklist - MediBillMD</t>
  </si>
  <si>
    <t>https://medibillmd.com/blog/telemedicine-and-telehealth-trends/</t>
  </si>
  <si>
    <t>Telemedicine And Telehealth Trends And Its Effects</t>
  </si>
  <si>
    <t>https://medibillmd.com/blog/rcm-in-medical-billing/</t>
  </si>
  <si>
    <t>Revenue Cycle Management (RCM) In Medical Billing: A Fact Or Myth?</t>
  </si>
  <si>
    <t>https://medibillmd.com/blog/medical-billing-service-for-small-practices/</t>
  </si>
  <si>
    <t>Best Medical Billing Services for Small Practices in the USA</t>
  </si>
  <si>
    <t>https://medibillmd.com/blog/claim-submission-accuracy/</t>
  </si>
  <si>
    <t>Ways To Enhance Claim Submission Accuracy</t>
  </si>
  <si>
    <t>https://medibillmd.com/blog/electronic-health-record/</t>
  </si>
  <si>
    <t>Role Of Electronic Health Records (EHR) In Medical Billing</t>
  </si>
  <si>
    <t>URLs</t>
  </si>
  <si>
    <t>https://medibillmd.com/</t>
  </si>
  <si>
    <t>Revenue Transformation through Precise Billing | MediBillMD</t>
  </si>
  <si>
    <t>https://medibillmd.com/appointment</t>
  </si>
  <si>
    <t>Schedule An Appointment for Free Consultation | MediBillMD</t>
  </si>
  <si>
    <t>https://medibillmd.com/services</t>
  </si>
  <si>
    <t>Avail Advanced Billing Services For Your Needs - MediBillMD</t>
  </si>
  <si>
    <t>https://medibillmd.com/specialties</t>
  </si>
  <si>
    <t>Our Specialties - MediBillMD</t>
  </si>
  <si>
    <t>https://medibillmd.com/about</t>
  </si>
  <si>
    <t>About Us - MediBillMD</t>
  </si>
  <si>
    <t>https://medibillmd.com/contact</t>
  </si>
  <si>
    <t>Contact Us - MediBillMD</t>
  </si>
  <si>
    <t>https://medibillmd.com/privacy-policy</t>
  </si>
  <si>
    <t>Privacy Policy - MediBillMD</t>
  </si>
  <si>
    <t>https://medibillmd.com/terms_and_condition</t>
  </si>
  <si>
    <t>Terms and Conditions - MediBillMD</t>
  </si>
  <si>
    <t>https://medibillmd.com/services/hospital-billing-services</t>
  </si>
  <si>
    <t>Outsource Hospital Billing Services | medibillMD</t>
  </si>
  <si>
    <t>https://medibillmd.com/services/medical-billing-services</t>
  </si>
  <si>
    <t>Outsource Medical Billing Services &amp; Save on Billing Costs</t>
  </si>
  <si>
    <t>https://medibillmd.com/services/physician-billing-services</t>
  </si>
  <si>
    <t>Outsource Physician Billing Services for the Best Solutions</t>
  </si>
  <si>
    <t>https://medibillmd.com/services/medical-credentialing-services</t>
  </si>
  <si>
    <t>Best Medical Insurance Credentialing Services for Providers</t>
  </si>
  <si>
    <t>https://medibillmd.com/services/remote-patient-monitoring-services</t>
  </si>
  <si>
    <t>Outsource Remote Patient Monitoring Services &amp; Solutions</t>
  </si>
  <si>
    <t>https://medibillmd.com/wound-care-billing-services</t>
  </si>
  <si>
    <t>Outsource Wound Care Billing and Coding Services</t>
  </si>
  <si>
    <t>https://medibillmd.com/urology-billing-services</t>
  </si>
  <si>
    <t>Urology Medical Billing Services &amp; Customized Solutions</t>
  </si>
  <si>
    <t>https://medibillmd.com/neurosurgery-billing-services</t>
  </si>
  <si>
    <t>Neurosurgery Billing Services | Tailored RCM Solutions</t>
  </si>
  <si>
    <t>https://medibillmd.com/nursing-home-billing-services</t>
  </si>
  <si>
    <t>Nursing Home &amp; Skilled Nursing Facility Billing Services</t>
  </si>
  <si>
    <t>https://medibillmd.com/pain-management-billing-services</t>
  </si>
  <si>
    <t>Pain Management Billing Services | MediBillMD</t>
  </si>
  <si>
    <t>https://medibillmd.com/oncology-billing-services</t>
  </si>
  <si>
    <t>Oncology Medical Billing and Coding Services | MediBillMD</t>
  </si>
  <si>
    <t>https://medibillmd.com/obgyn-billing-services</t>
  </si>
  <si>
    <t>OBGYN Medical Billing &amp; Coding Services | FREE Billing Audit</t>
  </si>
  <si>
    <t>https://medibillmd.com/nephrology-billing-services</t>
  </si>
  <si>
    <t>Nephrology Billing Services | Lowest Rates Guaranteed!</t>
  </si>
  <si>
    <t>https://medibillmd.com/molecular-lab-billing-services</t>
  </si>
  <si>
    <t>Professional Molecular Lab Billing Services &amp; Solutions</t>
  </si>
  <si>
    <t>https://medibillmd.com/general-surgery-billing-services</t>
  </si>
  <si>
    <t>Outsource General Surgery Medical Billing &amp; Coding Services</t>
  </si>
  <si>
    <t>https://medibillmd.com/geriatrics-billing-services</t>
  </si>
  <si>
    <t>Professional Geriatrics Medical Billing Services in the USA</t>
  </si>
  <si>
    <t>https://medibillmd.com/hematology-billing-services</t>
  </si>
  <si>
    <t>Hematology Medical Billing Services | Coding &amp; RCM Solutions</t>
  </si>
  <si>
    <t>https://medibillmd.com/gastroenterology-billing-services</t>
  </si>
  <si>
    <t>Gastroenterology Medical Billing Services &amp; RCM Solutions</t>
  </si>
  <si>
    <t>https://medibillmd.com/dermatology-billing-services</t>
  </si>
  <si>
    <t>Outsource Dermatology Medical Billing Services to Experts</t>
  </si>
  <si>
    <t>https://medibillmd.com/dental-billing-services</t>
  </si>
  <si>
    <t>Dental Billing Services &amp; Customized Solutions | MediBillMD</t>
  </si>
  <si>
    <t>https://medibillmd.com/hepatology-billing-services</t>
  </si>
  <si>
    <t>Outsource Specialized Hepatology Billing Service &amp; Solutions</t>
  </si>
  <si>
    <t>https://medibillmd.com/infectious-disease-billing-services</t>
  </si>
  <si>
    <t>Outsource Professional Infectious Disease Billing Services</t>
  </si>
  <si>
    <t>https://medibillmd.com/internal-medicine-billing-services</t>
  </si>
  <si>
    <t>Internal Medicine Billing Services: Get a FREE Billing Audit</t>
  </si>
  <si>
    <t>https://medibillmd.com/pathology-billing-services</t>
  </si>
  <si>
    <t>Specialized Pathology Billing Services &amp; Tailored Solutions</t>
  </si>
  <si>
    <t>https://medibillmd.com/pediatric-billing-services</t>
  </si>
  <si>
    <t>Outsource Pediatric Medical Billing Services to Experts</t>
  </si>
  <si>
    <t>https://medibillmd.com/physical-therapy-billing-services</t>
  </si>
  <si>
    <t>Physical Therapy Billing Services | PT Billing Solutions</t>
  </si>
  <si>
    <t>https://medibillmd.com/podiatry-billing-services</t>
  </si>
  <si>
    <t>Podiatry Medical Billing Services &amp; Customized RCM Solutions</t>
  </si>
  <si>
    <t>https://medibillmd.com/primary-care-billing-services</t>
  </si>
  <si>
    <t>Professional Primary Care Billing Services</t>
  </si>
  <si>
    <t>https://medibillmd.com/prostheses-billing-services</t>
  </si>
  <si>
    <t>Professional Prostheses Billing Services &amp; Solutions</t>
  </si>
  <si>
    <t>https://medibillmd.com/pulmonology-billing-services</t>
  </si>
  <si>
    <t>Specialized Pulmonology Medical Billing and RCM Services</t>
  </si>
  <si>
    <t>https://medibillmd.com/rheumatology-billing-services</t>
  </si>
  <si>
    <t>Outsource Rheumatology Medical Billing Services | MediBillMD</t>
  </si>
  <si>
    <t>https://medibillmd.com/thoracic-surgery-billing-services</t>
  </si>
  <si>
    <t>Most Affordable Thoracic Surgery Medical Billing Services</t>
  </si>
  <si>
    <t>https://medibillmd.com/toxicology-lab-billing-services</t>
  </si>
  <si>
    <t>Toxicology Lab Billing - Outsource for Best Solutions</t>
  </si>
  <si>
    <t>https://medibillmd.com/traumatology-billing-services</t>
  </si>
  <si>
    <t>Outsource Traumatology Billing Services for Best Solutions</t>
  </si>
  <si>
    <t>https://medibillmd.com/services/ar-recovery-services</t>
  </si>
  <si>
    <t>AR Recovery Services | Accounts Receivable Recovery Expert</t>
  </si>
  <si>
    <t>https://medibillmd.com/asc-billing-services</t>
  </si>
  <si>
    <t>ASC Billing Services &amp; RCM for Ambulatory Surgery Center</t>
  </si>
  <si>
    <t>https://medibillmd.com/dme-billing-services</t>
  </si>
  <si>
    <t>Outsource Durable Medical Equipment (DME) Billing Services</t>
  </si>
  <si>
    <t>https://medibillmd.com/laboratory-billing-services</t>
  </si>
  <si>
    <t>Laboratory Medical Billing Services | Outsource Lab Billing</t>
  </si>
  <si>
    <t>https://medibillmd.com/radiology-billing-services</t>
  </si>
  <si>
    <t>Radiology Billing/Coding &amp; Revenue Cycle Management Services</t>
  </si>
  <si>
    <t>https://medibillmd.com/services/medical-coding-services</t>
  </si>
  <si>
    <t>Outsource Medical Coding and Documentation Services</t>
  </si>
  <si>
    <t>https://medibillmd.com/cardiology-billing-services</t>
  </si>
  <si>
    <t>Cardiology Medical Billing &amp; RCM Services | Book a Free Demo</t>
  </si>
  <si>
    <t>https://medibillmd.com/clinical-lab-billing-services</t>
  </si>
  <si>
    <t>Outsource Clinical Lab Billing Services - MediBillMD</t>
  </si>
  <si>
    <t>https://medibillmd.com/fqhc-billing-services</t>
  </si>
  <si>
    <t>Outsource FQHC Medical Billing, Coding &amp; RCM Services</t>
  </si>
  <si>
    <t>https://medibillmd.com/endocrinology-billing-services</t>
  </si>
  <si>
    <t>Outsource Endocrinology Medical Billing &amp; Coding Services</t>
  </si>
  <si>
    <t>https://medibillmd.com/ophthalmology-billing-services</t>
  </si>
  <si>
    <t>Ophthalmology Medical Billing and Coding Services</t>
  </si>
  <si>
    <t>https://medibillmd.com/services/denial-management-services</t>
  </si>
  <si>
    <t>Healthcare Denial Management Services &amp; Customized Solutions</t>
  </si>
  <si>
    <t>https://medibillmd.com/orthopedic-billing-services</t>
  </si>
  <si>
    <t>Orthopedic Medical Billing and Coding Services | MediBillMD</t>
  </si>
  <si>
    <t>https://medibillmd.com/resources</t>
  </si>
  <si>
    <t>Resources - MediBillMD</t>
  </si>
  <si>
    <t>https://medibillmd.com/aba-billing-services</t>
  </si>
  <si>
    <t>ABA Therapy Billing Services and Solutions | MediBillMD</t>
  </si>
  <si>
    <t>https://medibillmd.com/mental-health-billing-services</t>
  </si>
  <si>
    <t>Mental Health Billing Services &amp; Solutions | MediBillMD</t>
  </si>
  <si>
    <t>https://medibillmd.com/ccm-billing-services</t>
  </si>
  <si>
    <t>Chronic Care Management Billing (CCM) Services | MediBillMD</t>
  </si>
  <si>
    <t>https://medibillmd.com/chiropractic-billing-services</t>
  </si>
  <si>
    <t>Chiropractic Medical Billing Services &amp; Customized Solutions</t>
  </si>
  <si>
    <t>https://medibillmd.com/anesthesia-billing-services</t>
  </si>
  <si>
    <t>Anesthesia Medical Billing Services &amp; Customized Solutions</t>
  </si>
  <si>
    <t>https://medibillmd.com/services/medical-billing-services-for-small-practices</t>
  </si>
  <si>
    <t>https://medibillmd.com/allergy-immunology-billing-services</t>
  </si>
  <si>
    <t>Specialized Allergy &amp; Immunology Billing Services</t>
  </si>
  <si>
    <t>https://medibillmd.com/rehab-medical-billing-services</t>
  </si>
  <si>
    <t>Rehab Medical Billing &amp; Substance Abuse Billing Services</t>
  </si>
  <si>
    <t>https://medibillmd.com/states/medical-billing-services-in-california</t>
  </si>
  <si>
    <t>Medical Billing Services in California | Flat 1% Service Fee</t>
  </si>
  <si>
    <t>https://medibillmd.com/services/healthcare-revenue-cycle-management-services</t>
  </si>
  <si>
    <t>Healthcare Revenue Cycle Management (RCM) Services</t>
  </si>
  <si>
    <t>https://medibillmd.com/services/payment-posting-services</t>
  </si>
  <si>
    <t>Payment Posting Services | ERA Payment Posting Specialist</t>
  </si>
  <si>
    <t>https://medibillmd.com/services/charge-entry-services</t>
  </si>
  <si>
    <t>Outsource Medical Charge Entry Services at the Lowest Rates!</t>
  </si>
  <si>
    <t>https://medibillmd.com/states/medical-billing-services-in-new-york</t>
  </si>
  <si>
    <t>Medical Billing Services in New York | #1 Company in NY</t>
  </si>
  <si>
    <t>https://medibillmd.com/states/medical-billing-services-in-texas</t>
  </si>
  <si>
    <t>Medical Billing Services in Texas @ 1% of Monthly Collection</t>
  </si>
  <si>
    <t>https://medibillmd.com/states/medical-billing-services-in-florida</t>
  </si>
  <si>
    <t>Medical Billing Services in Florida | Get a Free Audit Today</t>
  </si>
  <si>
    <t>https://medibillmd.com/states</t>
  </si>
  <si>
    <t>Services We Offer in Your States | MediBillMD</t>
  </si>
  <si>
    <t>https://medibillmd.com/hospice-billing-services</t>
  </si>
  <si>
    <t>Hospice Billing Services | RCM &amp; Billing for Hospice Service</t>
  </si>
  <si>
    <t>https://medibillmd.com/services/insurance-verification-services</t>
  </si>
  <si>
    <t>Medical Insurance Eligibility Verification Services</t>
  </si>
  <si>
    <t>https://medibillmd.com/ent-billing-services</t>
  </si>
  <si>
    <t>Otolaryngology (ENT) Medical Billing and Coding Services</t>
  </si>
  <si>
    <t>https://medibillmd.com/services/medical-billing-audit-services</t>
  </si>
  <si>
    <t>Medical Billing Audit Services | Billing, Coding &amp; RCM Audit</t>
  </si>
  <si>
    <t>https://medibillmd.com/urgent-care-billing-services</t>
  </si>
  <si>
    <t>Specialized Urgent Care Medical Billing Services</t>
  </si>
  <si>
    <t>https://medibillmd.com/ems-billing-services</t>
  </si>
  <si>
    <t>Emergency Medical Services Billing | EMS Billing Services</t>
  </si>
  <si>
    <t>https://medibillmd.com/home-health-billing-services</t>
  </si>
  <si>
    <t>Outsource Home Health Billing Services @ the Lowest Rates</t>
  </si>
  <si>
    <t>https://medibillmd.com/family-practice-billing-services</t>
  </si>
  <si>
    <t>Family Practice Medical Billing Services &amp; Custom Solutions</t>
  </si>
  <si>
    <t>https://medibillmd.com/plastic-surgery-billing</t>
  </si>
  <si>
    <t>Outsource Plastic &amp; Reconstructive Surgery Billing Services</t>
  </si>
  <si>
    <t>https://medibillmd.com/behavioral-health-rcm-services</t>
  </si>
  <si>
    <t>Behavioral Health Revenue Cycle Management (RCM) Services</t>
  </si>
  <si>
    <t>https://medibillmd.com/case-studies</t>
  </si>
  <si>
    <t>MediBillMD Case Studies and Success Stories</t>
  </si>
  <si>
    <t>https://medibillmd.com/case-studies/dxm-acupuncture</t>
  </si>
  <si>
    <t>DXM Acupuncture: Growth Through Credentialing | MediBillMD</t>
  </si>
  <si>
    <t>https://medibillmd.com/acupuncture-billing-services</t>
  </si>
  <si>
    <t>Acupuncture Medical Billing Services | Talk to an Expert Now</t>
  </si>
  <si>
    <t>https://medibillmd.com/occupational-therapy-billing-services</t>
  </si>
  <si>
    <t>Occupational Therapy Medical Billing and Coding Services</t>
  </si>
  <si>
    <t>https://medibillmd.com/neurology-billing-services</t>
  </si>
  <si>
    <t>Specialized Neurology Medical Billing and Coding Services</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</si>
</sst>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theme="1"/>
      <name val="Arial"/>
      <scheme val="minor"/>
    </font>
    <font>
      <b/>
      <color theme="1"/>
      <name val="Arial"/>
      <scheme val="minor"/>
    </font>
    <font>
      <b/>
      <sz val="13.0"/>
      <color rgb="FF000000"/>
      <name val="Calibri"/>
    </font>
    <font>
      <u/>
      <sz val="10.0"/>
      <color rgb="FF0F1115"/>
    </font>
    <font>
      <sz val="10.0"/>
      <color rgb="FF0F1115"/>
      <name val="Arial"/>
      <scheme val="minor"/>
    </font>
    <font>
      <sz val="11.0"/>
      <color theme="1"/>
      <name val="Arial"/>
      <scheme val="minor"/>
    </font>
    <font>
      <sz val="11.0"/>
      <color rgb="FF000000"/>
      <name val="Calibri"/>
    </font>
    <font>
      <sz val="10.0"/>
      <color theme="1"/>
      <name val="Arial"/>
      <scheme val="minor"/>
    </font>
    <font>
      <sz val="10.0"/>
      <color rgb="FF000000"/>
      <name val="Calibri"/>
    </font>
    <font>
      <u/>
      <sz val="11.0"/>
      <color rgb="FF000000"/>
      <name val="Calibri"/>
    </font>
    <font>
      <u/>
      <sz val="10.0"/>
      <color rgb="FF0000FF"/>
    </font>
    <font>
      <u/>
      <sz val="10.0"/>
      <color rgb="FF0F1115"/>
    </font>
    <font>
      <u/>
      <sz val="10.0"/>
      <color rgb="FF000000"/>
      <name val="Calibri"/>
    </font>
    <font>
      <u/>
      <sz val="10.0"/>
      <color rgb="FF0F1115"/>
    </font>
    <font>
      <color theme="1"/>
      <name val="Arial"/>
    </font>
    <font>
      <u/>
      <sz val="10.0"/>
      <color rgb="FF0000FF"/>
    </font>
    <font>
      <u/>
      <sz val="10.0"/>
      <color rgb="FF0000FF"/>
    </font>
    <font>
      <u/>
      <sz val="10.0"/>
      <color rgb="FF0000FF"/>
    </font>
    <font>
      <u/>
      <sz val="10.0"/>
      <color rgb="FF0000FF"/>
    </font>
    <font>
      <u/>
      <color rgb="FF1155CC"/>
      <name val="Arial"/>
    </font>
    <font>
      <sz val="11.0"/>
      <color theme="1"/>
      <name val="Arial"/>
    </font>
    <font>
      <u/>
      <sz val="10.0"/>
      <color rgb="FF0F1115"/>
    </font>
    <font>
      <sz val="11.0"/>
      <color theme="1"/>
      <name val="Calibri"/>
    </font>
    <font>
      <u/>
      <sz val="10.0"/>
      <color rgb="FF0000FF"/>
    </font>
    <font>
      <u/>
      <color theme="1"/>
      <name val="Arial"/>
      <scheme val="minor"/>
    </font>
    <font>
      <sz val="10.0"/>
      <color theme="1"/>
      <name val="Arial"/>
    </font>
    <font>
      <u/>
      <sz val="10.0"/>
      <color rgb="FF0000FF"/>
    </font>
    <font>
      <u/>
      <sz val="10.0"/>
      <color rgb="FF0F1115"/>
    </font>
    <font>
      <u/>
      <sz val="11.0"/>
      <color rgb="FF0000FF"/>
    </font>
    <font>
      <u/>
      <sz val="10.0"/>
      <color rgb="FF0000FF"/>
    </font>
    <font>
      <sz val="10.0"/>
      <color rgb="FFFFFFFF"/>
      <name val="Arial"/>
      <scheme val="minor"/>
    </font>
    <font>
      <b/>
      <sz val="10.0"/>
      <color rgb="FF0F1115"/>
      <name val="Arial"/>
      <scheme val="minor"/>
    </font>
    <font>
      <sz val="10.0"/>
      <color rgb="FF800080"/>
      <name val="Quote-cjk-patch"/>
    </font>
    <font>
      <b/>
      <sz val="11.0"/>
      <color rgb="FF000000"/>
      <name val="Calibri"/>
    </font>
    <font>
      <u/>
      <sz val="11.0"/>
      <color rgb="FF000000"/>
      <name val="Calibri"/>
    </font>
    <font>
      <b/>
      <sz val="12.0"/>
      <color rgb="FF0F1115"/>
      <name val="Quote-cjk-patch"/>
    </font>
    <font>
      <sz val="12.0"/>
      <color rgb="FF0F1115"/>
      <name val="Arial"/>
    </font>
    <font>
      <sz val="12.0"/>
      <color rgb="FF0F1115"/>
      <name val="Quote-cjk-patch"/>
    </font>
    <font>
      <u/>
      <color rgb="FF0000FF"/>
    </font>
    <font>
      <u/>
      <sz val="11.0"/>
      <color rgb="FF000000"/>
      <name val="Calibri"/>
    </font>
  </fonts>
  <fills count="10">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E06666"/>
        <bgColor rgb="FFE06666"/>
      </patternFill>
    </fill>
    <fill>
      <patternFill patternType="solid">
        <fgColor rgb="FF999999"/>
        <bgColor rgb="FF999999"/>
      </patternFill>
    </fill>
    <fill>
      <patternFill patternType="solid">
        <fgColor rgb="FFFFFFFF"/>
        <bgColor rgb="FFFFFFFF"/>
      </patternFill>
    </fill>
    <fill>
      <patternFill patternType="solid">
        <fgColor rgb="FF00FFFF"/>
        <bgColor rgb="FF00FFFF"/>
      </patternFill>
    </fill>
    <fill>
      <patternFill patternType="solid">
        <fgColor rgb="FFCC0000"/>
        <bgColor rgb="FFCC0000"/>
      </patternFill>
    </fill>
  </fills>
  <borders count="2">
    <border/>
    <border>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vertical="center"/>
    </xf>
    <xf borderId="0" fillId="0" fontId="1" numFmtId="0" xfId="0" applyAlignment="1" applyFont="1">
      <alignment shrinkToFit="0" wrapText="1"/>
    </xf>
    <xf borderId="0" fillId="0" fontId="2" numFmtId="0" xfId="0" applyAlignment="1" applyFont="1">
      <alignment readingOrder="0" vertical="center"/>
    </xf>
    <xf borderId="0" fillId="0" fontId="1" numFmtId="0" xfId="0" applyAlignment="1" applyFont="1">
      <alignment readingOrder="0" shrinkToFit="0" wrapText="1"/>
    </xf>
    <xf borderId="0" fillId="0" fontId="1" numFmtId="0" xfId="0" applyAlignment="1" applyFont="1">
      <alignment readingOrder="0" shrinkToFit="0" vertical="top" wrapText="1"/>
    </xf>
    <xf borderId="0" fillId="2" fontId="3" numFmtId="0" xfId="0" applyAlignment="1" applyFill="1" applyFont="1">
      <alignment readingOrder="0" shrinkToFit="0" vertical="bottom" wrapText="0"/>
    </xf>
    <xf borderId="0" fillId="2" fontId="3" numFmtId="0" xfId="0" applyAlignment="1" applyFont="1">
      <alignment readingOrder="0" shrinkToFit="0" vertical="bottom" wrapText="0"/>
    </xf>
    <xf borderId="0" fillId="3" fontId="4" numFmtId="0" xfId="0" applyAlignment="1" applyFill="1" applyFont="1">
      <alignment readingOrder="0" shrinkToFit="0" wrapText="0"/>
    </xf>
    <xf borderId="0" fillId="0" fontId="5" numFmtId="0" xfId="0" applyAlignment="1" applyFont="1">
      <alignment readingOrder="0"/>
    </xf>
    <xf borderId="0" fillId="0" fontId="6" numFmtId="0" xfId="0" applyAlignment="1" applyFont="1">
      <alignment readingOrder="0"/>
    </xf>
    <xf borderId="0" fillId="3" fontId="5" numFmtId="0" xfId="0" applyAlignment="1" applyFont="1">
      <alignment readingOrder="0" shrinkToFit="0" wrapText="0"/>
    </xf>
    <xf borderId="0" fillId="0" fontId="7" numFmtId="0" xfId="0" applyAlignment="1" applyFont="1">
      <alignment readingOrder="0" shrinkToFit="0" vertical="bottom" wrapText="0"/>
    </xf>
    <xf borderId="0" fillId="2"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readingOrder="0" shrinkToFit="0" vertical="bottom" wrapText="0"/>
    </xf>
    <xf borderId="0" fillId="0" fontId="1" numFmtId="0" xfId="0" applyAlignment="1" applyFont="1">
      <alignment shrinkToFit="0" wrapText="0"/>
    </xf>
    <xf borderId="0" fillId="0" fontId="8" numFmtId="0" xfId="0" applyFont="1"/>
    <xf borderId="0" fillId="0" fontId="10" numFmtId="0" xfId="0" applyAlignment="1" applyFont="1">
      <alignment readingOrder="0" shrinkToFit="0" vertical="bottom" wrapText="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shrinkToFit="0" vertical="bottom" wrapText="0"/>
    </xf>
    <xf borderId="0" fillId="4" fontId="7" numFmtId="0" xfId="0" applyAlignment="1" applyFill="1" applyFont="1">
      <alignment readingOrder="0" shrinkToFit="0" vertical="bottom" wrapText="0"/>
    </xf>
    <xf borderId="0" fillId="5" fontId="14" numFmtId="0" xfId="0" applyAlignment="1" applyFill="1" applyFont="1">
      <alignment readingOrder="0"/>
    </xf>
    <xf borderId="0" fillId="6" fontId="7" numFmtId="0" xfId="0" applyAlignment="1" applyFill="1" applyFont="1">
      <alignment readingOrder="0" shrinkToFit="0" vertical="bottom" wrapText="0"/>
    </xf>
    <xf borderId="0" fillId="2" fontId="6" numFmtId="0" xfId="0" applyAlignment="1" applyFont="1">
      <alignment readingOrder="0"/>
    </xf>
    <xf borderId="0" fillId="0" fontId="15" numFmtId="0" xfId="0" applyAlignment="1" applyFont="1">
      <alignment vertical="bottom"/>
    </xf>
    <xf borderId="0" fillId="0" fontId="16" numFmtId="0" xfId="0" applyAlignment="1" applyFont="1">
      <alignment readingOrder="0"/>
    </xf>
    <xf borderId="0" fillId="5" fontId="17" numFmtId="0" xfId="0" applyAlignment="1" applyFont="1">
      <alignment readingOrder="0"/>
    </xf>
    <xf borderId="0" fillId="7" fontId="7" numFmtId="0" xfId="0" applyAlignment="1" applyFill="1" applyFont="1">
      <alignment readingOrder="0" shrinkToFit="0" vertical="bottom" wrapText="0"/>
    </xf>
    <xf borderId="0" fillId="3" fontId="18" numFmtId="0" xfId="0" applyAlignment="1" applyFont="1">
      <alignment readingOrder="0"/>
    </xf>
    <xf borderId="0" fillId="5" fontId="19" numFmtId="0" xfId="0" applyAlignment="1" applyFont="1">
      <alignment readingOrder="0" shrinkToFit="0" wrapText="0"/>
    </xf>
    <xf borderId="0" fillId="0" fontId="20" numFmtId="0" xfId="0" applyAlignment="1" applyFont="1">
      <alignment vertical="bottom"/>
    </xf>
    <xf borderId="0" fillId="0" fontId="21" numFmtId="0" xfId="0" applyAlignment="1" applyFont="1">
      <alignment vertical="bottom"/>
    </xf>
    <xf borderId="0" fillId="5" fontId="22" numFmtId="0" xfId="0" applyAlignment="1" applyFont="1">
      <alignment readingOrder="0" shrinkToFit="0" wrapText="0"/>
    </xf>
    <xf borderId="0" fillId="0" fontId="23" numFmtId="0" xfId="0" applyAlignment="1" applyFont="1">
      <alignment readingOrder="0" vertical="bottom"/>
    </xf>
    <xf borderId="0" fillId="0" fontId="1" numFmtId="0" xfId="0" applyAlignment="1" applyFont="1">
      <alignment readingOrder="0" shrinkToFit="0" wrapText="0"/>
    </xf>
    <xf borderId="0" fillId="5" fontId="24" numFmtId="0" xfId="0" applyAlignment="1" applyFont="1">
      <alignment readingOrder="0"/>
    </xf>
    <xf borderId="0" fillId="0" fontId="25" numFmtId="0" xfId="0" applyAlignment="1" applyFont="1">
      <alignment readingOrder="0" shrinkToFit="0" wrapText="0"/>
    </xf>
    <xf borderId="0" fillId="8" fontId="6" numFmtId="0" xfId="0" applyAlignment="1" applyFill="1" applyFont="1">
      <alignment readingOrder="0"/>
    </xf>
    <xf borderId="0" fillId="5" fontId="8" numFmtId="0" xfId="0" applyFont="1"/>
    <xf borderId="0" fillId="0" fontId="2" numFmtId="0" xfId="0" applyAlignment="1" applyFont="1">
      <alignment readingOrder="0"/>
    </xf>
    <xf borderId="0" fillId="0" fontId="2" numFmtId="0" xfId="0" applyAlignment="1" applyFont="1">
      <alignment readingOrder="0" shrinkToFit="0" wrapText="0"/>
    </xf>
    <xf borderId="0" fillId="2" fontId="1" numFmtId="0" xfId="0" applyAlignment="1" applyFont="1">
      <alignment readingOrder="0"/>
    </xf>
    <xf borderId="0" fillId="0" fontId="26" numFmtId="0" xfId="0" applyAlignment="1" applyFont="1">
      <alignment shrinkToFit="0" vertical="bottom" wrapText="0"/>
    </xf>
    <xf borderId="0" fillId="0" fontId="8" numFmtId="0" xfId="0" applyAlignment="1" applyFont="1">
      <alignment horizontal="left" readingOrder="0" shrinkToFit="0" wrapText="0"/>
    </xf>
    <xf borderId="0" fillId="0" fontId="26" numFmtId="0" xfId="0" applyAlignment="1" applyFont="1">
      <alignment readingOrder="0" shrinkToFit="0" vertical="bottom" wrapText="0"/>
    </xf>
    <xf borderId="0" fillId="0" fontId="26" numFmtId="0" xfId="0" applyAlignment="1" applyFont="1">
      <alignment readingOrder="0" vertical="bottom"/>
    </xf>
    <xf borderId="0" fillId="0" fontId="8" numFmtId="0" xfId="0" applyAlignment="1" applyFont="1">
      <alignment horizontal="left" readingOrder="0" vertical="top"/>
    </xf>
    <xf borderId="0" fillId="0" fontId="21" numFmtId="0" xfId="0" applyAlignment="1" applyFont="1">
      <alignment readingOrder="0" vertical="bottom"/>
    </xf>
    <xf borderId="0" fillId="2" fontId="27" numFmtId="0" xfId="0" applyAlignment="1" applyFont="1">
      <alignment readingOrder="0"/>
    </xf>
    <xf borderId="0" fillId="0" fontId="1" numFmtId="0" xfId="0" applyFont="1"/>
    <xf borderId="0" fillId="3" fontId="28" numFmtId="0" xfId="0" applyAlignment="1" applyFont="1">
      <alignment readingOrder="0"/>
    </xf>
    <xf borderId="0" fillId="3" fontId="6" numFmtId="0" xfId="0" applyAlignment="1" applyFont="1">
      <alignment readingOrder="0"/>
    </xf>
    <xf borderId="0" fillId="0" fontId="29" numFmtId="0" xfId="0" applyAlignment="1" applyFont="1">
      <alignment readingOrder="0"/>
    </xf>
    <xf borderId="0" fillId="0" fontId="6" numFmtId="0" xfId="0" applyFont="1"/>
    <xf borderId="0" fillId="0" fontId="1" numFmtId="0" xfId="0" applyAlignment="1" applyFont="1">
      <alignment readingOrder="0"/>
    </xf>
    <xf borderId="0" fillId="0" fontId="1" numFmtId="0" xfId="0" applyFont="1"/>
    <xf borderId="0" fillId="3" fontId="8" numFmtId="0" xfId="0" applyFont="1"/>
    <xf borderId="0" fillId="2" fontId="8" numFmtId="0" xfId="0" applyFont="1"/>
    <xf borderId="0" fillId="3" fontId="8" numFmtId="0" xfId="0" applyAlignment="1" applyFont="1">
      <alignment readingOrder="0" shrinkToFit="0" wrapText="0"/>
    </xf>
    <xf borderId="0" fillId="5" fontId="8" numFmtId="0" xfId="0" applyAlignment="1" applyFont="1">
      <alignment readingOrder="0" shrinkToFit="0" wrapText="0"/>
    </xf>
    <xf borderId="0" fillId="3" fontId="8" numFmtId="0" xfId="0" applyAlignment="1" applyFont="1">
      <alignment readingOrder="0"/>
    </xf>
    <xf borderId="0" fillId="5" fontId="8" numFmtId="0" xfId="0" applyAlignment="1" applyFont="1">
      <alignment readingOrder="0"/>
    </xf>
    <xf borderId="0" fillId="3" fontId="30" numFmtId="0" xfId="0" applyAlignment="1" applyFont="1">
      <alignment readingOrder="0" shrinkToFit="0" wrapText="0"/>
    </xf>
    <xf borderId="0" fillId="0" fontId="8" numFmtId="0" xfId="0" applyAlignment="1" applyFont="1">
      <alignment readingOrder="0"/>
    </xf>
    <xf borderId="0" fillId="9" fontId="31" numFmtId="0" xfId="0" applyAlignment="1" applyFill="1" applyFont="1">
      <alignment readingOrder="0" shrinkToFit="0" wrapText="0"/>
    </xf>
    <xf borderId="0" fillId="0" fontId="5" numFmtId="0" xfId="0" applyFont="1"/>
    <xf borderId="0" fillId="3" fontId="31" numFmtId="0" xfId="0" applyAlignment="1" applyFont="1">
      <alignment readingOrder="0" shrinkToFit="0" wrapText="0"/>
    </xf>
    <xf borderId="0" fillId="0" fontId="32" numFmtId="0" xfId="0" applyFont="1"/>
    <xf borderId="0" fillId="3" fontId="8" numFmtId="0" xfId="0" applyAlignment="1" applyFont="1">
      <alignment readingOrder="0" shrinkToFit="0" wrapText="0"/>
    </xf>
    <xf borderId="0" fillId="5" fontId="5" numFmtId="0" xfId="0" applyAlignment="1" applyFont="1">
      <alignment readingOrder="0" shrinkToFit="0" wrapText="0"/>
    </xf>
    <xf borderId="0" fillId="0" fontId="1" numFmtId="0" xfId="0" applyAlignment="1" applyFont="1">
      <alignment readingOrder="0"/>
    </xf>
    <xf borderId="0" fillId="0" fontId="33" numFmtId="0" xfId="0" applyFont="1"/>
    <xf borderId="0" fillId="0" fontId="34" numFmtId="0" xfId="0" applyAlignment="1" applyFont="1">
      <alignment readingOrder="0" shrinkToFit="0" vertical="bottom" wrapText="0"/>
    </xf>
    <xf borderId="0" fillId="0" fontId="35" numFmtId="0" xfId="0" applyAlignment="1" applyFont="1">
      <alignment readingOrder="0" shrinkToFit="0" vertical="bottom" wrapText="0"/>
    </xf>
    <xf borderId="1" fillId="7" fontId="36" numFmtId="0" xfId="0" applyAlignment="1" applyBorder="1" applyFont="1">
      <alignment horizontal="left" readingOrder="0"/>
    </xf>
    <xf borderId="1" fillId="7" fontId="36" numFmtId="0" xfId="0" applyAlignment="1" applyBorder="1" applyFont="1">
      <alignment horizontal="left" readingOrder="0" shrinkToFit="0" wrapText="0"/>
    </xf>
    <xf borderId="1" fillId="7" fontId="37" numFmtId="0" xfId="0" applyAlignment="1" applyBorder="1" applyFont="1">
      <alignment readingOrder="0"/>
    </xf>
    <xf borderId="1" fillId="7" fontId="38" numFmtId="0" xfId="0" applyAlignment="1" applyBorder="1" applyFont="1">
      <alignment readingOrder="0" shrinkToFit="0" wrapText="0"/>
    </xf>
    <xf borderId="1" fillId="7" fontId="38" numFmtId="0" xfId="0" applyAlignment="1" applyBorder="1" applyFont="1">
      <alignment readingOrder="0"/>
    </xf>
    <xf borderId="0" fillId="0" fontId="39" numFmtId="0" xfId="0" applyFont="1"/>
    <xf borderId="0" fillId="0" fontId="4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ranscure.net/oncology-medical-billing/" TargetMode="External"/><Relationship Id="rId42" Type="http://schemas.openxmlformats.org/officeDocument/2006/relationships/hyperlink" Target="https://transcure.net/outsourcing-orthopedic-medical-billing-services-benefits/" TargetMode="External"/><Relationship Id="rId41" Type="http://schemas.openxmlformats.org/officeDocument/2006/relationships/hyperlink" Target="https://transcure.net/how-to-bill-telehealth-in-ophthalmology-medical-billing/" TargetMode="External"/><Relationship Id="rId44" Type="http://schemas.openxmlformats.org/officeDocument/2006/relationships/hyperlink" Target="https://transcure.net/pain-management-billing-definition-codes-process/" TargetMode="External"/><Relationship Id="rId43" Type="http://schemas.openxmlformats.org/officeDocument/2006/relationships/hyperlink" Target="https://transcure.net/orthopedic-medical-billing-know-to-get-paid/" TargetMode="External"/><Relationship Id="rId46" Type="http://schemas.openxmlformats.org/officeDocument/2006/relationships/hyperlink" Target="https://transcure.net/common-pain-management-medical-billing-mistakes/" TargetMode="External"/><Relationship Id="rId45" Type="http://schemas.openxmlformats.org/officeDocument/2006/relationships/hyperlink" Target="https://transcure.net/article/pain-management-billing-companies/" TargetMode="External"/><Relationship Id="rId107" Type="http://schemas.openxmlformats.org/officeDocument/2006/relationships/hyperlink" Target="https://transcure.net/article/medical-billing-companies-in-houston-tx/" TargetMode="External"/><Relationship Id="rId106" Type="http://schemas.openxmlformats.org/officeDocument/2006/relationships/hyperlink" Target="https://transcure.net/article/medical-billing-companies-el-paso-tx/" TargetMode="External"/><Relationship Id="rId105" Type="http://schemas.openxmlformats.org/officeDocument/2006/relationships/hyperlink" Target="https://transcure.net/article/medical-billing-companies-dallas-tx/" TargetMode="External"/><Relationship Id="rId104" Type="http://schemas.openxmlformats.org/officeDocument/2006/relationships/hyperlink" Target="https://transcure.net/article/medical-billing-companies-austin-tx/" TargetMode="External"/><Relationship Id="rId109" Type="http://schemas.openxmlformats.org/officeDocument/2006/relationships/hyperlink" Target="https://transcure.net/medical-billing-costs/" TargetMode="External"/><Relationship Id="rId108" Type="http://schemas.openxmlformats.org/officeDocument/2006/relationships/hyperlink" Target="https://transcure.net/article/medical-billing-companies-san-antonio-texas/" TargetMode="External"/><Relationship Id="rId48" Type="http://schemas.openxmlformats.org/officeDocument/2006/relationships/hyperlink" Target="https://transcure.net/in%25e2%2580%2591house-vs-outsourced-pediatric-medical-billing/" TargetMode="External"/><Relationship Id="rId47" Type="http://schemas.openxmlformats.org/officeDocument/2006/relationships/hyperlink" Target="https://transcure.net/pediatrics-medical-coding-guide/" TargetMode="External"/><Relationship Id="rId49" Type="http://schemas.openxmlformats.org/officeDocument/2006/relationships/hyperlink" Target="https://transcure.net/guide-for-podiatry-billing-and-coding/" TargetMode="External"/><Relationship Id="rId103" Type="http://schemas.openxmlformats.org/officeDocument/2006/relationships/hyperlink" Target="https://transcure.net/article/top-5-medical-billing-companies-in-texas/" TargetMode="External"/><Relationship Id="rId102" Type="http://schemas.openxmlformats.org/officeDocument/2006/relationships/hyperlink" Target="https://transcure.net/article/podiatry-billing-companies/" TargetMode="External"/><Relationship Id="rId101" Type="http://schemas.openxmlformats.org/officeDocument/2006/relationships/hyperlink" Target="https://transcure.net/article/medical-billing-companies-pittsburgh-pa/" TargetMode="External"/><Relationship Id="rId100" Type="http://schemas.openxmlformats.org/officeDocument/2006/relationships/hyperlink" Target="https://transcure.net/article/medical-billing-companies-in-philadelphia/" TargetMode="External"/><Relationship Id="rId31" Type="http://schemas.openxmlformats.org/officeDocument/2006/relationships/hyperlink" Target="https://transcure.net/crack-the-code-and-master-internal-medicine-coding/" TargetMode="External"/><Relationship Id="rId30" Type="http://schemas.openxmlformats.org/officeDocument/2006/relationships/hyperlink" Target="https://transcure.net/internal-medicine-billing-strategies-for-billing-challenges/" TargetMode="External"/><Relationship Id="rId33" Type="http://schemas.openxmlformats.org/officeDocument/2006/relationships/hyperlink" Target="https://transcure.net/nephrology-coding-and-billing/" TargetMode="External"/><Relationship Id="rId32" Type="http://schemas.openxmlformats.org/officeDocument/2006/relationships/hyperlink" Target="https://transcure.net/how-to-do-behavioral-health-claims-processing-for-psychiatry/" TargetMode="External"/><Relationship Id="rId35" Type="http://schemas.openxmlformats.org/officeDocument/2006/relationships/hyperlink" Target="https://transcure.net/nephrology-coding-demystifying-the-top-nephrology-cpt-codes/" TargetMode="External"/><Relationship Id="rId34" Type="http://schemas.openxmlformats.org/officeDocument/2006/relationships/hyperlink" Target="https://transcure.net/article/best-nephrology-medical-billing-services-in-usa/" TargetMode="External"/><Relationship Id="rId37" Type="http://schemas.openxmlformats.org/officeDocument/2006/relationships/hyperlink" Target="https://transcure.net/neurosurgery-medical-billing-authorization-rules/" TargetMode="External"/><Relationship Id="rId36" Type="http://schemas.openxmlformats.org/officeDocument/2006/relationships/hyperlink" Target="https://transcure.net/medical-billing-for-neurosurgery-guide/" TargetMode="External"/><Relationship Id="rId39" Type="http://schemas.openxmlformats.org/officeDocument/2006/relationships/hyperlink" Target="https://transcure.net/article/best-oncology-billing-companies/" TargetMode="External"/><Relationship Id="rId38" Type="http://schemas.openxmlformats.org/officeDocument/2006/relationships/hyperlink" Target="https://transcure.net/ob-gyn-medical-billing-guide/" TargetMode="External"/><Relationship Id="rId20" Type="http://schemas.openxmlformats.org/officeDocument/2006/relationships/hyperlink" Target="https://transcure.net/article/best-denial-management-companies-in-usa/" TargetMode="External"/><Relationship Id="rId22" Type="http://schemas.openxmlformats.org/officeDocument/2006/relationships/hyperlink" Target="https://transcure.net/article/revenue-cycle-management-companies-2024/" TargetMode="External"/><Relationship Id="rId21" Type="http://schemas.openxmlformats.org/officeDocument/2006/relationships/hyperlink" Target="https://transcure.net/article/best-medical-billing-companies-in-florida-2025/" TargetMode="External"/><Relationship Id="rId24" Type="http://schemas.openxmlformats.org/officeDocument/2006/relationships/hyperlink" Target="https://transcure.net/benefits-of-credentialing-and-enrollment/" TargetMode="External"/><Relationship Id="rId23" Type="http://schemas.openxmlformats.org/officeDocument/2006/relationships/hyperlink" Target="https://transcure.net/contracting-vs-credentialing-in-medical-billing/" TargetMode="External"/><Relationship Id="rId129" Type="http://schemas.openxmlformats.org/officeDocument/2006/relationships/hyperlink" Target="https://transcure.net/athenahealth-billing-services-a-complete-guide/" TargetMode="External"/><Relationship Id="rId128" Type="http://schemas.openxmlformats.org/officeDocument/2006/relationships/hyperlink" Target="https://transcure.net/advanced-md-ehr/" TargetMode="External"/><Relationship Id="rId127" Type="http://schemas.openxmlformats.org/officeDocument/2006/relationships/hyperlink" Target="https://transcure.net/5-best-electronic-health-records-for-asc-medical-billing/" TargetMode="External"/><Relationship Id="rId126" Type="http://schemas.openxmlformats.org/officeDocument/2006/relationships/hyperlink" Target="https://transcure.net/eclinicalworks-emr-boost-your-revenue/" TargetMode="External"/><Relationship Id="rId26" Type="http://schemas.openxmlformats.org/officeDocument/2006/relationships/hyperlink" Target="https://transcure.net/claim-denials-in-dental-medical-billing/" TargetMode="External"/><Relationship Id="rId121" Type="http://schemas.openxmlformats.org/officeDocument/2006/relationships/hyperlink" Target="https://transcure.net/medical-billing-company-in-new-jersey/" TargetMode="External"/><Relationship Id="rId25" Type="http://schemas.openxmlformats.org/officeDocument/2006/relationships/hyperlink" Target="https://transcure.net/article/dental-billing-services-top-companies-for-small-practices/" TargetMode="External"/><Relationship Id="rId120" Type="http://schemas.openxmlformats.org/officeDocument/2006/relationships/hyperlink" Target="https://transcure.net/medical-billing-outsourcing-guide/" TargetMode="External"/><Relationship Id="rId28" Type="http://schemas.openxmlformats.org/officeDocument/2006/relationships/hyperlink" Target="https://transcure.net/uncommon-gastroenterology-medical-billing-mistakes/" TargetMode="External"/><Relationship Id="rId27" Type="http://schemas.openxmlformats.org/officeDocument/2006/relationships/hyperlink" Target="https://transcure.net/dental-billing-process-with-cdt-code-sheet/" TargetMode="External"/><Relationship Id="rId125" Type="http://schemas.openxmlformats.org/officeDocument/2006/relationships/hyperlink" Target="https://transcure.net/revenue-cycle-management-in-healthcare/" TargetMode="External"/><Relationship Id="rId29" Type="http://schemas.openxmlformats.org/officeDocument/2006/relationships/hyperlink" Target="https://transcure.net/general-surgery-billing-guide/" TargetMode="External"/><Relationship Id="rId124" Type="http://schemas.openxmlformats.org/officeDocument/2006/relationships/hyperlink" Target="https://transcure.net/primary-care-billing-transcure/" TargetMode="External"/><Relationship Id="rId123" Type="http://schemas.openxmlformats.org/officeDocument/2006/relationships/hyperlink" Target="https://transcure.net/predictive-analytics-healthcare/" TargetMode="External"/><Relationship Id="rId122" Type="http://schemas.openxmlformats.org/officeDocument/2006/relationships/hyperlink" Target="https://transcure.net/best-medical-practice-management-a-comprehensive-guide/" TargetMode="External"/><Relationship Id="rId95" Type="http://schemas.openxmlformats.org/officeDocument/2006/relationships/hyperlink" Target="https://transcure.net/article/medical-billing-companies-in-new-jersey/" TargetMode="External"/><Relationship Id="rId94" Type="http://schemas.openxmlformats.org/officeDocument/2006/relationships/hyperlink" Target="https://transcure.net/article/medical-billing-companies-las-vegas/" TargetMode="External"/><Relationship Id="rId97" Type="http://schemas.openxmlformats.org/officeDocument/2006/relationships/hyperlink" Target="https://transcure.net/article/best-oncology-billing-companies/" TargetMode="External"/><Relationship Id="rId96" Type="http://schemas.openxmlformats.org/officeDocument/2006/relationships/hyperlink" Target="https://transcure.net/article/top-medical-billing-companies-in-new-york/" TargetMode="External"/><Relationship Id="rId11" Type="http://schemas.openxmlformats.org/officeDocument/2006/relationships/hyperlink" Target="https://transcure.net/new-cpt-codes-2025/" TargetMode="External"/><Relationship Id="rId99" Type="http://schemas.openxmlformats.org/officeDocument/2006/relationships/hyperlink" Target="https://transcure.net/article/medical-billing-companies-in-pennsylvania/" TargetMode="External"/><Relationship Id="rId10" Type="http://schemas.openxmlformats.org/officeDocument/2006/relationships/hyperlink" Target="https://transcure.net/article/coding-in-medical-billing-guide/" TargetMode="External"/><Relationship Id="rId98" Type="http://schemas.openxmlformats.org/officeDocument/2006/relationships/hyperlink" Target="https://transcure.net/article/pain-management-billing-companies/" TargetMode="External"/><Relationship Id="rId13" Type="http://schemas.openxmlformats.org/officeDocument/2006/relationships/hyperlink" Target="https://transcure.net/hcpcs-level-ii-codes-2024-by-cms/" TargetMode="External"/><Relationship Id="rId12" Type="http://schemas.openxmlformats.org/officeDocument/2006/relationships/hyperlink" Target="https://transcure.net/cpt-codes-2024/" TargetMode="External"/><Relationship Id="rId91" Type="http://schemas.openxmlformats.org/officeDocument/2006/relationships/hyperlink" Target="https://transcure.net/article/medical-billing-companies-boston/" TargetMode="External"/><Relationship Id="rId90" Type="http://schemas.openxmlformats.org/officeDocument/2006/relationships/hyperlink" Target="https://transcure.net/article/medical-billing-companies-massachusetts/" TargetMode="External"/><Relationship Id="rId93" Type="http://schemas.openxmlformats.org/officeDocument/2006/relationships/hyperlink" Target="https://transcure.net/article/medical-billing-companies-nevada/" TargetMode="External"/><Relationship Id="rId92" Type="http://schemas.openxmlformats.org/officeDocument/2006/relationships/hyperlink" Target="https://transcure.net/article/best-nephrology-medical-billing-services-in-usa/" TargetMode="External"/><Relationship Id="rId118" Type="http://schemas.openxmlformats.org/officeDocument/2006/relationships/hyperlink" Target="https://transcure.net/how-to-choose-medical-billing-company-new-york-guide/" TargetMode="External"/><Relationship Id="rId117" Type="http://schemas.openxmlformats.org/officeDocument/2006/relationships/hyperlink" Target="https://transcure.net/medical-billing-new-jersey-guide/" TargetMode="External"/><Relationship Id="rId116" Type="http://schemas.openxmlformats.org/officeDocument/2006/relationships/hyperlink" Target="https://transcure.net/new-jersey-balance-billing-law/" TargetMode="External"/><Relationship Id="rId115" Type="http://schemas.openxmlformats.org/officeDocument/2006/relationships/hyperlink" Target="https://transcure.net/mips-medicare-reporting-after-deadline/" TargetMode="External"/><Relationship Id="rId119" Type="http://schemas.openxmlformats.org/officeDocument/2006/relationships/hyperlink" Target="https://transcure.net/billing-for-non-credentialed-physicians/" TargetMode="External"/><Relationship Id="rId15" Type="http://schemas.openxmlformats.org/officeDocument/2006/relationships/hyperlink" Target="https://transcure.net/ga-modifier-update-2025/" TargetMode="External"/><Relationship Id="rId110" Type="http://schemas.openxmlformats.org/officeDocument/2006/relationships/hyperlink" Target="https://transcure.net/endocrinology-billing-services-by-transcure/" TargetMode="External"/><Relationship Id="rId14" Type="http://schemas.openxmlformats.org/officeDocument/2006/relationships/hyperlink" Target="https://transcure.net/2024-2025-icd-10-cm-updates/" TargetMode="External"/><Relationship Id="rId17" Type="http://schemas.openxmlformats.org/officeDocument/2006/relationships/hyperlink" Target="https://transcure.net/how-to-accurately-code-pre-operative-clearance-icd-10/" TargetMode="External"/><Relationship Id="rId16" Type="http://schemas.openxmlformats.org/officeDocument/2006/relationships/hyperlink" Target="https://transcure.net/distinguishing-between-gv-and-gw-modifier-and-their-applicability/" TargetMode="External"/><Relationship Id="rId19" Type="http://schemas.openxmlformats.org/officeDocument/2006/relationships/hyperlink" Target="https://transcure.net/revenue-cycle-management-companies-in-usa/" TargetMode="External"/><Relationship Id="rId114" Type="http://schemas.openxmlformats.org/officeDocument/2006/relationships/hyperlink" Target="https://transcure.net/medicare-fee-schedule-lookup/" TargetMode="External"/><Relationship Id="rId18" Type="http://schemas.openxmlformats.org/officeDocument/2006/relationships/hyperlink" Target="https://transcure.net/article/medical-billing-outsourcing-companies/" TargetMode="External"/><Relationship Id="rId113" Type="http://schemas.openxmlformats.org/officeDocument/2006/relationships/hyperlink" Target="https://transcure.net/medicare-reimbursement/" TargetMode="External"/><Relationship Id="rId112" Type="http://schemas.openxmlformats.org/officeDocument/2006/relationships/hyperlink" Target="https://transcure.net/article/florida-medical-billing-laws/" TargetMode="External"/><Relationship Id="rId111" Type="http://schemas.openxmlformats.org/officeDocument/2006/relationships/hyperlink" Target="https://transcure.net/how-to-choose-medical-billing-services-florida/" TargetMode="External"/><Relationship Id="rId84" Type="http://schemas.openxmlformats.org/officeDocument/2006/relationships/hyperlink" Target="https://transcure.net/article/best-dental-billing-companies-usa/" TargetMode="External"/><Relationship Id="rId83" Type="http://schemas.openxmlformats.org/officeDocument/2006/relationships/hyperlink" Target="https://transcure.net/article/best-medical-credentialing-companies-in-2025/" TargetMode="External"/><Relationship Id="rId86" Type="http://schemas.openxmlformats.org/officeDocument/2006/relationships/hyperlink" Target="https://transcure.net/article/medical-billing-companies-orlando-florida/" TargetMode="External"/><Relationship Id="rId85" Type="http://schemas.openxmlformats.org/officeDocument/2006/relationships/hyperlink" Target="https://transcure.net/article/medical-billing-companies-miami-florida/" TargetMode="External"/><Relationship Id="rId88" Type="http://schemas.openxmlformats.org/officeDocument/2006/relationships/hyperlink" Target="https://transcure.net/article/medical-billing-companies-illinois/" TargetMode="External"/><Relationship Id="rId150" Type="http://schemas.openxmlformats.org/officeDocument/2006/relationships/hyperlink" Target="https://transcure.net/article/faq-for-nephrology-billing-solutions/" TargetMode="External"/><Relationship Id="rId87" Type="http://schemas.openxmlformats.org/officeDocument/2006/relationships/hyperlink" Target="https://transcure.net/article/medical-billing-companies-tampa-fl/" TargetMode="External"/><Relationship Id="rId89" Type="http://schemas.openxmlformats.org/officeDocument/2006/relationships/hyperlink" Target="https://transcure.net/article/medical-billing-companies-illinois/" TargetMode="External"/><Relationship Id="rId80" Type="http://schemas.openxmlformats.org/officeDocument/2006/relationships/hyperlink" Target="https://transcure.net/article/medical-billing-companies-in-san-francisco-ca/" TargetMode="External"/><Relationship Id="rId82" Type="http://schemas.openxmlformats.org/officeDocument/2006/relationships/hyperlink" Target="https://transcure.net/article/top-medical-coding-companies-in-usa/" TargetMode="External"/><Relationship Id="rId81" Type="http://schemas.openxmlformats.org/officeDocument/2006/relationships/hyperlink" Target="https://transcure.net/article/cardiology-billing-companies-us/" TargetMode="External"/><Relationship Id="rId1" Type="http://schemas.openxmlformats.org/officeDocument/2006/relationships/comments" Target="../comments1.xml"/><Relationship Id="rId2" Type="http://schemas.openxmlformats.org/officeDocument/2006/relationships/hyperlink" Target="https://transcure.net/maximize-reimbursements-by-medical-billing-services/" TargetMode="External"/><Relationship Id="rId3" Type="http://schemas.openxmlformats.org/officeDocument/2006/relationships/hyperlink" Target="https://docs.google.com/spreadsheets/d/1dFkv56wYzcL8MDYRyQavp9KgzKvxTe4cVE8hTGcHk7M/edit?usp=sharing" TargetMode="External"/><Relationship Id="rId149" Type="http://schemas.openxmlformats.org/officeDocument/2006/relationships/hyperlink" Target="https://transcure.net/article/podiatry-billing-companies/" TargetMode="External"/><Relationship Id="rId4" Type="http://schemas.openxmlformats.org/officeDocument/2006/relationships/hyperlink" Target="https://transcure.net/article/accounts-receivable-in-healthcare/" TargetMode="External"/><Relationship Id="rId148" Type="http://schemas.openxmlformats.org/officeDocument/2006/relationships/hyperlink" Target="https://transcure.net/outsource-podiatry-medical-billing-benefits/" TargetMode="External"/><Relationship Id="rId9" Type="http://schemas.openxmlformats.org/officeDocument/2006/relationships/hyperlink" Target="https://transcure.net/cms-1500-form/" TargetMode="External"/><Relationship Id="rId143" Type="http://schemas.openxmlformats.org/officeDocument/2006/relationships/hyperlink" Target="https://transcure.net/medical-billing-solutions-complete-guide/" TargetMode="External"/><Relationship Id="rId142" Type="http://schemas.openxmlformats.org/officeDocument/2006/relationships/hyperlink" Target="https://transcure.net/practice-fusion-emr/" TargetMode="External"/><Relationship Id="rId141" Type="http://schemas.openxmlformats.org/officeDocument/2006/relationships/hyperlink" Target="https://transcure.net/invoice-billing-process-via-epic-medical-software/" TargetMode="External"/><Relationship Id="rId140" Type="http://schemas.openxmlformats.org/officeDocument/2006/relationships/hyperlink" Target="https://transcure.net/practice-fusion-emr-with-rpm/" TargetMode="External"/><Relationship Id="rId5" Type="http://schemas.openxmlformats.org/officeDocument/2006/relationships/hyperlink" Target="https://transcure.net/cardiology-medical-billing-guidelines/" TargetMode="External"/><Relationship Id="rId147" Type="http://schemas.openxmlformats.org/officeDocument/2006/relationships/hyperlink" Target="https://transcure.net/texas-timely-billing-law/" TargetMode="External"/><Relationship Id="rId6" Type="http://schemas.openxmlformats.org/officeDocument/2006/relationships/hyperlink" Target="https://transcure.net/article/cardiology-billing-companies-us/" TargetMode="External"/><Relationship Id="rId146" Type="http://schemas.openxmlformats.org/officeDocument/2006/relationships/hyperlink" Target="https://transcure.net/balance-billing-florida/" TargetMode="External"/><Relationship Id="rId7" Type="http://schemas.openxmlformats.org/officeDocument/2006/relationships/hyperlink" Target="https://transcure.net/everything-you-need-to-know-about-crossover-claims-in-healthcare/" TargetMode="External"/><Relationship Id="rId145" Type="http://schemas.openxmlformats.org/officeDocument/2006/relationships/hyperlink" Target="https://transcure.net/texas-law-on-unpaid-medical-bills/" TargetMode="External"/><Relationship Id="rId8" Type="http://schemas.openxmlformats.org/officeDocument/2006/relationships/hyperlink" Target="https://transcure.net/3-best-practices-to-reduce-claim-denials/" TargetMode="External"/><Relationship Id="rId144" Type="http://schemas.openxmlformats.org/officeDocument/2006/relationships/hyperlink" Target="https://transcure.net/texas-medical-billing/" TargetMode="External"/><Relationship Id="rId73" Type="http://schemas.openxmlformats.org/officeDocument/2006/relationships/hyperlink" Target="https://transcure.net/medical-billing-time-limits-california/" TargetMode="External"/><Relationship Id="rId72" Type="http://schemas.openxmlformats.org/officeDocument/2006/relationships/hyperlink" Target="https://transcure.net/medical-billing-laws-in-california/" TargetMode="External"/><Relationship Id="rId75" Type="http://schemas.openxmlformats.org/officeDocument/2006/relationships/hyperlink" Target="https://transcure.net/medical-billing-companies-in-usa-2025/" TargetMode="External"/><Relationship Id="rId74" Type="http://schemas.openxmlformats.org/officeDocument/2006/relationships/hyperlink" Target="https://transcure.net/cms-quality-measures-2023-key-updates/" TargetMode="External"/><Relationship Id="rId77" Type="http://schemas.openxmlformats.org/officeDocument/2006/relationships/hyperlink" Target="https://transcure.net/article/medical-billing-companies-los-angeles-ca/" TargetMode="External"/><Relationship Id="rId76" Type="http://schemas.openxmlformats.org/officeDocument/2006/relationships/hyperlink" Target="https://transcure.net/article/medical-billing-companies-in-california/" TargetMode="External"/><Relationship Id="rId79" Type="http://schemas.openxmlformats.org/officeDocument/2006/relationships/hyperlink" Target="https://transcure.net/article/medical-billing-companies-san-diego-ca/" TargetMode="External"/><Relationship Id="rId78" Type="http://schemas.openxmlformats.org/officeDocument/2006/relationships/hyperlink" Target="https://transcure.net/article/medical-billing-companies-sacramento-ca/" TargetMode="External"/><Relationship Id="rId71" Type="http://schemas.openxmlformats.org/officeDocument/2006/relationships/hyperlink" Target="https://transcure.net/pros-and-cons-of-outsourcing-medical-billing-services/" TargetMode="External"/><Relationship Id="rId70" Type="http://schemas.openxmlformats.org/officeDocument/2006/relationships/hyperlink" Target="https://transcure.net/are-healthcare-providers-thankful-on-thanksgiving-2022/" TargetMode="External"/><Relationship Id="rId139" Type="http://schemas.openxmlformats.org/officeDocument/2006/relationships/hyperlink" Target="https://transcure.net/gastro-suite-in-nextgen-medical-billing-software/" TargetMode="External"/><Relationship Id="rId138" Type="http://schemas.openxmlformats.org/officeDocument/2006/relationships/hyperlink" Target="https://transcure.net/nextgen-rcm-for-small-practices/" TargetMode="External"/><Relationship Id="rId137" Type="http://schemas.openxmlformats.org/officeDocument/2006/relationships/hyperlink" Target="https://transcure.net/ai-coding-feature-in-the-epic-emr-system/" TargetMode="External"/><Relationship Id="rId132" Type="http://schemas.openxmlformats.org/officeDocument/2006/relationships/hyperlink" Target="https://transcure.net/request-authorizations-in-eclinicalworks-software/" TargetMode="External"/><Relationship Id="rId131" Type="http://schemas.openxmlformats.org/officeDocument/2006/relationships/hyperlink" Target="https://transcure.net/ecw-health-portal/" TargetMode="External"/><Relationship Id="rId130" Type="http://schemas.openxmlformats.org/officeDocument/2006/relationships/hyperlink" Target="https://transcure.net/top-emr-systems-in-the-usa/" TargetMode="External"/><Relationship Id="rId136" Type="http://schemas.openxmlformats.org/officeDocument/2006/relationships/hyperlink" Target="https://transcure.net/epic-healthcare-software/" TargetMode="External"/><Relationship Id="rId135" Type="http://schemas.openxmlformats.org/officeDocument/2006/relationships/hyperlink" Target="https://transcure.net/epic-ehr-system-benefits/" TargetMode="External"/><Relationship Id="rId134" Type="http://schemas.openxmlformats.org/officeDocument/2006/relationships/hyperlink" Target="https://transcure.net/eclinical-emr-v12/" TargetMode="External"/><Relationship Id="rId133" Type="http://schemas.openxmlformats.org/officeDocument/2006/relationships/hyperlink" Target="https://transcure.net/ecw-software-and-sunoh-ai-bringing-revolution/" TargetMode="External"/><Relationship Id="rId62" Type="http://schemas.openxmlformats.org/officeDocument/2006/relationships/hyperlink" Target="https://transcure.net/role-of-modifiers-in-medical-billing-and-its-applicability/" TargetMode="External"/><Relationship Id="rId61" Type="http://schemas.openxmlformats.org/officeDocument/2006/relationships/hyperlink" Target="https://transcure.net/best-general-surgery-medical-billing-services/" TargetMode="External"/><Relationship Id="rId64" Type="http://schemas.openxmlformats.org/officeDocument/2006/relationships/hyperlink" Target="https://transcure.net/ambulatory-surgery-center-billing-challenges/" TargetMode="External"/><Relationship Id="rId63" Type="http://schemas.openxmlformats.org/officeDocument/2006/relationships/hyperlink" Target="https://transcure.net/billing-for-ambulatory-surgery-centers/" TargetMode="External"/><Relationship Id="rId66" Type="http://schemas.openxmlformats.org/officeDocument/2006/relationships/hyperlink" Target="https://transcure.net/gastro-surgical-center-billing-guide/" TargetMode="External"/><Relationship Id="rId65" Type="http://schemas.openxmlformats.org/officeDocument/2006/relationships/hyperlink" Target="https://transcure.net/ambulatory-surgery-billing-updates/" TargetMode="External"/><Relationship Id="rId68" Type="http://schemas.openxmlformats.org/officeDocument/2006/relationships/hyperlink" Target="https://transcure.net/article/medical-billing-time-limits-by-state/" TargetMode="External"/><Relationship Id="rId67" Type="http://schemas.openxmlformats.org/officeDocument/2006/relationships/hyperlink" Target="https://transcure.net/telehealth-cpt-codes-for-2025/" TargetMode="External"/><Relationship Id="rId60" Type="http://schemas.openxmlformats.org/officeDocument/2006/relationships/hyperlink" Target="https://transcure.net/family-practice-billing-services/" TargetMode="External"/><Relationship Id="rId69" Type="http://schemas.openxmlformats.org/officeDocument/2006/relationships/hyperlink" Target="https://transcure.net/ai-powered-medical-billing/" TargetMode="External"/><Relationship Id="rId51" Type="http://schemas.openxmlformats.org/officeDocument/2006/relationships/hyperlink" Target="https://transcure.net/psychiatric-billing-codes-2023-updates/" TargetMode="External"/><Relationship Id="rId50" Type="http://schemas.openxmlformats.org/officeDocument/2006/relationships/hyperlink" Target="https://transcure.net/article/podiatry-billing-companies/" TargetMode="External"/><Relationship Id="rId53" Type="http://schemas.openxmlformats.org/officeDocument/2006/relationships/hyperlink" Target="https://transcure.net/psychiatry-billing-solutions-a-comprehensive-guide/" TargetMode="External"/><Relationship Id="rId52" Type="http://schemas.openxmlformats.org/officeDocument/2006/relationships/hyperlink" Target="https://transcure.net/psychiatry-billing-codes-that-delivers-realistic-revenue/" TargetMode="External"/><Relationship Id="rId55" Type="http://schemas.openxmlformats.org/officeDocument/2006/relationships/hyperlink" Target="https://transcure.net/14-steps-of-healthcare-revenue-cycle-management/" TargetMode="External"/><Relationship Id="rId54" Type="http://schemas.openxmlformats.org/officeDocument/2006/relationships/hyperlink" Target="https://transcure.net/pulmonology-medical-billing-guide/" TargetMode="External"/><Relationship Id="rId57" Type="http://schemas.openxmlformats.org/officeDocument/2006/relationships/hyperlink" Target="https://transcure.net/hacks-to-maximize-reimbursements-by-revolutionizing-ar-recovery/" TargetMode="External"/><Relationship Id="rId56" Type="http://schemas.openxmlformats.org/officeDocument/2006/relationships/hyperlink" Target="https://transcure.net/expert-tips-medical-billing-services-in-texas/" TargetMode="External"/><Relationship Id="rId59" Type="http://schemas.openxmlformats.org/officeDocument/2006/relationships/hyperlink" Target="https://docs.google.com/spreadsheets/d/10aSGuwcS2QbT9xy1L7zvHQDbo9DftuPKls0pzZ9zo0c/edit?usp=sharing" TargetMode="External"/><Relationship Id="rId154" Type="http://schemas.openxmlformats.org/officeDocument/2006/relationships/hyperlink" Target="https://transcure.net/top-medical-billing-companies-usa-2023/" TargetMode="External"/><Relationship Id="rId58" Type="http://schemas.openxmlformats.org/officeDocument/2006/relationships/hyperlink" Target="https://transcure.net/how-rpa-is-changing-the-medical-billing-industry/" TargetMode="External"/><Relationship Id="rId153" Type="http://schemas.openxmlformats.org/officeDocument/2006/relationships/hyperlink" Target="https://transcure.net/article/dental-billing-services-top-companies-for-small-practices/" TargetMode="External"/><Relationship Id="rId152" Type="http://schemas.openxmlformats.org/officeDocument/2006/relationships/hyperlink" Target="https://transcure.net/article/asc-billing-services-gi-prior-authorization-expansion/" TargetMode="External"/><Relationship Id="rId151" Type="http://schemas.openxmlformats.org/officeDocument/2006/relationships/hyperlink" Target="https://transcure.net/article/psychiatry-billing-services-updates-2024/" TargetMode="External"/><Relationship Id="rId156" Type="http://schemas.openxmlformats.org/officeDocument/2006/relationships/vmlDrawing" Target="../drawings/vmlDrawing1.vml"/><Relationship Id="rId15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medibillmd.com/blog/cpt-code-67904/" TargetMode="External"/><Relationship Id="rId194" Type="http://schemas.openxmlformats.org/officeDocument/2006/relationships/hyperlink" Target="https://medibillmd.com/blog/cpt-code-90686/" TargetMode="External"/><Relationship Id="rId193" Type="http://schemas.openxmlformats.org/officeDocument/2006/relationships/hyperlink" Target="https://medibillmd.com/blog/cpt-code-15877/" TargetMode="External"/><Relationship Id="rId192" Type="http://schemas.openxmlformats.org/officeDocument/2006/relationships/hyperlink" Target="https://medibillmd.com/blog/plastic-surgery-cpt-codes/" TargetMode="External"/><Relationship Id="rId191" Type="http://schemas.openxmlformats.org/officeDocument/2006/relationships/hyperlink" Target="https://medibillmd.com/blog/cpt-code-44140/" TargetMode="External"/><Relationship Id="rId187" Type="http://schemas.openxmlformats.org/officeDocument/2006/relationships/hyperlink" Target="https://medibillmd.com/blog/cpt-code-93798/" TargetMode="External"/><Relationship Id="rId186" Type="http://schemas.openxmlformats.org/officeDocument/2006/relationships/hyperlink" Target="https://medibillmd.com/blog/cpt-code-70553/" TargetMode="External"/><Relationship Id="rId185" Type="http://schemas.openxmlformats.org/officeDocument/2006/relationships/hyperlink" Target="https://medibillmd.com/blog/medical-billing-companies-in-san-diego/" TargetMode="External"/><Relationship Id="rId184" Type="http://schemas.openxmlformats.org/officeDocument/2006/relationships/hyperlink" Target="https://medibillmd.com/blog/medical-billing-compliance/" TargetMode="External"/><Relationship Id="rId189" Type="http://schemas.openxmlformats.org/officeDocument/2006/relationships/hyperlink" Target="https://medibillmd.com/blog/modifier-82/" TargetMode="External"/><Relationship Id="rId188" Type="http://schemas.openxmlformats.org/officeDocument/2006/relationships/hyperlink" Target="https://medibillmd.com/blog/cpt-code-93015/" TargetMode="External"/><Relationship Id="rId183" Type="http://schemas.openxmlformats.org/officeDocument/2006/relationships/hyperlink" Target="https://medibillmd.com/blog/medical-billing-companies-in-dallas/" TargetMode="External"/><Relationship Id="rId182" Type="http://schemas.openxmlformats.org/officeDocument/2006/relationships/hyperlink" Target="https://medibillmd.com/blog/cpt-code-11730/" TargetMode="External"/><Relationship Id="rId181" Type="http://schemas.openxmlformats.org/officeDocument/2006/relationships/hyperlink" Target="https://medibillmd.com/blog/cpt-code-11056/" TargetMode="External"/><Relationship Id="rId180" Type="http://schemas.openxmlformats.org/officeDocument/2006/relationships/hyperlink" Target="https://medibillmd.com/blog/cpt-code-76801/" TargetMode="External"/><Relationship Id="rId176" Type="http://schemas.openxmlformats.org/officeDocument/2006/relationships/hyperlink" Target="https://medibillmd.com/blog/cpt-code-77386/" TargetMode="External"/><Relationship Id="rId297" Type="http://schemas.openxmlformats.org/officeDocument/2006/relationships/hyperlink" Target="https://medibillmd.com/blog/cpt-code-43235/" TargetMode="External"/><Relationship Id="rId175" Type="http://schemas.openxmlformats.org/officeDocument/2006/relationships/hyperlink" Target="https://medibillmd.com/blog/cpt-code-11750/" TargetMode="External"/><Relationship Id="rId296" Type="http://schemas.openxmlformats.org/officeDocument/2006/relationships/hyperlink" Target="https://medibillmd.com/blog/ga-modifier/" TargetMode="External"/><Relationship Id="rId174" Type="http://schemas.openxmlformats.org/officeDocument/2006/relationships/hyperlink" Target="https://medibillmd.com/blog/cpt-code-19303/" TargetMode="External"/><Relationship Id="rId295" Type="http://schemas.openxmlformats.org/officeDocument/2006/relationships/hyperlink" Target="https://medibillmd.com/blog/modifier-80/" TargetMode="External"/><Relationship Id="rId173" Type="http://schemas.openxmlformats.org/officeDocument/2006/relationships/hyperlink" Target="https://medibillmd.com/blog/cpt-code-59812/" TargetMode="External"/><Relationship Id="rId294" Type="http://schemas.openxmlformats.org/officeDocument/2006/relationships/hyperlink" Target="https://medibillmd.com/blog/doctors-looking-for-medical-billers/" TargetMode="External"/><Relationship Id="rId179" Type="http://schemas.openxmlformats.org/officeDocument/2006/relationships/hyperlink" Target="https://medibillmd.com/blog/medical-billing-companies-in-birmingham/" TargetMode="External"/><Relationship Id="rId178" Type="http://schemas.openxmlformats.org/officeDocument/2006/relationships/hyperlink" Target="https://medibillmd.com/blog/medical-billing-companies-in-sacramento/" TargetMode="External"/><Relationship Id="rId299" Type="http://schemas.openxmlformats.org/officeDocument/2006/relationships/hyperlink" Target="https://medibillmd.com/blog/pt-modifier/" TargetMode="External"/><Relationship Id="rId177" Type="http://schemas.openxmlformats.org/officeDocument/2006/relationships/hyperlink" Target="https://medibillmd.com/blog/cpt-code-77301/" TargetMode="External"/><Relationship Id="rId298" Type="http://schemas.openxmlformats.org/officeDocument/2006/relationships/hyperlink" Target="https://medibillmd.com/blog/medical-billing-companies-in-michigan/" TargetMode="External"/><Relationship Id="rId198" Type="http://schemas.openxmlformats.org/officeDocument/2006/relationships/hyperlink" Target="https://medibillmd.com/blog/cpt-code-58150/" TargetMode="External"/><Relationship Id="rId197" Type="http://schemas.openxmlformats.org/officeDocument/2006/relationships/hyperlink" Target="https://medibillmd.com/blog/cpt-code-58570/" TargetMode="External"/><Relationship Id="rId196" Type="http://schemas.openxmlformats.org/officeDocument/2006/relationships/hyperlink" Target="https://medibillmd.com/blog/cpt-code-96415/" TargetMode="External"/><Relationship Id="rId195" Type="http://schemas.openxmlformats.org/officeDocument/2006/relationships/hyperlink" Target="https://medibillmd.com/blog/cpt-code-96365/" TargetMode="External"/><Relationship Id="rId199" Type="http://schemas.openxmlformats.org/officeDocument/2006/relationships/hyperlink" Target="https://medibillmd.com/blog/cpt-code-61510/" TargetMode="External"/><Relationship Id="rId150" Type="http://schemas.openxmlformats.org/officeDocument/2006/relationships/hyperlink" Target="https://medibillmd.com/blog/cpt-code-97605/" TargetMode="External"/><Relationship Id="rId271" Type="http://schemas.openxmlformats.org/officeDocument/2006/relationships/hyperlink" Target="https://medibillmd.com/blog/modifier-gy/" TargetMode="External"/><Relationship Id="rId392" Type="http://schemas.openxmlformats.org/officeDocument/2006/relationships/hyperlink" Target="https://medibillmd.com/blog/speech-therapy-cpt-codes/" TargetMode="External"/><Relationship Id="rId270" Type="http://schemas.openxmlformats.org/officeDocument/2006/relationships/hyperlink" Target="https://medibillmd.com/blog/modifier-50/" TargetMode="External"/><Relationship Id="rId391" Type="http://schemas.openxmlformats.org/officeDocument/2006/relationships/hyperlink" Target="https://medibillmd.com/blog/ccm-cpt-codes/" TargetMode="External"/><Relationship Id="rId390" Type="http://schemas.openxmlformats.org/officeDocument/2006/relationships/hyperlink" Target="https://medibillmd.com/blog/co-226-denial-code/" TargetMode="External"/><Relationship Id="rId1" Type="http://schemas.openxmlformats.org/officeDocument/2006/relationships/hyperlink" Target="https://medibillmd.com/blog/medical-credentialing-companies/" TargetMode="External"/><Relationship Id="rId2" Type="http://schemas.openxmlformats.org/officeDocument/2006/relationships/hyperlink" Target="https://medibillmd.com/blog/oncology-cpt-codes/" TargetMode="External"/><Relationship Id="rId3" Type="http://schemas.openxmlformats.org/officeDocument/2006/relationships/hyperlink" Target="https://medibillmd.com/blog/pediatric-cpt-codes/" TargetMode="External"/><Relationship Id="rId149" Type="http://schemas.openxmlformats.org/officeDocument/2006/relationships/hyperlink" Target="https://medibillmd.com/blog/cpt-code-69210/" TargetMode="External"/><Relationship Id="rId4" Type="http://schemas.openxmlformats.org/officeDocument/2006/relationships/hyperlink" Target="https://medibillmd.com/blog/obgyn-cpt-codes/" TargetMode="External"/><Relationship Id="rId148" Type="http://schemas.openxmlformats.org/officeDocument/2006/relationships/hyperlink" Target="https://medibillmd.com/blog/cpt-code-80053/" TargetMode="External"/><Relationship Id="rId269" Type="http://schemas.openxmlformats.org/officeDocument/2006/relationships/hyperlink" Target="https://medibillmd.com/blog/cpt-code-20610/" TargetMode="External"/><Relationship Id="rId9" Type="http://schemas.openxmlformats.org/officeDocument/2006/relationships/hyperlink" Target="https://medibillmd.com/blog/modifier-q0/" TargetMode="External"/><Relationship Id="rId143" Type="http://schemas.openxmlformats.org/officeDocument/2006/relationships/hyperlink" Target="https://medibillmd.com/blog/cpt-code-80061/" TargetMode="External"/><Relationship Id="rId264" Type="http://schemas.openxmlformats.org/officeDocument/2006/relationships/hyperlink" Target="https://medibillmd.com/blog/cpt-code-52601/" TargetMode="External"/><Relationship Id="rId385" Type="http://schemas.openxmlformats.org/officeDocument/2006/relationships/hyperlink" Target="https://medibillmd.com/blog/what-is-a-medical-crossover-claim/" TargetMode="External"/><Relationship Id="rId142" Type="http://schemas.openxmlformats.org/officeDocument/2006/relationships/hyperlink" Target="https://medibillmd.com/blog/cpt-code-31575/" TargetMode="External"/><Relationship Id="rId263" Type="http://schemas.openxmlformats.org/officeDocument/2006/relationships/hyperlink" Target="https://medibillmd.com/blog/cpt-code-92204/" TargetMode="External"/><Relationship Id="rId384" Type="http://schemas.openxmlformats.org/officeDocument/2006/relationships/hyperlink" Target="https://medibillmd.com/blog/ent-cpt-codes/" TargetMode="External"/><Relationship Id="rId141" Type="http://schemas.openxmlformats.org/officeDocument/2006/relationships/hyperlink" Target="https://medibillmd.com/blog/cpt-code-27447/" TargetMode="External"/><Relationship Id="rId262" Type="http://schemas.openxmlformats.org/officeDocument/2006/relationships/hyperlink" Target="https://medibillmd.com/blog/cpt-code-58970/" TargetMode="External"/><Relationship Id="rId383" Type="http://schemas.openxmlformats.org/officeDocument/2006/relationships/hyperlink" Target="https://medibillmd.com/blog/cpt-code-99490/" TargetMode="External"/><Relationship Id="rId140" Type="http://schemas.openxmlformats.org/officeDocument/2006/relationships/hyperlink" Target="https://medibillmd.com/blog/cpt-code-92557/" TargetMode="External"/><Relationship Id="rId261" Type="http://schemas.openxmlformats.org/officeDocument/2006/relationships/hyperlink" Target="https://medibillmd.com/blog/medical-billing-companies-in-ohio/" TargetMode="External"/><Relationship Id="rId382" Type="http://schemas.openxmlformats.org/officeDocument/2006/relationships/hyperlink" Target="https://medibillmd.com/blog/pr-227-denial-code/" TargetMode="External"/><Relationship Id="rId5" Type="http://schemas.openxmlformats.org/officeDocument/2006/relationships/hyperlink" Target="https://medibillmd.com/blog/anesthesia-cpt-codes/" TargetMode="External"/><Relationship Id="rId147" Type="http://schemas.openxmlformats.org/officeDocument/2006/relationships/hyperlink" Target="https://medibillmd.com/blog/cpt-code-29881/" TargetMode="External"/><Relationship Id="rId268" Type="http://schemas.openxmlformats.org/officeDocument/2006/relationships/hyperlink" Target="https://medibillmd.com/blog/cpt-code-99203/" TargetMode="External"/><Relationship Id="rId389" Type="http://schemas.openxmlformats.org/officeDocument/2006/relationships/hyperlink" Target="https://medibillmd.com/blog/dermatology-cpt-codes/" TargetMode="External"/><Relationship Id="rId6" Type="http://schemas.openxmlformats.org/officeDocument/2006/relationships/hyperlink" Target="https://medibillmd.com/blog/wound-care-cpt-codes/" TargetMode="External"/><Relationship Id="rId146" Type="http://schemas.openxmlformats.org/officeDocument/2006/relationships/hyperlink" Target="https://medibillmd.com/blog/denial-code-31/" TargetMode="External"/><Relationship Id="rId267" Type="http://schemas.openxmlformats.org/officeDocument/2006/relationships/hyperlink" Target="https://medibillmd.com/blog/cpt-code-76700/" TargetMode="External"/><Relationship Id="rId388" Type="http://schemas.openxmlformats.org/officeDocument/2006/relationships/hyperlink" Target="https://medibillmd.com/blog/pr-204-denial-code/" TargetMode="External"/><Relationship Id="rId7" Type="http://schemas.openxmlformats.org/officeDocument/2006/relationships/hyperlink" Target="https://medibillmd.com/blog/pathology-cpt-codes/" TargetMode="External"/><Relationship Id="rId145" Type="http://schemas.openxmlformats.org/officeDocument/2006/relationships/hyperlink" Target="https://medibillmd.com/blog/cpt-code-31231/" TargetMode="External"/><Relationship Id="rId266" Type="http://schemas.openxmlformats.org/officeDocument/2006/relationships/hyperlink" Target="https://medibillmd.com/blog/cpt-code-94010/" TargetMode="External"/><Relationship Id="rId387" Type="http://schemas.openxmlformats.org/officeDocument/2006/relationships/hyperlink" Target="https://medibillmd.com/blog/denial-code-23/" TargetMode="External"/><Relationship Id="rId8" Type="http://schemas.openxmlformats.org/officeDocument/2006/relationships/hyperlink" Target="https://medibillmd.com/blog/medical-billing-companies-in-anchorage/" TargetMode="External"/><Relationship Id="rId144" Type="http://schemas.openxmlformats.org/officeDocument/2006/relationships/hyperlink" Target="https://medibillmd.com/blog/cpt-code-84443/" TargetMode="External"/><Relationship Id="rId265" Type="http://schemas.openxmlformats.org/officeDocument/2006/relationships/hyperlink" Target="https://medibillmd.com/blog/modifiers-rt-and-lt/" TargetMode="External"/><Relationship Id="rId386" Type="http://schemas.openxmlformats.org/officeDocument/2006/relationships/hyperlink" Target="https://medibillmd.com/blog/b9-denial-code/" TargetMode="External"/><Relationship Id="rId260" Type="http://schemas.openxmlformats.org/officeDocument/2006/relationships/hyperlink" Target="https://medibillmd.com/blog/cpt-code-15847/" TargetMode="External"/><Relationship Id="rId381" Type="http://schemas.openxmlformats.org/officeDocument/2006/relationships/hyperlink" Target="https://medibillmd.com/blog/denial-code-277/" TargetMode="External"/><Relationship Id="rId380" Type="http://schemas.openxmlformats.org/officeDocument/2006/relationships/hyperlink" Target="https://medibillmd.com/blog/co-256-denial-code/" TargetMode="External"/><Relationship Id="rId139" Type="http://schemas.openxmlformats.org/officeDocument/2006/relationships/hyperlink" Target="https://medibillmd.com/blog/medical-billing-companies-in-san-jose/" TargetMode="External"/><Relationship Id="rId138" Type="http://schemas.openxmlformats.org/officeDocument/2006/relationships/hyperlink" Target="https://medibillmd.com/blog/asc-coding/" TargetMode="External"/><Relationship Id="rId259" Type="http://schemas.openxmlformats.org/officeDocument/2006/relationships/hyperlink" Target="https://medibillmd.com/blog/cpt-code-15823/" TargetMode="External"/><Relationship Id="rId137" Type="http://schemas.openxmlformats.org/officeDocument/2006/relationships/hyperlink" Target="https://medibillmd.com/blog/modifier-90/" TargetMode="External"/><Relationship Id="rId258" Type="http://schemas.openxmlformats.org/officeDocument/2006/relationships/hyperlink" Target="https://medibillmd.com/blog/gastroenterology-cpt-codes/" TargetMode="External"/><Relationship Id="rId379" Type="http://schemas.openxmlformats.org/officeDocument/2006/relationships/hyperlink" Target="https://medibillmd.com/blog/co-50-denial-code/" TargetMode="External"/><Relationship Id="rId132" Type="http://schemas.openxmlformats.org/officeDocument/2006/relationships/hyperlink" Target="https://medibillmd.com/blog/cpt-code-20605/" TargetMode="External"/><Relationship Id="rId253" Type="http://schemas.openxmlformats.org/officeDocument/2006/relationships/hyperlink" Target="https://medibillmd.com/blog/modifier-sl/" TargetMode="External"/><Relationship Id="rId374" Type="http://schemas.openxmlformats.org/officeDocument/2006/relationships/hyperlink" Target="https://medibillmd.com/blog/cpt-code-97750/" TargetMode="External"/><Relationship Id="rId131" Type="http://schemas.openxmlformats.org/officeDocument/2006/relationships/hyperlink" Target="https://medibillmd.com/blog/cpt-code-29888/" TargetMode="External"/><Relationship Id="rId252" Type="http://schemas.openxmlformats.org/officeDocument/2006/relationships/hyperlink" Target="https://medibillmd.com/blog/modifier-91/" TargetMode="External"/><Relationship Id="rId373" Type="http://schemas.openxmlformats.org/officeDocument/2006/relationships/hyperlink" Target="https://medibillmd.com/blog/cpt-code-97112/" TargetMode="External"/><Relationship Id="rId130" Type="http://schemas.openxmlformats.org/officeDocument/2006/relationships/hyperlink" Target="https://medibillmd.com/blog/modifier-qw/" TargetMode="External"/><Relationship Id="rId251" Type="http://schemas.openxmlformats.org/officeDocument/2006/relationships/hyperlink" Target="https://medibillmd.com/blog/modifier-53/" TargetMode="External"/><Relationship Id="rId372" Type="http://schemas.openxmlformats.org/officeDocument/2006/relationships/hyperlink" Target="https://medibillmd.com/blog/co-252-denial-code/" TargetMode="External"/><Relationship Id="rId250" Type="http://schemas.openxmlformats.org/officeDocument/2006/relationships/hyperlink" Target="https://medibillmd.com/blog/cpt-code-47562/" TargetMode="External"/><Relationship Id="rId371" Type="http://schemas.openxmlformats.org/officeDocument/2006/relationships/hyperlink" Target="https://medibillmd.com/blog/medical-billing-changed-over-the-years/" TargetMode="External"/><Relationship Id="rId136" Type="http://schemas.openxmlformats.org/officeDocument/2006/relationships/hyperlink" Target="https://medibillmd.com/blog/cpt-code-20680/" TargetMode="External"/><Relationship Id="rId257" Type="http://schemas.openxmlformats.org/officeDocument/2006/relationships/hyperlink" Target="https://medibillmd.com/blog/modifier-xe/" TargetMode="External"/><Relationship Id="rId378" Type="http://schemas.openxmlformats.org/officeDocument/2006/relationships/hyperlink" Target="https://medibillmd.com/blog/cpt-code-99211/" TargetMode="External"/><Relationship Id="rId135" Type="http://schemas.openxmlformats.org/officeDocument/2006/relationships/hyperlink" Target="https://medibillmd.com/blog/cpt-code-92567/" TargetMode="External"/><Relationship Id="rId256" Type="http://schemas.openxmlformats.org/officeDocument/2006/relationships/hyperlink" Target="https://medibillmd.com/blog/cpt-codes-for-urology-procedures/" TargetMode="External"/><Relationship Id="rId377" Type="http://schemas.openxmlformats.org/officeDocument/2006/relationships/hyperlink" Target="https://medibillmd.com/blog/cpt-code-75716/" TargetMode="External"/><Relationship Id="rId134" Type="http://schemas.openxmlformats.org/officeDocument/2006/relationships/hyperlink" Target="https://medibillmd.com/blog/cpt-code-83036/" TargetMode="External"/><Relationship Id="rId255" Type="http://schemas.openxmlformats.org/officeDocument/2006/relationships/hyperlink" Target="https://medibillmd.com/blog/cpt-code-00142/" TargetMode="External"/><Relationship Id="rId376" Type="http://schemas.openxmlformats.org/officeDocument/2006/relationships/hyperlink" Target="https://medibillmd.com/blog/cpt-codes-for-urgent-care/" TargetMode="External"/><Relationship Id="rId133" Type="http://schemas.openxmlformats.org/officeDocument/2006/relationships/hyperlink" Target="https://medibillmd.com/blog/cpt-code-20550/" TargetMode="External"/><Relationship Id="rId254" Type="http://schemas.openxmlformats.org/officeDocument/2006/relationships/hyperlink" Target="https://medibillmd.com/blog/cpt-code-49083/" TargetMode="External"/><Relationship Id="rId375" Type="http://schemas.openxmlformats.org/officeDocument/2006/relationships/hyperlink" Target="https://medibillmd.com/blog/co-15-denial-code/" TargetMode="External"/><Relationship Id="rId172" Type="http://schemas.openxmlformats.org/officeDocument/2006/relationships/hyperlink" Target="https://medibillmd.com/blog/cpt-code-19301/" TargetMode="External"/><Relationship Id="rId293" Type="http://schemas.openxmlformats.org/officeDocument/2006/relationships/hyperlink" Target="https://medibillmd.com/blog/modifier-qz/" TargetMode="External"/><Relationship Id="rId171" Type="http://schemas.openxmlformats.org/officeDocument/2006/relationships/hyperlink" Target="https://medibillmd.com/blog/cpt-code-45378/" TargetMode="External"/><Relationship Id="rId292" Type="http://schemas.openxmlformats.org/officeDocument/2006/relationships/hyperlink" Target="https://medibillmd.com/blog/xs-modifier/" TargetMode="External"/><Relationship Id="rId170" Type="http://schemas.openxmlformats.org/officeDocument/2006/relationships/hyperlink" Target="https://medibillmd.com/blog/cpt-code-77280/" TargetMode="External"/><Relationship Id="rId291" Type="http://schemas.openxmlformats.org/officeDocument/2006/relationships/hyperlink" Target="https://medibillmd.com/blog/what-is-a-superbill/" TargetMode="External"/><Relationship Id="rId290" Type="http://schemas.openxmlformats.org/officeDocument/2006/relationships/hyperlink" Target="https://medibillmd.com/blog/modifier-tc/" TargetMode="External"/><Relationship Id="rId165" Type="http://schemas.openxmlformats.org/officeDocument/2006/relationships/hyperlink" Target="https://medibillmd.com/blog/cpt-code-43249/" TargetMode="External"/><Relationship Id="rId286" Type="http://schemas.openxmlformats.org/officeDocument/2006/relationships/hyperlink" Target="https://medibillmd.com/blog/cpt-code-91065/" TargetMode="External"/><Relationship Id="rId164" Type="http://schemas.openxmlformats.org/officeDocument/2006/relationships/hyperlink" Target="https://medibillmd.com/blog/cpt-code-43239/" TargetMode="External"/><Relationship Id="rId285" Type="http://schemas.openxmlformats.org/officeDocument/2006/relationships/hyperlink" Target="https://medibillmd.com/blog/cpt-code-76830/" TargetMode="External"/><Relationship Id="rId163" Type="http://schemas.openxmlformats.org/officeDocument/2006/relationships/hyperlink" Target="https://medibillmd.com/blog/medical-billing-companies-in-austin/" TargetMode="External"/><Relationship Id="rId284" Type="http://schemas.openxmlformats.org/officeDocument/2006/relationships/hyperlink" Target="https://medibillmd.com/blog/cpt-code-93306/" TargetMode="External"/><Relationship Id="rId162" Type="http://schemas.openxmlformats.org/officeDocument/2006/relationships/hyperlink" Target="https://medibillmd.com/blog/cpt-code-77290/" TargetMode="External"/><Relationship Id="rId283" Type="http://schemas.openxmlformats.org/officeDocument/2006/relationships/hyperlink" Target="https://medibillmd.com/blog/cpt-code-91200/" TargetMode="External"/><Relationship Id="rId169" Type="http://schemas.openxmlformats.org/officeDocument/2006/relationships/hyperlink" Target="https://medibillmd.com/blog/cpt-code-45384/" TargetMode="External"/><Relationship Id="rId168" Type="http://schemas.openxmlformats.org/officeDocument/2006/relationships/hyperlink" Target="https://medibillmd.com/blog/cpt-code-45385/" TargetMode="External"/><Relationship Id="rId289" Type="http://schemas.openxmlformats.org/officeDocument/2006/relationships/hyperlink" Target="https://medibillmd.com/blog/point-of-care-documentation/" TargetMode="External"/><Relationship Id="rId167" Type="http://schemas.openxmlformats.org/officeDocument/2006/relationships/hyperlink" Target="https://medibillmd.com/blog/cpt-code-45380/" TargetMode="External"/><Relationship Id="rId288" Type="http://schemas.openxmlformats.org/officeDocument/2006/relationships/hyperlink" Target="https://medibillmd.com/blog/cpt-code-91035/" TargetMode="External"/><Relationship Id="rId166" Type="http://schemas.openxmlformats.org/officeDocument/2006/relationships/hyperlink" Target="https://medibillmd.com/blog/cpt-code-43248/" TargetMode="External"/><Relationship Id="rId287" Type="http://schemas.openxmlformats.org/officeDocument/2006/relationships/hyperlink" Target="https://medibillmd.com/blog/cpt-code-96372/" TargetMode="External"/><Relationship Id="rId161" Type="http://schemas.openxmlformats.org/officeDocument/2006/relationships/hyperlink" Target="https://medibillmd.com/blog/medical-billing-companies-in-orlando/" TargetMode="External"/><Relationship Id="rId282" Type="http://schemas.openxmlformats.org/officeDocument/2006/relationships/hyperlink" Target="https://medibillmd.com/blog/cpt-code-91010/" TargetMode="External"/><Relationship Id="rId160" Type="http://schemas.openxmlformats.org/officeDocument/2006/relationships/hyperlink" Target="https://medibillmd.com/blog/pr-272-denial-code/" TargetMode="External"/><Relationship Id="rId281" Type="http://schemas.openxmlformats.org/officeDocument/2006/relationships/hyperlink" Target="https://medibillmd.com/blog/cpt-code-77300/" TargetMode="External"/><Relationship Id="rId280" Type="http://schemas.openxmlformats.org/officeDocument/2006/relationships/hyperlink" Target="https://medibillmd.com/blog/cpt-code-77295/" TargetMode="External"/><Relationship Id="rId159" Type="http://schemas.openxmlformats.org/officeDocument/2006/relationships/hyperlink" Target="https://medibillmd.com/blog/cpt-code-19125/" TargetMode="External"/><Relationship Id="rId154" Type="http://schemas.openxmlformats.org/officeDocument/2006/relationships/hyperlink" Target="https://medibillmd.com/blog/co-286-denial-code/" TargetMode="External"/><Relationship Id="rId275" Type="http://schemas.openxmlformats.org/officeDocument/2006/relationships/hyperlink" Target="https://medibillmd.com/blog/recoupment-payment/" TargetMode="External"/><Relationship Id="rId396" Type="http://schemas.openxmlformats.org/officeDocument/2006/relationships/hyperlink" Target="https://medibillmd.com/blog/getting-credentialed-with-insurance-companies/" TargetMode="External"/><Relationship Id="rId153" Type="http://schemas.openxmlformats.org/officeDocument/2006/relationships/hyperlink" Target="https://medibillmd.com/blog/denial-code-13/" TargetMode="External"/><Relationship Id="rId274" Type="http://schemas.openxmlformats.org/officeDocument/2006/relationships/hyperlink" Target="https://medibillmd.com/blog/cpt-code-97760/" TargetMode="External"/><Relationship Id="rId395" Type="http://schemas.openxmlformats.org/officeDocument/2006/relationships/hyperlink" Target="https://medibillmd.com/blog/co-4-denial-code/" TargetMode="External"/><Relationship Id="rId152" Type="http://schemas.openxmlformats.org/officeDocument/2006/relationships/hyperlink" Target="https://medibillmd.com/blog/cpt-code-11042/" TargetMode="External"/><Relationship Id="rId273" Type="http://schemas.openxmlformats.org/officeDocument/2006/relationships/hyperlink" Target="https://medibillmd.com/blog/modifier-xu/" TargetMode="External"/><Relationship Id="rId394" Type="http://schemas.openxmlformats.org/officeDocument/2006/relationships/hyperlink" Target="https://medibillmd.com/blog/co-11-denial-code/" TargetMode="External"/><Relationship Id="rId151" Type="http://schemas.openxmlformats.org/officeDocument/2006/relationships/hyperlink" Target="https://medibillmd.com/blog/cpt-code-11044/" TargetMode="External"/><Relationship Id="rId272" Type="http://schemas.openxmlformats.org/officeDocument/2006/relationships/hyperlink" Target="https://medibillmd.com/blog/icd-10-codes-for-skin-tags/" TargetMode="External"/><Relationship Id="rId393" Type="http://schemas.openxmlformats.org/officeDocument/2006/relationships/hyperlink" Target="https://medibillmd.com/blog/co-97-denial-code/" TargetMode="External"/><Relationship Id="rId158" Type="http://schemas.openxmlformats.org/officeDocument/2006/relationships/hyperlink" Target="https://medibillmd.com/blog/cpt-code-95886/" TargetMode="External"/><Relationship Id="rId279" Type="http://schemas.openxmlformats.org/officeDocument/2006/relationships/hyperlink" Target="https://medibillmd.com/blog/cpt-code-00812/" TargetMode="External"/><Relationship Id="rId157" Type="http://schemas.openxmlformats.org/officeDocument/2006/relationships/hyperlink" Target="https://medibillmd.com/blog/cpt-code-95806/" TargetMode="External"/><Relationship Id="rId278" Type="http://schemas.openxmlformats.org/officeDocument/2006/relationships/hyperlink" Target="https://medibillmd.com/blog/coordination-of-benefits/" TargetMode="External"/><Relationship Id="rId399" Type="http://schemas.openxmlformats.org/officeDocument/2006/relationships/hyperlink" Target="https://medibillmd.com/blog/tips-for-maintaining-productivity-with-new-medical-coders/" TargetMode="External"/><Relationship Id="rId156" Type="http://schemas.openxmlformats.org/officeDocument/2006/relationships/hyperlink" Target="https://medibillmd.com/blog/cpt-code-95816/" TargetMode="External"/><Relationship Id="rId277" Type="http://schemas.openxmlformats.org/officeDocument/2006/relationships/hyperlink" Target="https://medibillmd.com/blog/j-codes-in-medical-billing/" TargetMode="External"/><Relationship Id="rId398" Type="http://schemas.openxmlformats.org/officeDocument/2006/relationships/hyperlink" Target="https://medibillmd.com/blog/clearinghouse-rejection-codes/" TargetMode="External"/><Relationship Id="rId155" Type="http://schemas.openxmlformats.org/officeDocument/2006/relationships/hyperlink" Target="https://medibillmd.com/blog/cpt-code-62270/" TargetMode="External"/><Relationship Id="rId276" Type="http://schemas.openxmlformats.org/officeDocument/2006/relationships/hyperlink" Target="https://medibillmd.com/blog/cpt-code-77427/" TargetMode="External"/><Relationship Id="rId397" Type="http://schemas.openxmlformats.org/officeDocument/2006/relationships/hyperlink" Target="https://medibillmd.com/blog/dme-hcpcs-codes/" TargetMode="External"/><Relationship Id="rId40" Type="http://schemas.openxmlformats.org/officeDocument/2006/relationships/hyperlink" Target="https://medibillmd.com/blog/best-medical-billing-companies-in-knoxville-tn/" TargetMode="External"/><Relationship Id="rId42" Type="http://schemas.openxmlformats.org/officeDocument/2006/relationships/hyperlink" Target="https://medibillmd.com/blog/cpt-code-97813/" TargetMode="External"/><Relationship Id="rId41" Type="http://schemas.openxmlformats.org/officeDocument/2006/relationships/hyperlink" Target="https://medibillmd.com/blog/cpt-code-99308/" TargetMode="External"/><Relationship Id="rId44" Type="http://schemas.openxmlformats.org/officeDocument/2006/relationships/hyperlink" Target="https://medibillmd.com/blog/cpt-code-99381/" TargetMode="External"/><Relationship Id="rId43" Type="http://schemas.openxmlformats.org/officeDocument/2006/relationships/hyperlink" Target="https://medibillmd.com/blog/cpt-code-97811/" TargetMode="External"/><Relationship Id="rId46" Type="http://schemas.openxmlformats.org/officeDocument/2006/relationships/hyperlink" Target="https://medibillmd.com/blog/medical-billing-companies-in-aurora/" TargetMode="External"/><Relationship Id="rId45" Type="http://schemas.openxmlformats.org/officeDocument/2006/relationships/hyperlink" Target="https://medibillmd.com/blog/cpt-code-90792/" TargetMode="External"/><Relationship Id="rId48" Type="http://schemas.openxmlformats.org/officeDocument/2006/relationships/hyperlink" Target="https://medibillmd.com/blog/medical-billing-companies-in-cleveland/" TargetMode="External"/><Relationship Id="rId47" Type="http://schemas.openxmlformats.org/officeDocument/2006/relationships/hyperlink" Target="https://medibillmd.com/blog/cpt-code-99305/" TargetMode="External"/><Relationship Id="rId49" Type="http://schemas.openxmlformats.org/officeDocument/2006/relationships/hyperlink" Target="https://medibillmd.com/blog/medical-billing-companies-in-louisville/" TargetMode="External"/><Relationship Id="rId31" Type="http://schemas.openxmlformats.org/officeDocument/2006/relationships/hyperlink" Target="https://medibillmd.com/blog/medical-billing-companies/" TargetMode="External"/><Relationship Id="rId30" Type="http://schemas.openxmlformats.org/officeDocument/2006/relationships/hyperlink" Target="https://medibillmd.com/blog/cpt-code-95819/" TargetMode="External"/><Relationship Id="rId33" Type="http://schemas.openxmlformats.org/officeDocument/2006/relationships/hyperlink" Target="https://medibillmd.com/blog/cigna-credentialing/" TargetMode="External"/><Relationship Id="rId32" Type="http://schemas.openxmlformats.org/officeDocument/2006/relationships/hyperlink" Target="https://medibillmd.com/blog/healthcare-revenue-cycle-management-companies/" TargetMode="External"/><Relationship Id="rId35" Type="http://schemas.openxmlformats.org/officeDocument/2006/relationships/hyperlink" Target="https://medibillmd.com/blog/medical-billing-companies-in-albuquerque/" TargetMode="External"/><Relationship Id="rId34" Type="http://schemas.openxmlformats.org/officeDocument/2006/relationships/hyperlink" Target="https://medibillmd.com/blog/cpt-code-51798/" TargetMode="External"/><Relationship Id="rId37" Type="http://schemas.openxmlformats.org/officeDocument/2006/relationships/hyperlink" Target="https://medibillmd.com/blog/cpt-code-77080/" TargetMode="External"/><Relationship Id="rId36" Type="http://schemas.openxmlformats.org/officeDocument/2006/relationships/hyperlink" Target="https://medibillmd.com/blog/cpt-code-93016/" TargetMode="External"/><Relationship Id="rId39" Type="http://schemas.openxmlformats.org/officeDocument/2006/relationships/hyperlink" Target="https://medibillmd.com/blog/bcbs-credentialing/" TargetMode="External"/><Relationship Id="rId38" Type="http://schemas.openxmlformats.org/officeDocument/2006/relationships/hyperlink" Target="https://medibillmd.com/blog/cpt-code-90832/" TargetMode="External"/><Relationship Id="rId20" Type="http://schemas.openxmlformats.org/officeDocument/2006/relationships/hyperlink" Target="https://medibillmd.com/blog/cpt-code-33208/" TargetMode="External"/><Relationship Id="rId22" Type="http://schemas.openxmlformats.org/officeDocument/2006/relationships/hyperlink" Target="https://medibillmd.com/blog/medical-billing-companies-in-omaha/" TargetMode="External"/><Relationship Id="rId21" Type="http://schemas.openxmlformats.org/officeDocument/2006/relationships/hyperlink" Target="https://medibillmd.com/blog/medical-billing-companies-in-raleigh/" TargetMode="External"/><Relationship Id="rId24" Type="http://schemas.openxmlformats.org/officeDocument/2006/relationships/hyperlink" Target="https://medibillmd.com/blog/medical-billing-companies-in-virginia-beach/" TargetMode="External"/><Relationship Id="rId23" Type="http://schemas.openxmlformats.org/officeDocument/2006/relationships/hyperlink" Target="https://medibillmd.com/blog/cpt-code-93307/" TargetMode="External"/><Relationship Id="rId409" Type="http://schemas.openxmlformats.org/officeDocument/2006/relationships/hyperlink" Target="https://medibillmd.com/blog/pros-and-cons-of-medical-billing-and-coding/" TargetMode="External"/><Relationship Id="rId404" Type="http://schemas.openxmlformats.org/officeDocument/2006/relationships/hyperlink" Target="https://medibillmd.com/blog/claims-adjudication/" TargetMode="External"/><Relationship Id="rId403" Type="http://schemas.openxmlformats.org/officeDocument/2006/relationships/hyperlink" Target="https://medibillmd.com/blog/place-of-service-in-medical-billing/" TargetMode="External"/><Relationship Id="rId402" Type="http://schemas.openxmlformats.org/officeDocument/2006/relationships/hyperlink" Target="https://medibillmd.com/blog/hospice-hcpcs-codes/" TargetMode="External"/><Relationship Id="rId401" Type="http://schemas.openxmlformats.org/officeDocument/2006/relationships/hyperlink" Target="https://medibillmd.com/blog/transitional-care-management-cpt-codes/" TargetMode="External"/><Relationship Id="rId408" Type="http://schemas.openxmlformats.org/officeDocument/2006/relationships/hyperlink" Target="https://medibillmd.com/blog/co-109-denial-code/" TargetMode="External"/><Relationship Id="rId407" Type="http://schemas.openxmlformats.org/officeDocument/2006/relationships/hyperlink" Target="https://medibillmd.com/blog/co-22-denial-code/" TargetMode="External"/><Relationship Id="rId406" Type="http://schemas.openxmlformats.org/officeDocument/2006/relationships/hyperlink" Target="https://medibillmd.com/blog/co-167-denial-code/" TargetMode="External"/><Relationship Id="rId405" Type="http://schemas.openxmlformats.org/officeDocument/2006/relationships/hyperlink" Target="https://medibillmd.com/blog/cpt-code-99214/" TargetMode="External"/><Relationship Id="rId26" Type="http://schemas.openxmlformats.org/officeDocument/2006/relationships/hyperlink" Target="https://medibillmd.com/blog/cpt-code-92928/" TargetMode="External"/><Relationship Id="rId25" Type="http://schemas.openxmlformats.org/officeDocument/2006/relationships/hyperlink" Target="https://medibillmd.com/blog/cpt-code-92960/" TargetMode="External"/><Relationship Id="rId28" Type="http://schemas.openxmlformats.org/officeDocument/2006/relationships/hyperlink" Target="https://medibillmd.com/blog/cpt-code-33249/" TargetMode="External"/><Relationship Id="rId27" Type="http://schemas.openxmlformats.org/officeDocument/2006/relationships/hyperlink" Target="https://medibillmd.com/blog/cpt-code-52332/" TargetMode="External"/><Relationship Id="rId400" Type="http://schemas.openxmlformats.org/officeDocument/2006/relationships/hyperlink" Target="https://medibillmd.com/blog/hospital-vendor-credentialing/" TargetMode="External"/><Relationship Id="rId29" Type="http://schemas.openxmlformats.org/officeDocument/2006/relationships/hyperlink" Target="https://medibillmd.com/blog/aetna-credentialing/" TargetMode="External"/><Relationship Id="rId11" Type="http://schemas.openxmlformats.org/officeDocument/2006/relationships/hyperlink" Target="https://medibillmd.com/blog/united-healthcare-credentialing/" TargetMode="External"/><Relationship Id="rId10" Type="http://schemas.openxmlformats.org/officeDocument/2006/relationships/hyperlink" Target="https://medibillmd.com/blog/cpt-code-80307/" TargetMode="External"/><Relationship Id="rId13" Type="http://schemas.openxmlformats.org/officeDocument/2006/relationships/hyperlink" Target="https://medibillmd.com/blog/medical-billing-companies-in-boise/" TargetMode="External"/><Relationship Id="rId12" Type="http://schemas.openxmlformats.org/officeDocument/2006/relationships/hyperlink" Target="https://medibillmd.com/blog/medicaid-credentialing/" TargetMode="External"/><Relationship Id="rId15" Type="http://schemas.openxmlformats.org/officeDocument/2006/relationships/hyperlink" Target="https://medibillmd.com/blog/humana-credentialing/" TargetMode="External"/><Relationship Id="rId14" Type="http://schemas.openxmlformats.org/officeDocument/2006/relationships/hyperlink" Target="https://medibillmd.com/blog/cpt-code-52310/" TargetMode="External"/><Relationship Id="rId17" Type="http://schemas.openxmlformats.org/officeDocument/2006/relationships/hyperlink" Target="https://medibillmd.com/blog/cpt-code-93228/" TargetMode="External"/><Relationship Id="rId16" Type="http://schemas.openxmlformats.org/officeDocument/2006/relationships/hyperlink" Target="https://medibillmd.com/blog/medical-billing-companies-in-dover/" TargetMode="External"/><Relationship Id="rId19" Type="http://schemas.openxmlformats.org/officeDocument/2006/relationships/hyperlink" Target="https://medibillmd.com/blog/cpt-code-01400/" TargetMode="External"/><Relationship Id="rId18" Type="http://schemas.openxmlformats.org/officeDocument/2006/relationships/hyperlink" Target="https://medibillmd.com/blog/cpt-code-93308/" TargetMode="External"/><Relationship Id="rId84" Type="http://schemas.openxmlformats.org/officeDocument/2006/relationships/hyperlink" Target="https://medibillmd.com/blog/cpt-code-73721/" TargetMode="External"/><Relationship Id="rId83" Type="http://schemas.openxmlformats.org/officeDocument/2006/relationships/hyperlink" Target="https://medibillmd.com/blog/cpt-code-98940/" TargetMode="External"/><Relationship Id="rId86" Type="http://schemas.openxmlformats.org/officeDocument/2006/relationships/hyperlink" Target="https://medibillmd.com/blog/cpt-code-90837/" TargetMode="External"/><Relationship Id="rId85" Type="http://schemas.openxmlformats.org/officeDocument/2006/relationships/hyperlink" Target="https://medibillmd.com/blog/cpt-code-99439/" TargetMode="External"/><Relationship Id="rId88" Type="http://schemas.openxmlformats.org/officeDocument/2006/relationships/hyperlink" Target="https://medibillmd.com/blog/cpt-code-85025/" TargetMode="External"/><Relationship Id="rId87" Type="http://schemas.openxmlformats.org/officeDocument/2006/relationships/hyperlink" Target="https://medibillmd.com/blog/cpt-code-98941/" TargetMode="External"/><Relationship Id="rId89" Type="http://schemas.openxmlformats.org/officeDocument/2006/relationships/hyperlink" Target="https://medibillmd.com/blog/cpt-code-80048/" TargetMode="External"/><Relationship Id="rId80" Type="http://schemas.openxmlformats.org/officeDocument/2006/relationships/hyperlink" Target="https://medibillmd.com/blog/cpt-code-71250/" TargetMode="External"/><Relationship Id="rId82" Type="http://schemas.openxmlformats.org/officeDocument/2006/relationships/hyperlink" Target="https://medibillmd.com/blog/cpt-code-77067/" TargetMode="External"/><Relationship Id="rId81" Type="http://schemas.openxmlformats.org/officeDocument/2006/relationships/hyperlink" Target="https://medibillmd.com/blog/medical-billing-companies-in-salt-lake-city/" TargetMode="External"/><Relationship Id="rId73" Type="http://schemas.openxmlformats.org/officeDocument/2006/relationships/hyperlink" Target="https://medibillmd.com/blog/medical-billing-companies-in-st-louis/" TargetMode="External"/><Relationship Id="rId72" Type="http://schemas.openxmlformats.org/officeDocument/2006/relationships/hyperlink" Target="https://medibillmd.com/blog/cpt-code-74176/" TargetMode="External"/><Relationship Id="rId75" Type="http://schemas.openxmlformats.org/officeDocument/2006/relationships/hyperlink" Target="https://medibillmd.com/blog/medical-billing-companies-in-camden/" TargetMode="External"/><Relationship Id="rId74" Type="http://schemas.openxmlformats.org/officeDocument/2006/relationships/hyperlink" Target="https://medibillmd.com/blog/cpt-code-76942/" TargetMode="External"/><Relationship Id="rId77" Type="http://schemas.openxmlformats.org/officeDocument/2006/relationships/hyperlink" Target="https://medibillmd.com/blog/cpt-code-76705/" TargetMode="External"/><Relationship Id="rId76" Type="http://schemas.openxmlformats.org/officeDocument/2006/relationships/hyperlink" Target="https://medibillmd.com/blog/cpt-code-52000/" TargetMode="External"/><Relationship Id="rId79" Type="http://schemas.openxmlformats.org/officeDocument/2006/relationships/hyperlink" Target="https://medibillmd.com/blog/cpt-code-90791/" TargetMode="External"/><Relationship Id="rId78" Type="http://schemas.openxmlformats.org/officeDocument/2006/relationships/hyperlink" Target="https://medibillmd.com/blog/cpt-code-98943/" TargetMode="External"/><Relationship Id="rId71" Type="http://schemas.openxmlformats.org/officeDocument/2006/relationships/hyperlink" Target="https://medibillmd.com/blog/medical-billing-companies-in-bend/" TargetMode="External"/><Relationship Id="rId70" Type="http://schemas.openxmlformats.org/officeDocument/2006/relationships/hyperlink" Target="https://medibillmd.com/blog/cpt-code-90834/" TargetMode="External"/><Relationship Id="rId62" Type="http://schemas.openxmlformats.org/officeDocument/2006/relationships/hyperlink" Target="https://medibillmd.com/blog/cpt-code-97810/" TargetMode="External"/><Relationship Id="rId61" Type="http://schemas.openxmlformats.org/officeDocument/2006/relationships/hyperlink" Target="https://medibillmd.com/blog/medical-billing-companies-in-california/" TargetMode="External"/><Relationship Id="rId64" Type="http://schemas.openxmlformats.org/officeDocument/2006/relationships/hyperlink" Target="https://medibillmd.com/blog/medical-billing-companies-in-georgia/" TargetMode="External"/><Relationship Id="rId63" Type="http://schemas.openxmlformats.org/officeDocument/2006/relationships/hyperlink" Target="https://medibillmd.com/blog/cpt-code-77063/" TargetMode="External"/><Relationship Id="rId66" Type="http://schemas.openxmlformats.org/officeDocument/2006/relationships/hyperlink" Target="https://medibillmd.com/blog/dental-billing-companies/" TargetMode="External"/><Relationship Id="rId65" Type="http://schemas.openxmlformats.org/officeDocument/2006/relationships/hyperlink" Target="https://medibillmd.com/blog/medical-billing-companies-in-florida/" TargetMode="External"/><Relationship Id="rId68" Type="http://schemas.openxmlformats.org/officeDocument/2006/relationships/hyperlink" Target="https://medibillmd.com/blog/home-health-cpt-codes/" TargetMode="External"/><Relationship Id="rId67" Type="http://schemas.openxmlformats.org/officeDocument/2006/relationships/hyperlink" Target="https://medibillmd.com/blog/dme-billing-companies/" TargetMode="External"/><Relationship Id="rId60" Type="http://schemas.openxmlformats.org/officeDocument/2006/relationships/hyperlink" Target="https://medibillmd.com/blog/medical-billing-companies-in-new-york/" TargetMode="External"/><Relationship Id="rId69" Type="http://schemas.openxmlformats.org/officeDocument/2006/relationships/hyperlink" Target="https://medibillmd.com/blog/cpt-code-97530/" TargetMode="External"/><Relationship Id="rId51" Type="http://schemas.openxmlformats.org/officeDocument/2006/relationships/hyperlink" Target="https://medibillmd.com/blog/cpt-code-99309/" TargetMode="External"/><Relationship Id="rId50" Type="http://schemas.openxmlformats.org/officeDocument/2006/relationships/hyperlink" Target="https://medibillmd.com/blog/cpt-code-99382/" TargetMode="External"/><Relationship Id="rId53" Type="http://schemas.openxmlformats.org/officeDocument/2006/relationships/hyperlink" Target="https://medibillmd.com/blog/cpt-code-99391/" TargetMode="External"/><Relationship Id="rId52" Type="http://schemas.openxmlformats.org/officeDocument/2006/relationships/hyperlink" Target="https://medibillmd.com/blog/cpt-code-99394/" TargetMode="External"/><Relationship Id="rId55" Type="http://schemas.openxmlformats.org/officeDocument/2006/relationships/hyperlink" Target="https://medibillmd.com/blog/medical-billing-companies-in-pennsylvania/" TargetMode="External"/><Relationship Id="rId54" Type="http://schemas.openxmlformats.org/officeDocument/2006/relationships/hyperlink" Target="https://medibillmd.com/blog/medical-billing-companies-in-new-jersey/" TargetMode="External"/><Relationship Id="rId57" Type="http://schemas.openxmlformats.org/officeDocument/2006/relationships/hyperlink" Target="https://medibillmd.com/blog/medical-billing-companies-in-illinois/" TargetMode="External"/><Relationship Id="rId56" Type="http://schemas.openxmlformats.org/officeDocument/2006/relationships/hyperlink" Target="https://medibillmd.com/blog/medical-billing-companies-in-massachusetts/" TargetMode="External"/><Relationship Id="rId59" Type="http://schemas.openxmlformats.org/officeDocument/2006/relationships/hyperlink" Target="https://medibillmd.com/blog/mental-health-billing-companies/" TargetMode="External"/><Relationship Id="rId58" Type="http://schemas.openxmlformats.org/officeDocument/2006/relationships/hyperlink" Target="https://medibillmd.com/blog/medical-billing-companies-in-los-angeles/" TargetMode="External"/><Relationship Id="rId107" Type="http://schemas.openxmlformats.org/officeDocument/2006/relationships/hyperlink" Target="https://medibillmd.com/blog/denial-code-119/" TargetMode="External"/><Relationship Id="rId228" Type="http://schemas.openxmlformats.org/officeDocument/2006/relationships/hyperlink" Target="https://medibillmd.com/blog/modifier-gz/" TargetMode="External"/><Relationship Id="rId349" Type="http://schemas.openxmlformats.org/officeDocument/2006/relationships/hyperlink" Target="https://medibillmd.com/blog/cpt-code-99458/" TargetMode="External"/><Relationship Id="rId106" Type="http://schemas.openxmlformats.org/officeDocument/2006/relationships/hyperlink" Target="https://medibillmd.com/blog/modifier-q9/" TargetMode="External"/><Relationship Id="rId227" Type="http://schemas.openxmlformats.org/officeDocument/2006/relationships/hyperlink" Target="https://medibillmd.com/blog/medical-billing-companies-in-atlanta/" TargetMode="External"/><Relationship Id="rId348" Type="http://schemas.openxmlformats.org/officeDocument/2006/relationships/hyperlink" Target="https://medibillmd.com/blog/b7-denial-code/" TargetMode="External"/><Relationship Id="rId105" Type="http://schemas.openxmlformats.org/officeDocument/2006/relationships/hyperlink" Target="https://medibillmd.com/blog/medical-billing-companies-in-fresno/" TargetMode="External"/><Relationship Id="rId226" Type="http://schemas.openxmlformats.org/officeDocument/2006/relationships/hyperlink" Target="https://medibillmd.com/blog/cpt-code-70551/" TargetMode="External"/><Relationship Id="rId347" Type="http://schemas.openxmlformats.org/officeDocument/2006/relationships/hyperlink" Target="https://medibillmd.com/blog/co-96-denial-code/" TargetMode="External"/><Relationship Id="rId104" Type="http://schemas.openxmlformats.org/officeDocument/2006/relationships/hyperlink" Target="https://medibillmd.com/blog/cpt-code-92550/" TargetMode="External"/><Relationship Id="rId225" Type="http://schemas.openxmlformats.org/officeDocument/2006/relationships/hyperlink" Target="https://medibillmd.com/blog/cpt-code-11055/" TargetMode="External"/><Relationship Id="rId346" Type="http://schemas.openxmlformats.org/officeDocument/2006/relationships/hyperlink" Target="https://medibillmd.com/blog/modifier-24/" TargetMode="External"/><Relationship Id="rId109" Type="http://schemas.openxmlformats.org/officeDocument/2006/relationships/hyperlink" Target="https://medibillmd.com/blog/medical-billing-companies-in-el-paso/" TargetMode="External"/><Relationship Id="rId108" Type="http://schemas.openxmlformats.org/officeDocument/2006/relationships/hyperlink" Target="https://medibillmd.com/blog/cpt-code-23472/" TargetMode="External"/><Relationship Id="rId229" Type="http://schemas.openxmlformats.org/officeDocument/2006/relationships/hyperlink" Target="https://medibillmd.com/blog/cpt-code-96366/" TargetMode="External"/><Relationship Id="rId220" Type="http://schemas.openxmlformats.org/officeDocument/2006/relationships/hyperlink" Target="https://medibillmd.com/blog/cpt-code-96413/" TargetMode="External"/><Relationship Id="rId341" Type="http://schemas.openxmlformats.org/officeDocument/2006/relationships/hyperlink" Target="https://medibillmd.com/blog/modifiers-in-medical-billing/" TargetMode="External"/><Relationship Id="rId340" Type="http://schemas.openxmlformats.org/officeDocument/2006/relationships/hyperlink" Target="https://medibillmd.com/blog/medical-billing-companies-in-virginia/" TargetMode="External"/><Relationship Id="rId460" Type="http://schemas.openxmlformats.org/officeDocument/2006/relationships/drawing" Target="../drawings/drawing4.xml"/><Relationship Id="rId103" Type="http://schemas.openxmlformats.org/officeDocument/2006/relationships/hyperlink" Target="https://medibillmd.com/blog/cpt-code-81001/" TargetMode="External"/><Relationship Id="rId224" Type="http://schemas.openxmlformats.org/officeDocument/2006/relationships/hyperlink" Target="https://medibillmd.com/blog/medical-billing-companies-in-miami/" TargetMode="External"/><Relationship Id="rId345" Type="http://schemas.openxmlformats.org/officeDocument/2006/relationships/hyperlink" Target="https://medibillmd.com/blog/laboratory-cpt-codes/" TargetMode="External"/><Relationship Id="rId102" Type="http://schemas.openxmlformats.org/officeDocument/2006/relationships/hyperlink" Target="https://medibillmd.com/blog/cpt-code-74177/" TargetMode="External"/><Relationship Id="rId223" Type="http://schemas.openxmlformats.org/officeDocument/2006/relationships/hyperlink" Target="https://medibillmd.com/blog/cpt-code-77263/" TargetMode="External"/><Relationship Id="rId344" Type="http://schemas.openxmlformats.org/officeDocument/2006/relationships/hyperlink" Target="https://medibillmd.com/blog/modifier-26/" TargetMode="External"/><Relationship Id="rId101" Type="http://schemas.openxmlformats.org/officeDocument/2006/relationships/hyperlink" Target="https://medibillmd.com/blog/cpt-code-31579/" TargetMode="External"/><Relationship Id="rId222" Type="http://schemas.openxmlformats.org/officeDocument/2006/relationships/hyperlink" Target="https://medibillmd.com/blog/cpt-code-58301/" TargetMode="External"/><Relationship Id="rId343" Type="http://schemas.openxmlformats.org/officeDocument/2006/relationships/hyperlink" Target="https://medibillmd.com/blog/modifier-79/" TargetMode="External"/><Relationship Id="rId100" Type="http://schemas.openxmlformats.org/officeDocument/2006/relationships/hyperlink" Target="https://medibillmd.com/blog/cpt-code-11045/" TargetMode="External"/><Relationship Id="rId221" Type="http://schemas.openxmlformats.org/officeDocument/2006/relationships/hyperlink" Target="https://medibillmd.com/blog/cpt-code-70552/" TargetMode="External"/><Relationship Id="rId342" Type="http://schemas.openxmlformats.org/officeDocument/2006/relationships/hyperlink" Target="https://medibillmd.com/blog/modifier-76/" TargetMode="External"/><Relationship Id="rId217" Type="http://schemas.openxmlformats.org/officeDocument/2006/relationships/hyperlink" Target="https://medibillmd.com/blog/medical-billing-companies-in-chicago/" TargetMode="External"/><Relationship Id="rId338" Type="http://schemas.openxmlformats.org/officeDocument/2006/relationships/hyperlink" Target="https://medibillmd.com/blog/medical-billing-companies-in-maryland/" TargetMode="External"/><Relationship Id="rId459" Type="http://schemas.openxmlformats.org/officeDocument/2006/relationships/hyperlink" Target="https://medibillmd.com/blog/electronic-health-record/" TargetMode="External"/><Relationship Id="rId216" Type="http://schemas.openxmlformats.org/officeDocument/2006/relationships/hyperlink" Target="https://medibillmd.com/blog/cpt-code-96375/" TargetMode="External"/><Relationship Id="rId337" Type="http://schemas.openxmlformats.org/officeDocument/2006/relationships/hyperlink" Target="https://medibillmd.com/blog/fqhc-billing-guidelines/" TargetMode="External"/><Relationship Id="rId458" Type="http://schemas.openxmlformats.org/officeDocument/2006/relationships/hyperlink" Target="https://medibillmd.com/blog/claim-submission-accuracy/" TargetMode="External"/><Relationship Id="rId215" Type="http://schemas.openxmlformats.org/officeDocument/2006/relationships/hyperlink" Target="https://medibillmd.com/blog/cardiology-cpt-codes/" TargetMode="External"/><Relationship Id="rId336" Type="http://schemas.openxmlformats.org/officeDocument/2006/relationships/hyperlink" Target="https://medibillmd.com/blog/healthcare-rcm-automation/" TargetMode="External"/><Relationship Id="rId457" Type="http://schemas.openxmlformats.org/officeDocument/2006/relationships/hyperlink" Target="https://medibillmd.com/blog/medical-billing-service-for-small-practices/" TargetMode="External"/><Relationship Id="rId214" Type="http://schemas.openxmlformats.org/officeDocument/2006/relationships/hyperlink" Target="https://medibillmd.com/blog/acupuncture-cpt-codes/" TargetMode="External"/><Relationship Id="rId335" Type="http://schemas.openxmlformats.org/officeDocument/2006/relationships/hyperlink" Target="https://medibillmd.com/blog/thoracic-surgery-cpt-codes/" TargetMode="External"/><Relationship Id="rId456" Type="http://schemas.openxmlformats.org/officeDocument/2006/relationships/hyperlink" Target="https://medibillmd.com/blog/rcm-in-medical-billing/" TargetMode="External"/><Relationship Id="rId219" Type="http://schemas.openxmlformats.org/officeDocument/2006/relationships/hyperlink" Target="https://medibillmd.com/blog/medical-billing-companies-in-portland/" TargetMode="External"/><Relationship Id="rId218" Type="http://schemas.openxmlformats.org/officeDocument/2006/relationships/hyperlink" Target="https://medibillmd.com/blog/medical-billing-companies-in-tampa/" TargetMode="External"/><Relationship Id="rId339" Type="http://schemas.openxmlformats.org/officeDocument/2006/relationships/hyperlink" Target="https://medibillmd.com/blog/medical-billing-companies-in-delaware/" TargetMode="External"/><Relationship Id="rId330" Type="http://schemas.openxmlformats.org/officeDocument/2006/relationships/hyperlink" Target="https://medibillmd.com/blog/cpt-code-99213/" TargetMode="External"/><Relationship Id="rId451" Type="http://schemas.openxmlformats.org/officeDocument/2006/relationships/hyperlink" Target="https://medibillmd.com/blog/medical-billing-and-coding-challenges/" TargetMode="External"/><Relationship Id="rId450" Type="http://schemas.openxmlformats.org/officeDocument/2006/relationships/hyperlink" Target="https://medibillmd.com/blog/medical-billing-and-coding-errors/" TargetMode="External"/><Relationship Id="rId213" Type="http://schemas.openxmlformats.org/officeDocument/2006/relationships/hyperlink" Target="https://medibillmd.com/blog/medical-billing-companies-in-phoenix/" TargetMode="External"/><Relationship Id="rId334" Type="http://schemas.openxmlformats.org/officeDocument/2006/relationships/hyperlink" Target="https://medibillmd.com/blog/difference-between-rarc-and-carc/" TargetMode="External"/><Relationship Id="rId455" Type="http://schemas.openxmlformats.org/officeDocument/2006/relationships/hyperlink" Target="https://medibillmd.com/blog/telemedicine-and-telehealth-trends/" TargetMode="External"/><Relationship Id="rId212" Type="http://schemas.openxmlformats.org/officeDocument/2006/relationships/hyperlink" Target="https://medibillmd.com/blog/cpt-code-58300/" TargetMode="External"/><Relationship Id="rId333" Type="http://schemas.openxmlformats.org/officeDocument/2006/relationships/hyperlink" Target="https://medibillmd.com/blog/medical-billing-companies-in-houston/" TargetMode="External"/><Relationship Id="rId454" Type="http://schemas.openxmlformats.org/officeDocument/2006/relationships/hyperlink" Target="https://medibillmd.com/blog/physician-credentialing-checklist/" TargetMode="External"/><Relationship Id="rId211" Type="http://schemas.openxmlformats.org/officeDocument/2006/relationships/hyperlink" Target="https://medibillmd.com/blog/cpt-code-58100/" TargetMode="External"/><Relationship Id="rId332" Type="http://schemas.openxmlformats.org/officeDocument/2006/relationships/hyperlink" Target="https://medibillmd.com/blog/denial-code-co-234/" TargetMode="External"/><Relationship Id="rId453" Type="http://schemas.openxmlformats.org/officeDocument/2006/relationships/hyperlink" Target="https://medibillmd.com/blog/patient-collections/" TargetMode="External"/><Relationship Id="rId210" Type="http://schemas.openxmlformats.org/officeDocument/2006/relationships/hyperlink" Target="https://medibillmd.com/blog/cpt-code-11720/" TargetMode="External"/><Relationship Id="rId331" Type="http://schemas.openxmlformats.org/officeDocument/2006/relationships/hyperlink" Target="https://medibillmd.com/blog/modifier-73/" TargetMode="External"/><Relationship Id="rId452" Type="http://schemas.openxmlformats.org/officeDocument/2006/relationships/hyperlink" Target="https://medibillmd.com/blog/downcoding-in-medical-billing/" TargetMode="External"/><Relationship Id="rId370" Type="http://schemas.openxmlformats.org/officeDocument/2006/relationships/hyperlink" Target="https://medibillmd.com/blog/nursing-home-cpt-codes/" TargetMode="External"/><Relationship Id="rId129" Type="http://schemas.openxmlformats.org/officeDocument/2006/relationships/hyperlink" Target="https://medibillmd.com/blog/cpt-code-90999/" TargetMode="External"/><Relationship Id="rId128" Type="http://schemas.openxmlformats.org/officeDocument/2006/relationships/hyperlink" Target="https://medibillmd.com/blog/podiatry-cpt-codes/" TargetMode="External"/><Relationship Id="rId249" Type="http://schemas.openxmlformats.org/officeDocument/2006/relationships/hyperlink" Target="https://medibillmd.com/blog/modifier-95/" TargetMode="External"/><Relationship Id="rId127" Type="http://schemas.openxmlformats.org/officeDocument/2006/relationships/hyperlink" Target="https://medibillmd.com/blog/denial-code-253/" TargetMode="External"/><Relationship Id="rId248" Type="http://schemas.openxmlformats.org/officeDocument/2006/relationships/hyperlink" Target="https://medibillmd.com/blog/modifier-81/" TargetMode="External"/><Relationship Id="rId369" Type="http://schemas.openxmlformats.org/officeDocument/2006/relationships/hyperlink" Target="https://medibillmd.com/blog/co-24-denial-code/" TargetMode="External"/><Relationship Id="rId126" Type="http://schemas.openxmlformats.org/officeDocument/2006/relationships/hyperlink" Target="https://medibillmd.com/blog/cpt-code-92310/" TargetMode="External"/><Relationship Id="rId247" Type="http://schemas.openxmlformats.org/officeDocument/2006/relationships/hyperlink" Target="https://medibillmd.com/blog/cpt-code-01922/" TargetMode="External"/><Relationship Id="rId368" Type="http://schemas.openxmlformats.org/officeDocument/2006/relationships/hyperlink" Target="https://medibillmd.com/blog/cpt-code-97151/" TargetMode="External"/><Relationship Id="rId121" Type="http://schemas.openxmlformats.org/officeDocument/2006/relationships/hyperlink" Target="https://medibillmd.com/blog/medical-billing-companies-in-philadelphia/" TargetMode="External"/><Relationship Id="rId242" Type="http://schemas.openxmlformats.org/officeDocument/2006/relationships/hyperlink" Target="https://medibillmd.com/blog/cpt-code-93296/" TargetMode="External"/><Relationship Id="rId363" Type="http://schemas.openxmlformats.org/officeDocument/2006/relationships/hyperlink" Target="https://medibillmd.com/blog/modifier-33/" TargetMode="External"/><Relationship Id="rId120" Type="http://schemas.openxmlformats.org/officeDocument/2006/relationships/hyperlink" Target="https://medibillmd.com/blog/cpt-code-12001/" TargetMode="External"/><Relationship Id="rId241" Type="http://schemas.openxmlformats.org/officeDocument/2006/relationships/hyperlink" Target="https://medibillmd.com/blog/chiropractic-cpt-codes/" TargetMode="External"/><Relationship Id="rId362" Type="http://schemas.openxmlformats.org/officeDocument/2006/relationships/hyperlink" Target="https://medibillmd.com/blog/modifier-22/" TargetMode="External"/><Relationship Id="rId240" Type="http://schemas.openxmlformats.org/officeDocument/2006/relationships/hyperlink" Target="https://medibillmd.com/blog/cpt-code-93325/" TargetMode="External"/><Relationship Id="rId361" Type="http://schemas.openxmlformats.org/officeDocument/2006/relationships/hyperlink" Target="https://medibillmd.com/blog/modifier-78/" TargetMode="External"/><Relationship Id="rId360" Type="http://schemas.openxmlformats.org/officeDocument/2006/relationships/hyperlink" Target="https://medibillmd.com/blog/modifier-62/" TargetMode="External"/><Relationship Id="rId125" Type="http://schemas.openxmlformats.org/officeDocument/2006/relationships/hyperlink" Target="https://medibillmd.com/blog/cpt-code-66984/" TargetMode="External"/><Relationship Id="rId246" Type="http://schemas.openxmlformats.org/officeDocument/2006/relationships/hyperlink" Target="https://medibillmd.com/blog/cpt-code-93010/" TargetMode="External"/><Relationship Id="rId367" Type="http://schemas.openxmlformats.org/officeDocument/2006/relationships/hyperlink" Target="https://medibillmd.com/blog/cpt-code-97763/" TargetMode="External"/><Relationship Id="rId124" Type="http://schemas.openxmlformats.org/officeDocument/2006/relationships/hyperlink" Target="https://medibillmd.com/blog/cpt-code-69433/" TargetMode="External"/><Relationship Id="rId245" Type="http://schemas.openxmlformats.org/officeDocument/2006/relationships/hyperlink" Target="https://medibillmd.com/blog/cpt-code-93005/" TargetMode="External"/><Relationship Id="rId366" Type="http://schemas.openxmlformats.org/officeDocument/2006/relationships/hyperlink" Target="https://medibillmd.com/blog/rpm-cpt-codes/" TargetMode="External"/><Relationship Id="rId123" Type="http://schemas.openxmlformats.org/officeDocument/2006/relationships/hyperlink" Target="https://medibillmd.com/blog/cpt-code-81003/" TargetMode="External"/><Relationship Id="rId244" Type="http://schemas.openxmlformats.org/officeDocument/2006/relationships/hyperlink" Target="https://medibillmd.com/blog/cpt-code-93458/" TargetMode="External"/><Relationship Id="rId365" Type="http://schemas.openxmlformats.org/officeDocument/2006/relationships/hyperlink" Target="https://medibillmd.com/blog/cpt-code-97537/" TargetMode="External"/><Relationship Id="rId122" Type="http://schemas.openxmlformats.org/officeDocument/2006/relationships/hyperlink" Target="https://medibillmd.com/blog/medical-billing-companies-in-milwaukee/" TargetMode="External"/><Relationship Id="rId243" Type="http://schemas.openxmlformats.org/officeDocument/2006/relationships/hyperlink" Target="https://medibillmd.com/blog/cpt-code-93224/" TargetMode="External"/><Relationship Id="rId364" Type="http://schemas.openxmlformats.org/officeDocument/2006/relationships/hyperlink" Target="https://medibillmd.com/blog/ems-cpt-codes/" TargetMode="External"/><Relationship Id="rId95" Type="http://schemas.openxmlformats.org/officeDocument/2006/relationships/hyperlink" Target="https://medibillmd.com/blog/medical-billing-companies-in-minneapolis/" TargetMode="External"/><Relationship Id="rId94" Type="http://schemas.openxmlformats.org/officeDocument/2006/relationships/hyperlink" Target="https://medibillmd.com/blog/cpt-code-70450/" TargetMode="External"/><Relationship Id="rId97" Type="http://schemas.openxmlformats.org/officeDocument/2006/relationships/hyperlink" Target="https://medibillmd.com/blog/medical-billing-companies-in-columbia/" TargetMode="External"/><Relationship Id="rId96" Type="http://schemas.openxmlformats.org/officeDocument/2006/relationships/hyperlink" Target="https://medibillmd.com/blog/cpt-code-81002/" TargetMode="External"/><Relationship Id="rId99" Type="http://schemas.openxmlformats.org/officeDocument/2006/relationships/hyperlink" Target="https://medibillmd.com/blog/cpt-code-80050/" TargetMode="External"/><Relationship Id="rId98" Type="http://schemas.openxmlformats.org/officeDocument/2006/relationships/hyperlink" Target="https://medibillmd.com/blog/medical-billing-companies-in-boston/" TargetMode="External"/><Relationship Id="rId91" Type="http://schemas.openxmlformats.org/officeDocument/2006/relationships/hyperlink" Target="https://medibillmd.com/blog/medical-billing-companies-in-kansas-city/" TargetMode="External"/><Relationship Id="rId90" Type="http://schemas.openxmlformats.org/officeDocument/2006/relationships/hyperlink" Target="https://medibillmd.com/blog/medical-billing-companies-in-oklahoma-city/" TargetMode="External"/><Relationship Id="rId93" Type="http://schemas.openxmlformats.org/officeDocument/2006/relationships/hyperlink" Target="https://medibillmd.com/blog/cpt-code-99487/" TargetMode="External"/><Relationship Id="rId92" Type="http://schemas.openxmlformats.org/officeDocument/2006/relationships/hyperlink" Target="https://medibillmd.com/blog/cpt-code-72148/" TargetMode="External"/><Relationship Id="rId118" Type="http://schemas.openxmlformats.org/officeDocument/2006/relationships/hyperlink" Target="https://medibillmd.com/blog/medical-billing-companies-in-indianapolis/" TargetMode="External"/><Relationship Id="rId239" Type="http://schemas.openxmlformats.org/officeDocument/2006/relationships/hyperlink" Target="https://medibillmd.com/blog/cpt-code-33533/" TargetMode="External"/><Relationship Id="rId117" Type="http://schemas.openxmlformats.org/officeDocument/2006/relationships/hyperlink" Target="https://medibillmd.com/blog/cpt-code-31237/" TargetMode="External"/><Relationship Id="rId238" Type="http://schemas.openxmlformats.org/officeDocument/2006/relationships/hyperlink" Target="https://medibillmd.com/blog/cpt-code-99204/" TargetMode="External"/><Relationship Id="rId359" Type="http://schemas.openxmlformats.org/officeDocument/2006/relationships/hyperlink" Target="https://medibillmd.com/blog/modifier-51-vs-59/" TargetMode="External"/><Relationship Id="rId116" Type="http://schemas.openxmlformats.org/officeDocument/2006/relationships/hyperlink" Target="https://medibillmd.com/blog/cpt-code-95165/" TargetMode="External"/><Relationship Id="rId237" Type="http://schemas.openxmlformats.org/officeDocument/2006/relationships/hyperlink" Target="https://medibillmd.com/blog/cpt-code-93018/" TargetMode="External"/><Relationship Id="rId358" Type="http://schemas.openxmlformats.org/officeDocument/2006/relationships/hyperlink" Target="https://medibillmd.com/blog/modifier-58/" TargetMode="External"/><Relationship Id="rId115" Type="http://schemas.openxmlformats.org/officeDocument/2006/relationships/hyperlink" Target="https://medibillmd.com/blog/medical-billing-companies-in-seattle/" TargetMode="External"/><Relationship Id="rId236" Type="http://schemas.openxmlformats.org/officeDocument/2006/relationships/hyperlink" Target="https://medibillmd.com/blog/cpt-code-27279/" TargetMode="External"/><Relationship Id="rId357" Type="http://schemas.openxmlformats.org/officeDocument/2006/relationships/hyperlink" Target="https://medibillmd.com/blog/hospice-modifiers-gv-and-gw/" TargetMode="External"/><Relationship Id="rId119" Type="http://schemas.openxmlformats.org/officeDocument/2006/relationships/hyperlink" Target="https://medibillmd.com/blog/medical-billing-companies-in-san-francisco/" TargetMode="External"/><Relationship Id="rId110" Type="http://schemas.openxmlformats.org/officeDocument/2006/relationships/hyperlink" Target="https://medibillmd.com/blog/cpt-code-93000/" TargetMode="External"/><Relationship Id="rId231" Type="http://schemas.openxmlformats.org/officeDocument/2006/relationships/hyperlink" Target="https://medibillmd.com/blog/cpt-code-11721/" TargetMode="External"/><Relationship Id="rId352" Type="http://schemas.openxmlformats.org/officeDocument/2006/relationships/hyperlink" Target="https://medibillmd.com/blog/modifier-25/" TargetMode="External"/><Relationship Id="rId230" Type="http://schemas.openxmlformats.org/officeDocument/2006/relationships/hyperlink" Target="https://medibillmd.com/blog/what-is-mso/" TargetMode="External"/><Relationship Id="rId351" Type="http://schemas.openxmlformats.org/officeDocument/2006/relationships/hyperlink" Target="https://medibillmd.com/blog/jw-and-jz-modifier/" TargetMode="External"/><Relationship Id="rId350" Type="http://schemas.openxmlformats.org/officeDocument/2006/relationships/hyperlink" Target="https://medibillmd.com/blog/modifier-77/" TargetMode="External"/><Relationship Id="rId114" Type="http://schemas.openxmlformats.org/officeDocument/2006/relationships/hyperlink" Target="https://medibillmd.com/blog/cpt-code-95811/" TargetMode="External"/><Relationship Id="rId235" Type="http://schemas.openxmlformats.org/officeDocument/2006/relationships/hyperlink" Target="https://medibillmd.com/blog/cpt-code-27130/" TargetMode="External"/><Relationship Id="rId356" Type="http://schemas.openxmlformats.org/officeDocument/2006/relationships/hyperlink" Target="https://medibillmd.com/blog/new-cpt-codes/" TargetMode="External"/><Relationship Id="rId113" Type="http://schemas.openxmlformats.org/officeDocument/2006/relationships/hyperlink" Target="https://medibillmd.com/blog/modifier-q8/" TargetMode="External"/><Relationship Id="rId234" Type="http://schemas.openxmlformats.org/officeDocument/2006/relationships/hyperlink" Target="https://medibillmd.com/blog/cpt-code-93297/" TargetMode="External"/><Relationship Id="rId355" Type="http://schemas.openxmlformats.org/officeDocument/2006/relationships/hyperlink" Target="https://medibillmd.com/blog/cpt-code-97150/" TargetMode="External"/><Relationship Id="rId112" Type="http://schemas.openxmlformats.org/officeDocument/2006/relationships/hyperlink" Target="https://medibillmd.com/blog/cpt-code-97602/" TargetMode="External"/><Relationship Id="rId233" Type="http://schemas.openxmlformats.org/officeDocument/2006/relationships/hyperlink" Target="https://medibillmd.com/blog/cpt-code-47563/" TargetMode="External"/><Relationship Id="rId354" Type="http://schemas.openxmlformats.org/officeDocument/2006/relationships/hyperlink" Target="https://medibillmd.com/blog/kx-modifier/" TargetMode="External"/><Relationship Id="rId111" Type="http://schemas.openxmlformats.org/officeDocument/2006/relationships/hyperlink" Target="https://medibillmd.com/blog/cpt-code-97598/" TargetMode="External"/><Relationship Id="rId232" Type="http://schemas.openxmlformats.org/officeDocument/2006/relationships/hyperlink" Target="https://medibillmd.com/blog/revenue-cycle-analytics/" TargetMode="External"/><Relationship Id="rId353" Type="http://schemas.openxmlformats.org/officeDocument/2006/relationships/hyperlink" Target="https://medibillmd.com/blog/cpt-code-99454/" TargetMode="External"/><Relationship Id="rId305" Type="http://schemas.openxmlformats.org/officeDocument/2006/relationships/hyperlink" Target="https://medibillmd.com/blog/pain-management-billing-companies/" TargetMode="External"/><Relationship Id="rId426" Type="http://schemas.openxmlformats.org/officeDocument/2006/relationships/hyperlink" Target="https://medibillmd.com/blog/nephrology-cpt-codes/" TargetMode="External"/><Relationship Id="rId304" Type="http://schemas.openxmlformats.org/officeDocument/2006/relationships/hyperlink" Target="https://medibillmd.com/blog/hospital-billing-vs-professional-billing/" TargetMode="External"/><Relationship Id="rId425" Type="http://schemas.openxmlformats.org/officeDocument/2006/relationships/hyperlink" Target="https://medibillmd.com/blog/era-and-eob-difference-in-medical-billing/" TargetMode="External"/><Relationship Id="rId303" Type="http://schemas.openxmlformats.org/officeDocument/2006/relationships/hyperlink" Target="https://medibillmd.com/blog/revenue-code-in-medical-billing/" TargetMode="External"/><Relationship Id="rId424" Type="http://schemas.openxmlformats.org/officeDocument/2006/relationships/hyperlink" Target="https://medibillmd.com/blog/remote-patient-monitoring-companies/" TargetMode="External"/><Relationship Id="rId302" Type="http://schemas.openxmlformats.org/officeDocument/2006/relationships/hyperlink" Target="https://medibillmd.com/blog/medical-billing-companies-in-las-vegas/" TargetMode="External"/><Relationship Id="rId423" Type="http://schemas.openxmlformats.org/officeDocument/2006/relationships/hyperlink" Target="https://medibillmd.com/blog/medical-practice-management-consultant/" TargetMode="External"/><Relationship Id="rId309" Type="http://schemas.openxmlformats.org/officeDocument/2006/relationships/hyperlink" Target="https://medibillmd.com/blog/cpt-code-93017/" TargetMode="External"/><Relationship Id="rId308" Type="http://schemas.openxmlformats.org/officeDocument/2006/relationships/hyperlink" Target="https://medibillmd.com/blog/medical-coding-companies/" TargetMode="External"/><Relationship Id="rId429" Type="http://schemas.openxmlformats.org/officeDocument/2006/relationships/hyperlink" Target="https://medibillmd.com/blog/how-to-use-unspecified-codes-in-icd-10/" TargetMode="External"/><Relationship Id="rId307" Type="http://schemas.openxmlformats.org/officeDocument/2006/relationships/hyperlink" Target="https://medibillmd.com/blog/denial-management-companies/" TargetMode="External"/><Relationship Id="rId428" Type="http://schemas.openxmlformats.org/officeDocument/2006/relationships/hyperlink" Target="https://medibillmd.com/blog/medical-billing-and-coding/" TargetMode="External"/><Relationship Id="rId306" Type="http://schemas.openxmlformats.org/officeDocument/2006/relationships/hyperlink" Target="https://medibillmd.com/blog/common-denials-in-medical-billing/" TargetMode="External"/><Relationship Id="rId427" Type="http://schemas.openxmlformats.org/officeDocument/2006/relationships/hyperlink" Target="https://medibillmd.com/blog/what-is-payment-posting/" TargetMode="External"/><Relationship Id="rId301" Type="http://schemas.openxmlformats.org/officeDocument/2006/relationships/hyperlink" Target="https://medibillmd.com/blog/medical-billing-companies-in-san-antonio/" TargetMode="External"/><Relationship Id="rId422" Type="http://schemas.openxmlformats.org/officeDocument/2006/relationships/hyperlink" Target="https://medibillmd.com/blog/ophthalmology-cpt-codes/" TargetMode="External"/><Relationship Id="rId300" Type="http://schemas.openxmlformats.org/officeDocument/2006/relationships/hyperlink" Target="https://medibillmd.com/blog/external-billing-auditing-team/" TargetMode="External"/><Relationship Id="rId421" Type="http://schemas.openxmlformats.org/officeDocument/2006/relationships/hyperlink" Target="https://medibillmd.com/blog/remote-therapeutic-monitoring-vs-remote-patient-monitoring/" TargetMode="External"/><Relationship Id="rId420" Type="http://schemas.openxmlformats.org/officeDocument/2006/relationships/hyperlink" Target="https://medibillmd.com/blog/write-offs-in-medical-billing/" TargetMode="External"/><Relationship Id="rId415" Type="http://schemas.openxmlformats.org/officeDocument/2006/relationships/hyperlink" Target="https://medibillmd.com/blog/workers-compensation-billing-and-credentialing/" TargetMode="External"/><Relationship Id="rId414" Type="http://schemas.openxmlformats.org/officeDocument/2006/relationships/hyperlink" Target="https://medibillmd.com/blog/claim-scrubbing-medical-billing/" TargetMode="External"/><Relationship Id="rId413" Type="http://schemas.openxmlformats.org/officeDocument/2006/relationships/hyperlink" Target="https://medibillmd.com/blog/orthopedic-billing-and-coding-guidelines/" TargetMode="External"/><Relationship Id="rId412" Type="http://schemas.openxmlformats.org/officeDocument/2006/relationships/hyperlink" Target="https://medibillmd.com/blog/medical-billing-vs-revenue-cycle-management/" TargetMode="External"/><Relationship Id="rId419" Type="http://schemas.openxmlformats.org/officeDocument/2006/relationships/hyperlink" Target="https://medibillmd.com/blog/dental-cdt-codes/" TargetMode="External"/><Relationship Id="rId418" Type="http://schemas.openxmlformats.org/officeDocument/2006/relationships/hyperlink" Target="https://medibillmd.com/blog/credentialing-in-medical-billing/" TargetMode="External"/><Relationship Id="rId417" Type="http://schemas.openxmlformats.org/officeDocument/2006/relationships/hyperlink" Target="https://medibillmd.com/blog/contractual-adjustment-in-medical-billing/" TargetMode="External"/><Relationship Id="rId416" Type="http://schemas.openxmlformats.org/officeDocument/2006/relationships/hyperlink" Target="https://medibillmd.com/blog/inpatient-vs-outpatient-coding/" TargetMode="External"/><Relationship Id="rId411" Type="http://schemas.openxmlformats.org/officeDocument/2006/relationships/hyperlink" Target="https://medibillmd.com/blog/healthcare-revenue-cycle-management/" TargetMode="External"/><Relationship Id="rId410" Type="http://schemas.openxmlformats.org/officeDocument/2006/relationships/hyperlink" Target="https://medibillmd.com/blog/denial-management/" TargetMode="External"/><Relationship Id="rId206" Type="http://schemas.openxmlformats.org/officeDocument/2006/relationships/hyperlink" Target="https://medibillmd.com/blog/modifier-27/" TargetMode="External"/><Relationship Id="rId327" Type="http://schemas.openxmlformats.org/officeDocument/2006/relationships/hyperlink" Target="https://medibillmd.com/blog/modifier-52/" TargetMode="External"/><Relationship Id="rId448" Type="http://schemas.openxmlformats.org/officeDocument/2006/relationships/hyperlink" Target="https://medibillmd.com/blog/physician-burnout/" TargetMode="External"/><Relationship Id="rId205" Type="http://schemas.openxmlformats.org/officeDocument/2006/relationships/hyperlink" Target="https://medibillmd.com/blog/modifier-66/" TargetMode="External"/><Relationship Id="rId326" Type="http://schemas.openxmlformats.org/officeDocument/2006/relationships/hyperlink" Target="https://medibillmd.com/blog/rheumatology-icd-10-codes/" TargetMode="External"/><Relationship Id="rId447" Type="http://schemas.openxmlformats.org/officeDocument/2006/relationships/hyperlink" Target="https://medibillmd.com/blog/healthcare-technology-and-ai/" TargetMode="External"/><Relationship Id="rId204" Type="http://schemas.openxmlformats.org/officeDocument/2006/relationships/hyperlink" Target="https://medibillmd.com/blog/modifier-xp/" TargetMode="External"/><Relationship Id="rId325" Type="http://schemas.openxmlformats.org/officeDocument/2006/relationships/hyperlink" Target="https://medibillmd.com/blog/icd-10-cm-guidelines/" TargetMode="External"/><Relationship Id="rId446" Type="http://schemas.openxmlformats.org/officeDocument/2006/relationships/hyperlink" Target="https://medibillmd.com/blog/substance-abuse-cpt-codes/" TargetMode="External"/><Relationship Id="rId203" Type="http://schemas.openxmlformats.org/officeDocument/2006/relationships/hyperlink" Target="https://medibillmd.com/blog/cpt-code-25000/" TargetMode="External"/><Relationship Id="rId324" Type="http://schemas.openxmlformats.org/officeDocument/2006/relationships/hyperlink" Target="https://medibillmd.com/blog/how-are-corrections-made-to-the-ehr/" TargetMode="External"/><Relationship Id="rId445" Type="http://schemas.openxmlformats.org/officeDocument/2006/relationships/hyperlink" Target="https://medibillmd.com/blog/denial-code-197/" TargetMode="External"/><Relationship Id="rId209" Type="http://schemas.openxmlformats.org/officeDocument/2006/relationships/hyperlink" Target="https://medibillmd.com/blog/cpt-code-92920/" TargetMode="External"/><Relationship Id="rId208" Type="http://schemas.openxmlformats.org/officeDocument/2006/relationships/hyperlink" Target="https://medibillmd.com/blog/physical-therapy-cpt-codes/" TargetMode="External"/><Relationship Id="rId329" Type="http://schemas.openxmlformats.org/officeDocument/2006/relationships/hyperlink" Target="https://medibillmd.com/blog/clean-claim-rate-in-medical-billing/" TargetMode="External"/><Relationship Id="rId207" Type="http://schemas.openxmlformats.org/officeDocument/2006/relationships/hyperlink" Target="https://medibillmd.com/blog/cpt-code-91110/" TargetMode="External"/><Relationship Id="rId328" Type="http://schemas.openxmlformats.org/officeDocument/2006/relationships/hyperlink" Target="https://medibillmd.com/blog/co-236-denial-code/" TargetMode="External"/><Relationship Id="rId449" Type="http://schemas.openxmlformats.org/officeDocument/2006/relationships/hyperlink" Target="https://medibillmd.com/blog/kpi-metrics-for-medical-billing/" TargetMode="External"/><Relationship Id="rId440" Type="http://schemas.openxmlformats.org/officeDocument/2006/relationships/hyperlink" Target="https://medibillmd.com/blog/how-to-bill-medicare-and-medicaid-as-a-provider/" TargetMode="External"/><Relationship Id="rId202" Type="http://schemas.openxmlformats.org/officeDocument/2006/relationships/hyperlink" Target="https://medibillmd.com/blog/modifier-23/" TargetMode="External"/><Relationship Id="rId323" Type="http://schemas.openxmlformats.org/officeDocument/2006/relationships/hyperlink" Target="https://medibillmd.com/blog/modifier-57/" TargetMode="External"/><Relationship Id="rId444" Type="http://schemas.openxmlformats.org/officeDocument/2006/relationships/hyperlink" Target="https://medibillmd.com/blog/prior-authorization-in-medical-billing/" TargetMode="External"/><Relationship Id="rId201" Type="http://schemas.openxmlformats.org/officeDocument/2006/relationships/hyperlink" Target="https://medibillmd.com/blog/radiology-cpt-codes/" TargetMode="External"/><Relationship Id="rId322" Type="http://schemas.openxmlformats.org/officeDocument/2006/relationships/hyperlink" Target="https://medibillmd.com/blog/hematology-cpt-codes/" TargetMode="External"/><Relationship Id="rId443" Type="http://schemas.openxmlformats.org/officeDocument/2006/relationships/hyperlink" Target="https://medibillmd.com/blog/global-period-in-medical-billing/" TargetMode="External"/><Relationship Id="rId200" Type="http://schemas.openxmlformats.org/officeDocument/2006/relationships/hyperlink" Target="https://medibillmd.com/blog/neurosurgery-cpt-codes/" TargetMode="External"/><Relationship Id="rId321" Type="http://schemas.openxmlformats.org/officeDocument/2006/relationships/hyperlink" Target="https://medibillmd.com/blog/cardiology-medical-billing-services-pittsburgh/" TargetMode="External"/><Relationship Id="rId442" Type="http://schemas.openxmlformats.org/officeDocument/2006/relationships/hyperlink" Target="https://medibillmd.com/blog/cpt-code-97597/" TargetMode="External"/><Relationship Id="rId320" Type="http://schemas.openxmlformats.org/officeDocument/2006/relationships/hyperlink" Target="https://medibillmd.com/blog/hcpcs-code-g2211/" TargetMode="External"/><Relationship Id="rId441" Type="http://schemas.openxmlformats.org/officeDocument/2006/relationships/hyperlink" Target="https://medibillmd.com/blog/mental-health-cpt-codes/" TargetMode="External"/><Relationship Id="rId316" Type="http://schemas.openxmlformats.org/officeDocument/2006/relationships/hyperlink" Target="https://medibillmd.com/blog/neurology-cpt-codes/" TargetMode="External"/><Relationship Id="rId437" Type="http://schemas.openxmlformats.org/officeDocument/2006/relationships/hyperlink" Target="https://medibillmd.com/blog/co-18-denial-code/" TargetMode="External"/><Relationship Id="rId315" Type="http://schemas.openxmlformats.org/officeDocument/2006/relationships/hyperlink" Target="https://medibillmd.com/blog/medicare-8-minute-rule/" TargetMode="External"/><Relationship Id="rId436" Type="http://schemas.openxmlformats.org/officeDocument/2006/relationships/hyperlink" Target="https://medibillmd.com/blog/co-29-denial-code/" TargetMode="External"/><Relationship Id="rId314" Type="http://schemas.openxmlformats.org/officeDocument/2006/relationships/hyperlink" Target="https://medibillmd.com/blog/co-5-denial-code/" TargetMode="External"/><Relationship Id="rId435" Type="http://schemas.openxmlformats.org/officeDocument/2006/relationships/hyperlink" Target="https://medibillmd.com/blog/pain-management-cpt-codes/" TargetMode="External"/><Relationship Id="rId313" Type="http://schemas.openxmlformats.org/officeDocument/2006/relationships/hyperlink" Target="https://medibillmd.com/blog/emr-implementation/" TargetMode="External"/><Relationship Id="rId434" Type="http://schemas.openxmlformats.org/officeDocument/2006/relationships/hyperlink" Target="https://medibillmd.com/blog/denial-code-27/" TargetMode="External"/><Relationship Id="rId319" Type="http://schemas.openxmlformats.org/officeDocument/2006/relationships/hyperlink" Target="https://medibillmd.com/blog/ai-medical-billing/" TargetMode="External"/><Relationship Id="rId318" Type="http://schemas.openxmlformats.org/officeDocument/2006/relationships/hyperlink" Target="https://medibillmd.com/blog/charge-capture-in-medical-billing/" TargetMode="External"/><Relationship Id="rId439" Type="http://schemas.openxmlformats.org/officeDocument/2006/relationships/hyperlink" Target="https://medibillmd.com/blog/aba-therapy-cpt-codes/" TargetMode="External"/><Relationship Id="rId317" Type="http://schemas.openxmlformats.org/officeDocument/2006/relationships/hyperlink" Target="https://medibillmd.com/blog/cpt-code-97110/" TargetMode="External"/><Relationship Id="rId438" Type="http://schemas.openxmlformats.org/officeDocument/2006/relationships/hyperlink" Target="https://medibillmd.com/blog/co-16-denial-code/" TargetMode="External"/><Relationship Id="rId312" Type="http://schemas.openxmlformats.org/officeDocument/2006/relationships/hyperlink" Target="https://medibillmd.com/blog/gp-modifier/" TargetMode="External"/><Relationship Id="rId433" Type="http://schemas.openxmlformats.org/officeDocument/2006/relationships/hyperlink" Target="https://medibillmd.com/blog/denial-code-45/" TargetMode="External"/><Relationship Id="rId311" Type="http://schemas.openxmlformats.org/officeDocument/2006/relationships/hyperlink" Target="https://medibillmd.com/blog/primary-care-cpt-codes/" TargetMode="External"/><Relationship Id="rId432" Type="http://schemas.openxmlformats.org/officeDocument/2006/relationships/hyperlink" Target="https://medibillmd.com/blog/upcoding-in-medical-billing/" TargetMode="External"/><Relationship Id="rId310" Type="http://schemas.openxmlformats.org/officeDocument/2006/relationships/hyperlink" Target="https://medibillmd.com/blog/medical-billing-companies-in-texas/" TargetMode="External"/><Relationship Id="rId431" Type="http://schemas.openxmlformats.org/officeDocument/2006/relationships/hyperlink" Target="https://medibillmd.com/blog/accounts-receivable-in-healthcare/" TargetMode="External"/><Relationship Id="rId430" Type="http://schemas.openxmlformats.org/officeDocument/2006/relationships/hyperlink" Target="https://medibillmd.com/blog/what-is-an-entity-code-in-medical-bill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edibillmd.com/" TargetMode="External"/><Relationship Id="rId2" Type="http://schemas.openxmlformats.org/officeDocument/2006/relationships/hyperlink" Target="https://medibillmd.com/appointment" TargetMode="External"/><Relationship Id="rId3" Type="http://schemas.openxmlformats.org/officeDocument/2006/relationships/hyperlink" Target="https://medibillmd.com/services" TargetMode="External"/><Relationship Id="rId4" Type="http://schemas.openxmlformats.org/officeDocument/2006/relationships/hyperlink" Target="https://medibillmd.com/specialties" TargetMode="External"/><Relationship Id="rId9" Type="http://schemas.openxmlformats.org/officeDocument/2006/relationships/hyperlink" Target="https://medibillmd.com/services/hospital-billing-services" TargetMode="External"/><Relationship Id="rId5" Type="http://schemas.openxmlformats.org/officeDocument/2006/relationships/hyperlink" Target="https://medibillmd.com/about" TargetMode="External"/><Relationship Id="rId6" Type="http://schemas.openxmlformats.org/officeDocument/2006/relationships/hyperlink" Target="https://medibillmd.com/contact" TargetMode="External"/><Relationship Id="rId7" Type="http://schemas.openxmlformats.org/officeDocument/2006/relationships/hyperlink" Target="https://medibillmd.com/privacy-policy" TargetMode="External"/><Relationship Id="rId8" Type="http://schemas.openxmlformats.org/officeDocument/2006/relationships/hyperlink" Target="https://medibillmd.com/terms_and_condition" TargetMode="External"/><Relationship Id="rId40" Type="http://schemas.openxmlformats.org/officeDocument/2006/relationships/hyperlink" Target="https://medibillmd.com/specialties/thoracic-surgery-billing-services" TargetMode="External"/><Relationship Id="rId42" Type="http://schemas.openxmlformats.org/officeDocument/2006/relationships/hyperlink" Target="https://medibillmd.com/specialties/traumatology-billing-services" TargetMode="External"/><Relationship Id="rId41" Type="http://schemas.openxmlformats.org/officeDocument/2006/relationships/hyperlink" Target="https://medibillmd.com/specialties/toxicology-lab-billing-services" TargetMode="External"/><Relationship Id="rId44" Type="http://schemas.openxmlformats.org/officeDocument/2006/relationships/hyperlink" Target="https://medibillmd.com/specialties/asc-billing-services" TargetMode="External"/><Relationship Id="rId43" Type="http://schemas.openxmlformats.org/officeDocument/2006/relationships/hyperlink" Target="https://medibillmd.com/services/ar-recovery-services" TargetMode="External"/><Relationship Id="rId46" Type="http://schemas.openxmlformats.org/officeDocument/2006/relationships/hyperlink" Target="https://medibillmd.com/specialties/laboratory-billing-services" TargetMode="External"/><Relationship Id="rId45" Type="http://schemas.openxmlformats.org/officeDocument/2006/relationships/hyperlink" Target="https://medibillmd.com/specialties/dme-billing-services" TargetMode="External"/><Relationship Id="rId48" Type="http://schemas.openxmlformats.org/officeDocument/2006/relationships/hyperlink" Target="https://medibillmd.com/specialties/radiology-billing-services" TargetMode="External"/><Relationship Id="rId47" Type="http://schemas.openxmlformats.org/officeDocument/2006/relationships/hyperlink" Target="https://medibillmd.com/services/medical-billing-services" TargetMode="External"/><Relationship Id="rId49" Type="http://schemas.openxmlformats.org/officeDocument/2006/relationships/hyperlink" Target="https://medibillmd.com/services/remote-patient-monitoring-services" TargetMode="External"/><Relationship Id="rId31" Type="http://schemas.openxmlformats.org/officeDocument/2006/relationships/hyperlink" Target="https://medibillmd.com/specialties/internal-medicine-billing-services" TargetMode="External"/><Relationship Id="rId30" Type="http://schemas.openxmlformats.org/officeDocument/2006/relationships/hyperlink" Target="https://medibillmd.com/specialties/infectious-disease-billing-services" TargetMode="External"/><Relationship Id="rId33" Type="http://schemas.openxmlformats.org/officeDocument/2006/relationships/hyperlink" Target="https://medibillmd.com/specialties/pediatric-billing-services" TargetMode="External"/><Relationship Id="rId32" Type="http://schemas.openxmlformats.org/officeDocument/2006/relationships/hyperlink" Target="https://medibillmd.com/specialties/pathology-billing-services" TargetMode="External"/><Relationship Id="rId35" Type="http://schemas.openxmlformats.org/officeDocument/2006/relationships/hyperlink" Target="https://medibillmd.com/specialties/podiatry-billing-services" TargetMode="External"/><Relationship Id="rId34" Type="http://schemas.openxmlformats.org/officeDocument/2006/relationships/hyperlink" Target="https://medibillmd.com/specialties/physical-therapy-billing-services" TargetMode="External"/><Relationship Id="rId37" Type="http://schemas.openxmlformats.org/officeDocument/2006/relationships/hyperlink" Target="https://medibillmd.com/specialties/prostheses-billing-services" TargetMode="External"/><Relationship Id="rId36" Type="http://schemas.openxmlformats.org/officeDocument/2006/relationships/hyperlink" Target="https://medibillmd.com/specialties/primary-care-billing-services" TargetMode="External"/><Relationship Id="rId39" Type="http://schemas.openxmlformats.org/officeDocument/2006/relationships/hyperlink" Target="https://medibillmd.com/specialties/rheumatology-billing-services" TargetMode="External"/><Relationship Id="rId38" Type="http://schemas.openxmlformats.org/officeDocument/2006/relationships/hyperlink" Target="https://medibillmd.com/specialties/pulmonology-billing-services" TargetMode="External"/><Relationship Id="rId20" Type="http://schemas.openxmlformats.org/officeDocument/2006/relationships/hyperlink" Target="https://medibillmd.com/specialties/obgyn-billing-services" TargetMode="External"/><Relationship Id="rId22" Type="http://schemas.openxmlformats.org/officeDocument/2006/relationships/hyperlink" Target="https://medibillmd.com/specialties/molecular-lab-billing-services" TargetMode="External"/><Relationship Id="rId21" Type="http://schemas.openxmlformats.org/officeDocument/2006/relationships/hyperlink" Target="https://medibillmd.com/specialties/nephrology-billing-services" TargetMode="External"/><Relationship Id="rId24" Type="http://schemas.openxmlformats.org/officeDocument/2006/relationships/hyperlink" Target="https://medibillmd.com/specialties/geriatrics-billing-services" TargetMode="External"/><Relationship Id="rId23" Type="http://schemas.openxmlformats.org/officeDocument/2006/relationships/hyperlink" Target="https://medibillmd.com/specialties/general-surgery-billing-services" TargetMode="External"/><Relationship Id="rId26" Type="http://schemas.openxmlformats.org/officeDocument/2006/relationships/hyperlink" Target="https://medibillmd.com/specialties/gastroenterology-billing-services" TargetMode="External"/><Relationship Id="rId25" Type="http://schemas.openxmlformats.org/officeDocument/2006/relationships/hyperlink" Target="https://medibillmd.com/specialties/hematology-billing-services" TargetMode="External"/><Relationship Id="rId28" Type="http://schemas.openxmlformats.org/officeDocument/2006/relationships/hyperlink" Target="https://medibillmd.com/specialties/dental-billing-services" TargetMode="External"/><Relationship Id="rId27" Type="http://schemas.openxmlformats.org/officeDocument/2006/relationships/hyperlink" Target="https://medibillmd.com/specialties/dermatology-billing-services" TargetMode="External"/><Relationship Id="rId29" Type="http://schemas.openxmlformats.org/officeDocument/2006/relationships/hyperlink" Target="https://medibillmd.com/specialties/hepatology-billing-services" TargetMode="External"/><Relationship Id="rId11" Type="http://schemas.openxmlformats.org/officeDocument/2006/relationships/hyperlink" Target="https://medibillmd.com/services/physician-billing-services" TargetMode="External"/><Relationship Id="rId10" Type="http://schemas.openxmlformats.org/officeDocument/2006/relationships/hyperlink" Target="https://medibillmd.com/services/medical-billing-services" TargetMode="External"/><Relationship Id="rId13" Type="http://schemas.openxmlformats.org/officeDocument/2006/relationships/hyperlink" Target="https://medibillmd.com/services/remote-patient-monitoring-services" TargetMode="External"/><Relationship Id="rId12" Type="http://schemas.openxmlformats.org/officeDocument/2006/relationships/hyperlink" Target="https://medibillmd.com/services/medical-credentialing-services" TargetMode="External"/><Relationship Id="rId15" Type="http://schemas.openxmlformats.org/officeDocument/2006/relationships/hyperlink" Target="https://medibillmd.com/specialties/urology-billing-services" TargetMode="External"/><Relationship Id="rId14" Type="http://schemas.openxmlformats.org/officeDocument/2006/relationships/hyperlink" Target="https://medibillmd.com/specialties/wound-care-billing-services" TargetMode="External"/><Relationship Id="rId17" Type="http://schemas.openxmlformats.org/officeDocument/2006/relationships/hyperlink" Target="https://medibillmd.com/specialties/nursing-home-billing-services" TargetMode="External"/><Relationship Id="rId16" Type="http://schemas.openxmlformats.org/officeDocument/2006/relationships/hyperlink" Target="https://medibillmd.com/specialties/neurosurgery-billing-services" TargetMode="External"/><Relationship Id="rId19" Type="http://schemas.openxmlformats.org/officeDocument/2006/relationships/hyperlink" Target="https://medibillmd.com/specialties/oncology-billing-services" TargetMode="External"/><Relationship Id="rId18" Type="http://schemas.openxmlformats.org/officeDocument/2006/relationships/hyperlink" Target="https://medibillmd.com/specialties/pain-management-billing-services" TargetMode="External"/><Relationship Id="rId84" Type="http://schemas.openxmlformats.org/officeDocument/2006/relationships/hyperlink" Target="https://medibillmd.com/specialties/behavioral-health-rcm-services" TargetMode="External"/><Relationship Id="rId83" Type="http://schemas.openxmlformats.org/officeDocument/2006/relationships/hyperlink" Target="https://medibillmd.com/specialties/plastic-surgery-billing" TargetMode="External"/><Relationship Id="rId86" Type="http://schemas.openxmlformats.org/officeDocument/2006/relationships/hyperlink" Target="https://medibillmd.com/case-studies/dxm-acupuncture" TargetMode="External"/><Relationship Id="rId85" Type="http://schemas.openxmlformats.org/officeDocument/2006/relationships/hyperlink" Target="https://medibillmd.com/case-studies" TargetMode="External"/><Relationship Id="rId88" Type="http://schemas.openxmlformats.org/officeDocument/2006/relationships/hyperlink" Target="https://medibillmd.com/specialties/occupational-therapy-billing-services" TargetMode="External"/><Relationship Id="rId87" Type="http://schemas.openxmlformats.org/officeDocument/2006/relationships/hyperlink" Target="https://medibillmd.com/specialties/acupuncture-billing-services" TargetMode="External"/><Relationship Id="rId89" Type="http://schemas.openxmlformats.org/officeDocument/2006/relationships/hyperlink" Target="https://medibillmd.com/specialties/neurology-billing-services" TargetMode="External"/><Relationship Id="rId80" Type="http://schemas.openxmlformats.org/officeDocument/2006/relationships/hyperlink" Target="https://medibillmd.com/specialties/ems-billing-services" TargetMode="External"/><Relationship Id="rId82" Type="http://schemas.openxmlformats.org/officeDocument/2006/relationships/hyperlink" Target="https://medibillmd.com/specialties/family-practice-billing-services" TargetMode="External"/><Relationship Id="rId81" Type="http://schemas.openxmlformats.org/officeDocument/2006/relationships/hyperlink" Target="https://medibillmd.com/specialties/home-health-billing-services" TargetMode="External"/><Relationship Id="rId73" Type="http://schemas.openxmlformats.org/officeDocument/2006/relationships/hyperlink" Target="https://medibillmd.com/states/medical-billing-services-in-florida" TargetMode="External"/><Relationship Id="rId72" Type="http://schemas.openxmlformats.org/officeDocument/2006/relationships/hyperlink" Target="https://medibillmd.com/states/medical-billing-services-in-texas" TargetMode="External"/><Relationship Id="rId75" Type="http://schemas.openxmlformats.org/officeDocument/2006/relationships/hyperlink" Target="https://medibillmd.com/specialties/hospice-billing-services" TargetMode="External"/><Relationship Id="rId74" Type="http://schemas.openxmlformats.org/officeDocument/2006/relationships/hyperlink" Target="https://medibillmd.com/states" TargetMode="External"/><Relationship Id="rId77" Type="http://schemas.openxmlformats.org/officeDocument/2006/relationships/hyperlink" Target="https://medibillmd.com/specialties/ent-billing-services" TargetMode="External"/><Relationship Id="rId76" Type="http://schemas.openxmlformats.org/officeDocument/2006/relationships/hyperlink" Target="https://medibillmd.com/services/insurance-verification-services" TargetMode="External"/><Relationship Id="rId79" Type="http://schemas.openxmlformats.org/officeDocument/2006/relationships/hyperlink" Target="https://medibillmd.com/specialties/urgent-care-billing-services" TargetMode="External"/><Relationship Id="rId78" Type="http://schemas.openxmlformats.org/officeDocument/2006/relationships/hyperlink" Target="https://medibillmd.com/services/medical-billing-audit-services" TargetMode="External"/><Relationship Id="rId71" Type="http://schemas.openxmlformats.org/officeDocument/2006/relationships/hyperlink" Target="https://medibillmd.com/states/medical-billing-services-in-new-york" TargetMode="External"/><Relationship Id="rId70" Type="http://schemas.openxmlformats.org/officeDocument/2006/relationships/hyperlink" Target="https://medibillmd.com/services/charge-entry-services" TargetMode="External"/><Relationship Id="rId62" Type="http://schemas.openxmlformats.org/officeDocument/2006/relationships/hyperlink" Target="https://medibillmd.com/specialties/chiropractic-billing-services" TargetMode="External"/><Relationship Id="rId61" Type="http://schemas.openxmlformats.org/officeDocument/2006/relationships/hyperlink" Target="https://medibillmd.com/specialties/ccm-billing-services" TargetMode="External"/><Relationship Id="rId64" Type="http://schemas.openxmlformats.org/officeDocument/2006/relationships/hyperlink" Target="https://medibillmd.com/services/medical-billing-services-for-small-practices" TargetMode="External"/><Relationship Id="rId63" Type="http://schemas.openxmlformats.org/officeDocument/2006/relationships/hyperlink" Target="https://medibillmd.com/specialties/anesthesia-billing-services" TargetMode="External"/><Relationship Id="rId66" Type="http://schemas.openxmlformats.org/officeDocument/2006/relationships/hyperlink" Target="https://medibillmd.com/specialties/rehab-medical-billing-services" TargetMode="External"/><Relationship Id="rId65" Type="http://schemas.openxmlformats.org/officeDocument/2006/relationships/hyperlink" Target="https://medibillmd.com/specialties/allergy-immunology-billing-services" TargetMode="External"/><Relationship Id="rId68" Type="http://schemas.openxmlformats.org/officeDocument/2006/relationships/hyperlink" Target="https://medibillmd.com/services/healthcare-revenue-cycle-management-services" TargetMode="External"/><Relationship Id="rId67" Type="http://schemas.openxmlformats.org/officeDocument/2006/relationships/hyperlink" Target="https://medibillmd.com/states/medical-billing-services-in-california" TargetMode="External"/><Relationship Id="rId60" Type="http://schemas.openxmlformats.org/officeDocument/2006/relationships/hyperlink" Target="https://medibillmd.com/specialties/mental-health-billing-services" TargetMode="External"/><Relationship Id="rId69" Type="http://schemas.openxmlformats.org/officeDocument/2006/relationships/hyperlink" Target="https://medibillmd.com/services/payment-posting-services" TargetMode="External"/><Relationship Id="rId51" Type="http://schemas.openxmlformats.org/officeDocument/2006/relationships/hyperlink" Target="https://medibillmd.com/specialties/cardiology-billing-services" TargetMode="External"/><Relationship Id="rId50" Type="http://schemas.openxmlformats.org/officeDocument/2006/relationships/hyperlink" Target="https://medibillmd.com/services/medical-coding-services" TargetMode="External"/><Relationship Id="rId53" Type="http://schemas.openxmlformats.org/officeDocument/2006/relationships/hyperlink" Target="https://medibillmd.com/specialties/fqhc-billing-services" TargetMode="External"/><Relationship Id="rId52" Type="http://schemas.openxmlformats.org/officeDocument/2006/relationships/hyperlink" Target="https://medibillmd.com/specialties/clinical-lab-billing-services" TargetMode="External"/><Relationship Id="rId55" Type="http://schemas.openxmlformats.org/officeDocument/2006/relationships/hyperlink" Target="https://medibillmd.com/specialties/ophthalmology-billing-services" TargetMode="External"/><Relationship Id="rId54" Type="http://schemas.openxmlformats.org/officeDocument/2006/relationships/hyperlink" Target="https://medibillmd.com/specialties/endocrinology-billing-services" TargetMode="External"/><Relationship Id="rId57" Type="http://schemas.openxmlformats.org/officeDocument/2006/relationships/hyperlink" Target="https://medibillmd.com/specialties/orthopedic-billing-services" TargetMode="External"/><Relationship Id="rId56" Type="http://schemas.openxmlformats.org/officeDocument/2006/relationships/hyperlink" Target="https://medibillmd.com/services/denial-management-services" TargetMode="External"/><Relationship Id="rId59" Type="http://schemas.openxmlformats.org/officeDocument/2006/relationships/hyperlink" Target="https://medibillmd.com/specialties/aba-billing-services" TargetMode="External"/><Relationship Id="rId58" Type="http://schemas.openxmlformats.org/officeDocument/2006/relationships/hyperlink" Target="https://medibillmd.com/resources" TargetMode="External"/><Relationship Id="rId90"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59.0"/>
    <col customWidth="1" min="4" max="4" width="30.0"/>
    <col customWidth="1" min="5" max="5" width="39.75"/>
  </cols>
  <sheetData>
    <row r="1">
      <c r="A1" s="1" t="s">
        <v>0</v>
      </c>
      <c r="B1" s="2"/>
      <c r="C1" s="3"/>
    </row>
    <row r="2">
      <c r="B2" s="4" t="s">
        <v>1</v>
      </c>
      <c r="C2" s="5" t="s">
        <v>2</v>
      </c>
    </row>
    <row r="3">
      <c r="B3" s="4" t="s">
        <v>3</v>
      </c>
      <c r="C3" s="1" t="s">
        <v>4</v>
      </c>
    </row>
    <row r="4">
      <c r="B4" s="4" t="s">
        <v>5</v>
      </c>
      <c r="C4" s="5" t="s">
        <v>6</v>
      </c>
    </row>
    <row r="5">
      <c r="B5" s="4" t="s">
        <v>7</v>
      </c>
      <c r="C5" s="5" t="s">
        <v>8</v>
      </c>
    </row>
    <row r="6">
      <c r="B6" s="4" t="s">
        <v>9</v>
      </c>
      <c r="C6" s="5" t="s">
        <v>10</v>
      </c>
    </row>
    <row r="7">
      <c r="B7" s="4" t="s">
        <v>11</v>
      </c>
      <c r="C7" s="5" t="s">
        <v>12</v>
      </c>
    </row>
    <row r="8">
      <c r="B8" s="4" t="s">
        <v>13</v>
      </c>
      <c r="C8" s="5" t="s">
        <v>14</v>
      </c>
    </row>
    <row r="9">
      <c r="C9" s="4" t="s">
        <v>15</v>
      </c>
      <c r="D9" s="5"/>
    </row>
    <row r="10">
      <c r="C10" s="1" t="s">
        <v>16</v>
      </c>
      <c r="D10" s="6"/>
      <c r="E10" s="6" t="s">
        <v>17</v>
      </c>
    </row>
    <row r="11">
      <c r="C11" s="4" t="s">
        <v>18</v>
      </c>
      <c r="D11" s="5"/>
    </row>
    <row r="12">
      <c r="B12" s="2"/>
      <c r="C12" s="3"/>
    </row>
    <row r="13">
      <c r="B13" s="2"/>
      <c r="C13" s="3"/>
    </row>
    <row r="14">
      <c r="B14" s="2"/>
      <c r="C14" s="3"/>
    </row>
    <row r="15">
      <c r="B15" s="2"/>
      <c r="C15" s="3"/>
    </row>
    <row r="16">
      <c r="B16" s="2"/>
      <c r="C16" s="3"/>
    </row>
    <row r="17">
      <c r="B17" s="2"/>
      <c r="C17" s="3"/>
    </row>
    <row r="18">
      <c r="B18" s="2"/>
      <c r="C18" s="3"/>
    </row>
    <row r="19">
      <c r="B19" s="2"/>
      <c r="C19" s="3"/>
    </row>
    <row r="20">
      <c r="B20" s="2"/>
      <c r="C20" s="3"/>
    </row>
    <row r="21">
      <c r="B21" s="2"/>
      <c r="C21" s="3"/>
    </row>
    <row r="22">
      <c r="B22" s="2"/>
      <c r="C22" s="3"/>
    </row>
    <row r="23">
      <c r="B23" s="2"/>
      <c r="C23" s="3"/>
    </row>
    <row r="24">
      <c r="B24" s="2"/>
      <c r="C24" s="3"/>
    </row>
    <row r="25">
      <c r="B25" s="2"/>
      <c r="C25" s="3"/>
    </row>
    <row r="26">
      <c r="B26" s="2"/>
      <c r="C26" s="3"/>
    </row>
    <row r="27">
      <c r="B27" s="2"/>
      <c r="C27" s="3"/>
    </row>
    <row r="28">
      <c r="B28" s="2"/>
      <c r="C28" s="3"/>
    </row>
    <row r="29">
      <c r="B29" s="2"/>
      <c r="C29" s="3"/>
    </row>
    <row r="30">
      <c r="B30" s="2"/>
      <c r="C30" s="3"/>
    </row>
    <row r="31">
      <c r="B31" s="2"/>
      <c r="C31" s="3"/>
    </row>
    <row r="32">
      <c r="B32" s="2"/>
      <c r="C32" s="3"/>
    </row>
    <row r="33">
      <c r="B33" s="2"/>
      <c r="C33" s="3"/>
    </row>
    <row r="34">
      <c r="B34" s="2"/>
      <c r="C34" s="3"/>
    </row>
    <row r="35">
      <c r="B35" s="2"/>
      <c r="C35" s="3"/>
    </row>
    <row r="36">
      <c r="B36" s="2"/>
      <c r="C36" s="3"/>
    </row>
    <row r="37">
      <c r="B37" s="2"/>
      <c r="C37" s="3"/>
    </row>
    <row r="38">
      <c r="B38" s="2"/>
      <c r="C38" s="3"/>
    </row>
    <row r="39">
      <c r="B39" s="2"/>
      <c r="C39" s="3"/>
    </row>
    <row r="40">
      <c r="B40" s="2"/>
      <c r="C40" s="3"/>
    </row>
    <row r="41">
      <c r="B41" s="2"/>
      <c r="C41" s="3"/>
    </row>
    <row r="42">
      <c r="B42" s="2"/>
      <c r="C42" s="3"/>
    </row>
    <row r="43">
      <c r="B43" s="2"/>
      <c r="C43" s="3"/>
    </row>
    <row r="44">
      <c r="B44" s="2"/>
      <c r="C44" s="3"/>
    </row>
    <row r="45">
      <c r="B45" s="2"/>
      <c r="C45" s="3"/>
    </row>
    <row r="46">
      <c r="B46" s="2"/>
      <c r="C46" s="3"/>
    </row>
    <row r="47">
      <c r="B47" s="2"/>
      <c r="C47" s="3"/>
    </row>
    <row r="48">
      <c r="B48" s="2"/>
      <c r="C48" s="3"/>
    </row>
    <row r="49">
      <c r="B49" s="2"/>
      <c r="C49" s="3"/>
    </row>
    <row r="50">
      <c r="B50" s="2"/>
      <c r="C50" s="3"/>
    </row>
    <row r="51">
      <c r="B51" s="2"/>
      <c r="C51" s="3"/>
    </row>
    <row r="52">
      <c r="B52" s="2"/>
      <c r="C52" s="3"/>
    </row>
    <row r="53">
      <c r="B53" s="2"/>
      <c r="C53" s="3"/>
    </row>
    <row r="54">
      <c r="B54" s="2"/>
      <c r="C54" s="3"/>
    </row>
    <row r="55">
      <c r="B55" s="2"/>
      <c r="C55" s="3"/>
    </row>
    <row r="56">
      <c r="B56" s="2"/>
      <c r="C56" s="3"/>
    </row>
    <row r="57">
      <c r="B57" s="2"/>
      <c r="C57" s="3"/>
    </row>
    <row r="58">
      <c r="B58" s="2"/>
      <c r="C58" s="3"/>
    </row>
    <row r="59">
      <c r="B59" s="2"/>
      <c r="C59" s="3"/>
    </row>
    <row r="60">
      <c r="B60" s="2"/>
      <c r="C60" s="3"/>
    </row>
    <row r="61">
      <c r="B61" s="2"/>
      <c r="C61" s="3"/>
    </row>
    <row r="62">
      <c r="B62" s="2"/>
      <c r="C62" s="3"/>
    </row>
    <row r="63">
      <c r="B63" s="2"/>
      <c r="C63" s="3"/>
    </row>
    <row r="64">
      <c r="B64" s="2"/>
      <c r="C64" s="3"/>
    </row>
    <row r="65">
      <c r="B65" s="2"/>
      <c r="C65" s="3"/>
    </row>
    <row r="66">
      <c r="B66" s="2"/>
      <c r="C66" s="3"/>
    </row>
    <row r="67">
      <c r="B67" s="2"/>
      <c r="C67" s="3"/>
    </row>
    <row r="68">
      <c r="B68" s="2"/>
      <c r="C68" s="3"/>
    </row>
    <row r="69">
      <c r="B69" s="2"/>
      <c r="C69" s="3"/>
    </row>
    <row r="70">
      <c r="B70" s="2"/>
      <c r="C70" s="3"/>
    </row>
    <row r="71">
      <c r="B71" s="2"/>
      <c r="C71" s="3"/>
    </row>
    <row r="72">
      <c r="B72" s="2"/>
      <c r="C72" s="3"/>
    </row>
    <row r="73">
      <c r="B73" s="2"/>
      <c r="C73" s="3"/>
    </row>
    <row r="74">
      <c r="B74" s="2"/>
      <c r="C74" s="3"/>
    </row>
    <row r="75">
      <c r="B75" s="2"/>
      <c r="C75" s="3"/>
    </row>
    <row r="76">
      <c r="B76" s="2"/>
      <c r="C76" s="3"/>
    </row>
    <row r="77">
      <c r="B77" s="2"/>
      <c r="C77" s="3"/>
    </row>
    <row r="78">
      <c r="B78" s="2"/>
      <c r="C78" s="3"/>
    </row>
    <row r="79">
      <c r="B79" s="2"/>
      <c r="C79" s="3"/>
    </row>
    <row r="80">
      <c r="B80" s="2"/>
      <c r="C80" s="3"/>
    </row>
    <row r="81">
      <c r="B81" s="2"/>
      <c r="C81" s="3"/>
    </row>
    <row r="82">
      <c r="B82" s="2"/>
      <c r="C82" s="3"/>
    </row>
    <row r="83">
      <c r="B83" s="2"/>
      <c r="C83" s="3"/>
    </row>
    <row r="84">
      <c r="B84" s="2"/>
      <c r="C84" s="3"/>
    </row>
    <row r="85">
      <c r="B85" s="2"/>
      <c r="C85" s="3"/>
    </row>
    <row r="86">
      <c r="B86" s="2"/>
      <c r="C86" s="3"/>
    </row>
    <row r="87">
      <c r="B87" s="2"/>
      <c r="C87" s="3"/>
    </row>
    <row r="88">
      <c r="B88" s="2"/>
      <c r="C88" s="3"/>
    </row>
    <row r="89">
      <c r="B89" s="2"/>
      <c r="C89" s="3"/>
    </row>
    <row r="90">
      <c r="B90" s="2"/>
      <c r="C90" s="3"/>
    </row>
    <row r="91">
      <c r="B91" s="2"/>
      <c r="C91" s="3"/>
    </row>
    <row r="92">
      <c r="B92" s="2"/>
      <c r="C92" s="3"/>
    </row>
    <row r="93">
      <c r="B93" s="2"/>
      <c r="C93" s="3"/>
    </row>
    <row r="94">
      <c r="B94" s="2"/>
      <c r="C94" s="3"/>
    </row>
    <row r="95">
      <c r="B95" s="2"/>
      <c r="C95" s="3"/>
    </row>
    <row r="96">
      <c r="B96" s="2"/>
      <c r="C96" s="3"/>
    </row>
    <row r="97">
      <c r="B97" s="2"/>
      <c r="C97" s="3"/>
    </row>
    <row r="98">
      <c r="B98" s="2"/>
      <c r="C98" s="3"/>
    </row>
    <row r="99">
      <c r="B99" s="2"/>
      <c r="C99" s="3"/>
    </row>
    <row r="100">
      <c r="B100" s="2"/>
      <c r="C100" s="3"/>
    </row>
    <row r="101">
      <c r="B101" s="2"/>
      <c r="C101" s="3"/>
    </row>
    <row r="102">
      <c r="B102" s="2"/>
      <c r="C102" s="3"/>
    </row>
    <row r="103">
      <c r="B103" s="2"/>
      <c r="C103" s="3"/>
    </row>
    <row r="104">
      <c r="B104" s="2"/>
      <c r="C104" s="3"/>
    </row>
    <row r="105">
      <c r="B105" s="2"/>
      <c r="C105" s="3"/>
    </row>
    <row r="106">
      <c r="B106" s="2"/>
      <c r="C106" s="3"/>
    </row>
    <row r="107">
      <c r="B107" s="2"/>
      <c r="C107" s="3"/>
    </row>
    <row r="108">
      <c r="B108" s="2"/>
      <c r="C108" s="3"/>
    </row>
    <row r="109">
      <c r="B109" s="2"/>
      <c r="C109" s="3"/>
    </row>
    <row r="110">
      <c r="B110" s="2"/>
      <c r="C110" s="3"/>
    </row>
    <row r="111">
      <c r="B111" s="2"/>
      <c r="C111" s="3"/>
    </row>
    <row r="112">
      <c r="B112" s="2"/>
      <c r="C112" s="3"/>
    </row>
    <row r="113">
      <c r="B113" s="2"/>
      <c r="C113" s="3"/>
    </row>
    <row r="114">
      <c r="B114" s="2"/>
      <c r="C114" s="3"/>
    </row>
    <row r="115">
      <c r="B115" s="2"/>
      <c r="C115" s="3"/>
    </row>
    <row r="116">
      <c r="B116" s="2"/>
      <c r="C116" s="3"/>
    </row>
    <row r="117">
      <c r="B117" s="2"/>
      <c r="C117" s="3"/>
    </row>
    <row r="118">
      <c r="B118" s="2"/>
      <c r="C118" s="3"/>
    </row>
    <row r="119">
      <c r="B119" s="2"/>
      <c r="C119" s="3"/>
    </row>
    <row r="120">
      <c r="B120" s="2"/>
      <c r="C120" s="3"/>
    </row>
    <row r="121">
      <c r="B121" s="2"/>
      <c r="C121" s="3"/>
    </row>
    <row r="122">
      <c r="B122" s="2"/>
      <c r="C122" s="3"/>
    </row>
    <row r="123">
      <c r="B123" s="2"/>
      <c r="C123" s="3"/>
    </row>
    <row r="124">
      <c r="B124" s="2"/>
      <c r="C124" s="3"/>
    </row>
    <row r="125">
      <c r="B125" s="2"/>
      <c r="C125" s="3"/>
    </row>
    <row r="126">
      <c r="B126" s="2"/>
      <c r="C126" s="3"/>
    </row>
    <row r="127">
      <c r="B127" s="2"/>
      <c r="C127" s="3"/>
    </row>
    <row r="128">
      <c r="B128" s="2"/>
      <c r="C128" s="3"/>
    </row>
    <row r="129">
      <c r="B129" s="2"/>
      <c r="C129" s="3"/>
    </row>
    <row r="130">
      <c r="B130" s="2"/>
      <c r="C130" s="3"/>
    </row>
    <row r="131">
      <c r="B131" s="2"/>
      <c r="C131" s="3"/>
    </row>
    <row r="132">
      <c r="B132" s="2"/>
      <c r="C132" s="3"/>
    </row>
    <row r="133">
      <c r="B133" s="2"/>
      <c r="C133" s="3"/>
    </row>
    <row r="134">
      <c r="B134" s="2"/>
      <c r="C134" s="3"/>
    </row>
    <row r="135">
      <c r="B135" s="2"/>
      <c r="C135" s="3"/>
    </row>
    <row r="136">
      <c r="B136" s="2"/>
      <c r="C136" s="3"/>
    </row>
    <row r="137">
      <c r="B137" s="2"/>
      <c r="C137" s="3"/>
    </row>
    <row r="138">
      <c r="B138" s="2"/>
      <c r="C138" s="3"/>
    </row>
    <row r="139">
      <c r="B139" s="2"/>
      <c r="C139" s="3"/>
    </row>
    <row r="140">
      <c r="B140" s="2"/>
      <c r="C140" s="3"/>
    </row>
    <row r="141">
      <c r="B141" s="2"/>
      <c r="C141" s="3"/>
    </row>
    <row r="142">
      <c r="B142" s="2"/>
      <c r="C142" s="3"/>
    </row>
    <row r="143">
      <c r="B143" s="2"/>
      <c r="C143" s="3"/>
    </row>
    <row r="144">
      <c r="B144" s="2"/>
      <c r="C144" s="3"/>
    </row>
    <row r="145">
      <c r="B145" s="2"/>
      <c r="C145" s="3"/>
    </row>
    <row r="146">
      <c r="B146" s="2"/>
      <c r="C146" s="3"/>
    </row>
    <row r="147">
      <c r="B147" s="2"/>
      <c r="C147" s="3"/>
    </row>
    <row r="148">
      <c r="B148" s="2"/>
      <c r="C148" s="3"/>
    </row>
    <row r="149">
      <c r="B149" s="2"/>
      <c r="C149" s="3"/>
    </row>
    <row r="150">
      <c r="B150" s="2"/>
      <c r="C150" s="3"/>
    </row>
    <row r="151">
      <c r="B151" s="2"/>
      <c r="C151" s="3"/>
    </row>
    <row r="152">
      <c r="B152" s="2"/>
      <c r="C152" s="3"/>
    </row>
    <row r="153">
      <c r="B153" s="2"/>
      <c r="C153" s="3"/>
    </row>
    <row r="154">
      <c r="B154" s="2"/>
      <c r="C154" s="3"/>
    </row>
    <row r="155">
      <c r="B155" s="2"/>
      <c r="C155" s="3"/>
    </row>
    <row r="156">
      <c r="B156" s="2"/>
      <c r="C156" s="3"/>
    </row>
    <row r="157">
      <c r="B157" s="2"/>
      <c r="C157" s="3"/>
    </row>
    <row r="158">
      <c r="B158" s="2"/>
      <c r="C158" s="3"/>
    </row>
    <row r="159">
      <c r="B159" s="2"/>
      <c r="C159" s="3"/>
    </row>
    <row r="160">
      <c r="B160" s="2"/>
      <c r="C160" s="3"/>
    </row>
    <row r="161">
      <c r="B161" s="2"/>
      <c r="C161" s="3"/>
    </row>
    <row r="162">
      <c r="B162" s="2"/>
      <c r="C162" s="3"/>
    </row>
    <row r="163">
      <c r="B163" s="2"/>
      <c r="C163" s="3"/>
    </row>
    <row r="164">
      <c r="B164" s="2"/>
      <c r="C164" s="3"/>
    </row>
    <row r="165">
      <c r="B165" s="2"/>
      <c r="C165" s="3"/>
    </row>
    <row r="166">
      <c r="B166" s="2"/>
      <c r="C166" s="3"/>
    </row>
    <row r="167">
      <c r="B167" s="2"/>
      <c r="C167" s="3"/>
    </row>
    <row r="168">
      <c r="B168" s="2"/>
      <c r="C168" s="3"/>
    </row>
    <row r="169">
      <c r="B169" s="2"/>
      <c r="C169" s="3"/>
    </row>
    <row r="170">
      <c r="B170" s="2"/>
      <c r="C170" s="3"/>
    </row>
    <row r="171">
      <c r="B171" s="2"/>
      <c r="C171" s="3"/>
    </row>
    <row r="172">
      <c r="B172" s="2"/>
      <c r="C172" s="3"/>
    </row>
    <row r="173">
      <c r="B173" s="2"/>
      <c r="C173" s="3"/>
    </row>
    <row r="174">
      <c r="B174" s="2"/>
      <c r="C174" s="3"/>
    </row>
    <row r="175">
      <c r="B175" s="2"/>
      <c r="C175" s="3"/>
    </row>
    <row r="176">
      <c r="B176" s="2"/>
      <c r="C176" s="3"/>
    </row>
    <row r="177">
      <c r="B177" s="2"/>
      <c r="C177" s="3"/>
    </row>
    <row r="178">
      <c r="B178" s="2"/>
      <c r="C178" s="3"/>
    </row>
    <row r="179">
      <c r="B179" s="2"/>
      <c r="C179" s="3"/>
    </row>
    <row r="180">
      <c r="B180" s="2"/>
      <c r="C180" s="3"/>
    </row>
    <row r="181">
      <c r="B181" s="2"/>
      <c r="C181" s="3"/>
    </row>
    <row r="182">
      <c r="B182" s="2"/>
      <c r="C182" s="3"/>
    </row>
    <row r="183">
      <c r="B183" s="2"/>
      <c r="C183" s="3"/>
    </row>
    <row r="184">
      <c r="B184" s="2"/>
      <c r="C184" s="3"/>
    </row>
    <row r="185">
      <c r="B185" s="2"/>
      <c r="C185" s="3"/>
    </row>
    <row r="186">
      <c r="B186" s="2"/>
      <c r="C186" s="3"/>
    </row>
    <row r="187">
      <c r="B187" s="2"/>
      <c r="C187" s="3"/>
    </row>
    <row r="188">
      <c r="B188" s="2"/>
      <c r="C188" s="3"/>
    </row>
    <row r="189">
      <c r="B189" s="2"/>
      <c r="C189" s="3"/>
    </row>
    <row r="190">
      <c r="B190" s="2"/>
      <c r="C190" s="3"/>
    </row>
    <row r="191">
      <c r="B191" s="2"/>
      <c r="C191" s="3"/>
    </row>
    <row r="192">
      <c r="B192" s="2"/>
      <c r="C192" s="3"/>
    </row>
    <row r="193">
      <c r="B193" s="2"/>
      <c r="C193" s="3"/>
    </row>
    <row r="194">
      <c r="B194" s="2"/>
      <c r="C194" s="3"/>
    </row>
    <row r="195">
      <c r="B195" s="2"/>
      <c r="C195" s="3"/>
    </row>
    <row r="196">
      <c r="B196" s="2"/>
      <c r="C196" s="3"/>
    </row>
    <row r="197">
      <c r="B197" s="2"/>
      <c r="C197" s="3"/>
    </row>
    <row r="198">
      <c r="B198" s="2"/>
      <c r="C198" s="3"/>
    </row>
    <row r="199">
      <c r="B199" s="2"/>
      <c r="C199" s="3"/>
    </row>
    <row r="200">
      <c r="B200" s="2"/>
      <c r="C200" s="3"/>
    </row>
    <row r="201">
      <c r="B201" s="2"/>
      <c r="C201" s="3"/>
    </row>
    <row r="202">
      <c r="B202" s="2"/>
      <c r="C202" s="3"/>
    </row>
    <row r="203">
      <c r="B203" s="2"/>
      <c r="C203" s="3"/>
    </row>
    <row r="204">
      <c r="B204" s="2"/>
      <c r="C204" s="3"/>
    </row>
    <row r="205">
      <c r="B205" s="2"/>
      <c r="C205" s="3"/>
    </row>
    <row r="206">
      <c r="B206" s="2"/>
      <c r="C206" s="3"/>
    </row>
    <row r="207">
      <c r="B207" s="2"/>
      <c r="C207" s="3"/>
    </row>
    <row r="208">
      <c r="B208" s="2"/>
      <c r="C208" s="3"/>
    </row>
    <row r="209">
      <c r="B209" s="2"/>
      <c r="C209" s="3"/>
    </row>
    <row r="210">
      <c r="B210" s="2"/>
      <c r="C210" s="3"/>
    </row>
    <row r="211">
      <c r="B211" s="2"/>
      <c r="C211" s="3"/>
    </row>
    <row r="212">
      <c r="B212" s="2"/>
      <c r="C212" s="3"/>
    </row>
    <row r="213">
      <c r="B213" s="2"/>
      <c r="C213" s="3"/>
    </row>
    <row r="214">
      <c r="B214" s="2"/>
      <c r="C214" s="3"/>
    </row>
    <row r="215">
      <c r="B215" s="2"/>
      <c r="C215" s="3"/>
    </row>
    <row r="216">
      <c r="B216" s="2"/>
      <c r="C216" s="3"/>
    </row>
    <row r="217">
      <c r="B217" s="2"/>
      <c r="C217" s="3"/>
    </row>
    <row r="218">
      <c r="B218" s="2"/>
      <c r="C218" s="3"/>
    </row>
    <row r="219">
      <c r="B219" s="2"/>
      <c r="C219" s="3"/>
    </row>
    <row r="220">
      <c r="B220" s="2"/>
      <c r="C220" s="3"/>
    </row>
    <row r="221">
      <c r="B221" s="2"/>
      <c r="C221" s="3"/>
    </row>
    <row r="222">
      <c r="B222" s="2"/>
      <c r="C222" s="3"/>
    </row>
    <row r="223">
      <c r="B223" s="2"/>
      <c r="C223" s="3"/>
    </row>
    <row r="224">
      <c r="B224" s="2"/>
      <c r="C224" s="3"/>
    </row>
    <row r="225">
      <c r="B225" s="2"/>
      <c r="C225" s="3"/>
    </row>
    <row r="226">
      <c r="B226" s="2"/>
      <c r="C226" s="3"/>
    </row>
    <row r="227">
      <c r="B227" s="2"/>
      <c r="C227" s="3"/>
    </row>
    <row r="228">
      <c r="B228" s="2"/>
      <c r="C228" s="3"/>
    </row>
    <row r="229">
      <c r="B229" s="2"/>
      <c r="C229" s="3"/>
    </row>
    <row r="230">
      <c r="B230" s="2"/>
      <c r="C230" s="3"/>
    </row>
    <row r="231">
      <c r="B231" s="2"/>
      <c r="C231" s="3"/>
    </row>
    <row r="232">
      <c r="B232" s="2"/>
      <c r="C232" s="3"/>
    </row>
    <row r="233">
      <c r="B233" s="2"/>
      <c r="C233" s="3"/>
    </row>
    <row r="234">
      <c r="B234" s="2"/>
      <c r="C234" s="3"/>
    </row>
    <row r="235">
      <c r="B235" s="2"/>
      <c r="C235" s="3"/>
    </row>
    <row r="236">
      <c r="B236" s="2"/>
      <c r="C236" s="3"/>
    </row>
    <row r="237">
      <c r="B237" s="2"/>
      <c r="C237" s="3"/>
    </row>
    <row r="238">
      <c r="B238" s="2"/>
      <c r="C238" s="3"/>
    </row>
    <row r="239">
      <c r="B239" s="2"/>
      <c r="C239" s="3"/>
    </row>
    <row r="240">
      <c r="B240" s="2"/>
      <c r="C240" s="3"/>
    </row>
    <row r="241">
      <c r="B241" s="2"/>
      <c r="C241" s="3"/>
    </row>
    <row r="242">
      <c r="B242" s="2"/>
      <c r="C242" s="3"/>
    </row>
    <row r="243">
      <c r="B243" s="2"/>
      <c r="C243" s="3"/>
    </row>
    <row r="244">
      <c r="B244" s="2"/>
      <c r="C244" s="3"/>
    </row>
    <row r="245">
      <c r="B245" s="2"/>
      <c r="C245" s="3"/>
    </row>
    <row r="246">
      <c r="B246" s="2"/>
      <c r="C246" s="3"/>
    </row>
    <row r="247">
      <c r="B247" s="2"/>
      <c r="C247" s="3"/>
    </row>
    <row r="248">
      <c r="B248" s="2"/>
      <c r="C248" s="3"/>
    </row>
    <row r="249">
      <c r="B249" s="2"/>
      <c r="C249" s="3"/>
    </row>
    <row r="250">
      <c r="B250" s="2"/>
      <c r="C250" s="3"/>
    </row>
    <row r="251">
      <c r="B251" s="2"/>
      <c r="C251" s="3"/>
    </row>
    <row r="252">
      <c r="B252" s="2"/>
      <c r="C252" s="3"/>
    </row>
    <row r="253">
      <c r="B253" s="2"/>
      <c r="C253" s="3"/>
    </row>
    <row r="254">
      <c r="B254" s="2"/>
      <c r="C254" s="3"/>
    </row>
    <row r="255">
      <c r="B255" s="2"/>
      <c r="C255" s="3"/>
    </row>
    <row r="256">
      <c r="B256" s="2"/>
      <c r="C256" s="3"/>
    </row>
    <row r="257">
      <c r="B257" s="2"/>
      <c r="C257" s="3"/>
    </row>
    <row r="258">
      <c r="B258" s="2"/>
      <c r="C258" s="3"/>
    </row>
    <row r="259">
      <c r="B259" s="2"/>
      <c r="C259" s="3"/>
    </row>
    <row r="260">
      <c r="B260" s="2"/>
      <c r="C260" s="3"/>
    </row>
    <row r="261">
      <c r="B261" s="2"/>
      <c r="C261" s="3"/>
    </row>
    <row r="262">
      <c r="B262" s="2"/>
      <c r="C262" s="3"/>
    </row>
    <row r="263">
      <c r="B263" s="2"/>
      <c r="C263" s="3"/>
    </row>
    <row r="264">
      <c r="B264" s="2"/>
      <c r="C264" s="3"/>
    </row>
    <row r="265">
      <c r="B265" s="2"/>
      <c r="C265" s="3"/>
    </row>
    <row r="266">
      <c r="B266" s="2"/>
      <c r="C266" s="3"/>
    </row>
    <row r="267">
      <c r="B267" s="2"/>
      <c r="C267" s="3"/>
    </row>
    <row r="268">
      <c r="B268" s="2"/>
      <c r="C268" s="3"/>
    </row>
    <row r="269">
      <c r="B269" s="2"/>
      <c r="C269" s="3"/>
    </row>
    <row r="270">
      <c r="B270" s="2"/>
      <c r="C270" s="3"/>
    </row>
    <row r="271">
      <c r="B271" s="2"/>
      <c r="C271" s="3"/>
    </row>
    <row r="272">
      <c r="B272" s="2"/>
      <c r="C272" s="3"/>
    </row>
    <row r="273">
      <c r="B273" s="2"/>
      <c r="C273" s="3"/>
    </row>
    <row r="274">
      <c r="B274" s="2"/>
      <c r="C274" s="3"/>
    </row>
    <row r="275">
      <c r="B275" s="2"/>
      <c r="C275" s="3"/>
    </row>
    <row r="276">
      <c r="B276" s="2"/>
      <c r="C276" s="3"/>
    </row>
    <row r="277">
      <c r="B277" s="2"/>
      <c r="C277" s="3"/>
    </row>
    <row r="278">
      <c r="B278" s="2"/>
      <c r="C278" s="3"/>
    </row>
    <row r="279">
      <c r="B279" s="2"/>
      <c r="C279" s="3"/>
    </row>
    <row r="280">
      <c r="B280" s="2"/>
      <c r="C280" s="3"/>
    </row>
    <row r="281">
      <c r="B281" s="2"/>
      <c r="C281" s="3"/>
    </row>
    <row r="282">
      <c r="B282" s="2"/>
      <c r="C282" s="3"/>
    </row>
    <row r="283">
      <c r="B283" s="2"/>
      <c r="C283" s="3"/>
    </row>
    <row r="284">
      <c r="B284" s="2"/>
      <c r="C284" s="3"/>
    </row>
    <row r="285">
      <c r="B285" s="2"/>
      <c r="C285" s="3"/>
    </row>
    <row r="286">
      <c r="B286" s="2"/>
      <c r="C286" s="3"/>
    </row>
    <row r="287">
      <c r="B287" s="2"/>
      <c r="C287" s="3"/>
    </row>
    <row r="288">
      <c r="B288" s="2"/>
      <c r="C288" s="3"/>
    </row>
    <row r="289">
      <c r="B289" s="2"/>
      <c r="C289" s="3"/>
    </row>
    <row r="290">
      <c r="B290" s="2"/>
      <c r="C290" s="3"/>
    </row>
    <row r="291">
      <c r="B291" s="2"/>
      <c r="C291" s="3"/>
    </row>
    <row r="292">
      <c r="B292" s="2"/>
      <c r="C292" s="3"/>
    </row>
    <row r="293">
      <c r="B293" s="2"/>
      <c r="C293" s="3"/>
    </row>
    <row r="294">
      <c r="B294" s="2"/>
      <c r="C294" s="3"/>
    </row>
    <row r="295">
      <c r="B295" s="2"/>
      <c r="C295" s="3"/>
    </row>
    <row r="296">
      <c r="B296" s="2"/>
      <c r="C296" s="3"/>
    </row>
    <row r="297">
      <c r="B297" s="2"/>
      <c r="C297" s="3"/>
    </row>
    <row r="298">
      <c r="B298" s="2"/>
      <c r="C298" s="3"/>
    </row>
    <row r="299">
      <c r="B299" s="2"/>
      <c r="C299" s="3"/>
    </row>
    <row r="300">
      <c r="B300" s="2"/>
      <c r="C300" s="3"/>
    </row>
    <row r="301">
      <c r="B301" s="2"/>
      <c r="C301" s="3"/>
    </row>
    <row r="302">
      <c r="B302" s="2"/>
      <c r="C302" s="3"/>
    </row>
    <row r="303">
      <c r="B303" s="2"/>
      <c r="C303" s="3"/>
    </row>
    <row r="304">
      <c r="B304" s="2"/>
      <c r="C304" s="3"/>
    </row>
    <row r="305">
      <c r="B305" s="2"/>
      <c r="C305" s="3"/>
    </row>
    <row r="306">
      <c r="B306" s="2"/>
      <c r="C306" s="3"/>
    </row>
    <row r="307">
      <c r="B307" s="2"/>
      <c r="C307" s="3"/>
    </row>
    <row r="308">
      <c r="B308" s="2"/>
      <c r="C308" s="3"/>
    </row>
    <row r="309">
      <c r="B309" s="2"/>
      <c r="C309" s="3"/>
    </row>
    <row r="310">
      <c r="B310" s="2"/>
      <c r="C310" s="3"/>
    </row>
    <row r="311">
      <c r="B311" s="2"/>
      <c r="C311" s="3"/>
    </row>
    <row r="312">
      <c r="B312" s="2"/>
      <c r="C312" s="3"/>
    </row>
    <row r="313">
      <c r="B313" s="2"/>
      <c r="C313" s="3"/>
    </row>
    <row r="314">
      <c r="B314" s="2"/>
      <c r="C314" s="3"/>
    </row>
    <row r="315">
      <c r="B315" s="2"/>
      <c r="C315" s="3"/>
    </row>
    <row r="316">
      <c r="B316" s="2"/>
      <c r="C316" s="3"/>
    </row>
    <row r="317">
      <c r="B317" s="2"/>
      <c r="C317" s="3"/>
    </row>
    <row r="318">
      <c r="B318" s="2"/>
      <c r="C318" s="3"/>
    </row>
    <row r="319">
      <c r="B319" s="2"/>
      <c r="C319" s="3"/>
    </row>
    <row r="320">
      <c r="B320" s="2"/>
      <c r="C320" s="3"/>
    </row>
    <row r="321">
      <c r="B321" s="2"/>
      <c r="C321" s="3"/>
    </row>
    <row r="322">
      <c r="B322" s="2"/>
      <c r="C322" s="3"/>
    </row>
    <row r="323">
      <c r="B323" s="2"/>
      <c r="C323" s="3"/>
    </row>
    <row r="324">
      <c r="B324" s="2"/>
      <c r="C324" s="3"/>
    </row>
    <row r="325">
      <c r="B325" s="2"/>
      <c r="C325" s="3"/>
    </row>
    <row r="326">
      <c r="B326" s="2"/>
      <c r="C326" s="3"/>
    </row>
    <row r="327">
      <c r="B327" s="2"/>
      <c r="C327" s="3"/>
    </row>
    <row r="328">
      <c r="B328" s="2"/>
      <c r="C328" s="3"/>
    </row>
    <row r="329">
      <c r="B329" s="2"/>
      <c r="C329" s="3"/>
    </row>
    <row r="330">
      <c r="B330" s="2"/>
      <c r="C330" s="3"/>
    </row>
    <row r="331">
      <c r="B331" s="2"/>
      <c r="C331" s="3"/>
    </row>
    <row r="332">
      <c r="B332" s="2"/>
      <c r="C332" s="3"/>
    </row>
    <row r="333">
      <c r="B333" s="2"/>
      <c r="C333" s="3"/>
    </row>
    <row r="334">
      <c r="B334" s="2"/>
      <c r="C334" s="3"/>
    </row>
    <row r="335">
      <c r="B335" s="2"/>
      <c r="C335" s="3"/>
    </row>
    <row r="336">
      <c r="B336" s="2"/>
      <c r="C336" s="3"/>
    </row>
    <row r="337">
      <c r="B337" s="2"/>
      <c r="C337" s="3"/>
    </row>
    <row r="338">
      <c r="B338" s="2"/>
      <c r="C338" s="3"/>
    </row>
    <row r="339">
      <c r="B339" s="2"/>
      <c r="C339" s="3"/>
    </row>
    <row r="340">
      <c r="B340" s="2"/>
      <c r="C340" s="3"/>
    </row>
    <row r="341">
      <c r="B341" s="2"/>
      <c r="C341" s="3"/>
    </row>
    <row r="342">
      <c r="B342" s="2"/>
      <c r="C342" s="3"/>
    </row>
    <row r="343">
      <c r="B343" s="2"/>
      <c r="C343" s="3"/>
    </row>
    <row r="344">
      <c r="B344" s="2"/>
      <c r="C344" s="3"/>
    </row>
    <row r="345">
      <c r="B345" s="2"/>
      <c r="C345" s="3"/>
    </row>
    <row r="346">
      <c r="B346" s="2"/>
      <c r="C346" s="3"/>
    </row>
    <row r="347">
      <c r="B347" s="2"/>
      <c r="C347" s="3"/>
    </row>
    <row r="348">
      <c r="B348" s="2"/>
      <c r="C348" s="3"/>
    </row>
    <row r="349">
      <c r="B349" s="2"/>
      <c r="C349" s="3"/>
    </row>
    <row r="350">
      <c r="B350" s="2"/>
      <c r="C350" s="3"/>
    </row>
    <row r="351">
      <c r="B351" s="2"/>
      <c r="C351" s="3"/>
    </row>
    <row r="352">
      <c r="B352" s="2"/>
      <c r="C352" s="3"/>
    </row>
    <row r="353">
      <c r="B353" s="2"/>
      <c r="C353" s="3"/>
    </row>
    <row r="354">
      <c r="B354" s="2"/>
      <c r="C354" s="3"/>
    </row>
    <row r="355">
      <c r="B355" s="2"/>
      <c r="C355" s="3"/>
    </row>
    <row r="356">
      <c r="B356" s="2"/>
      <c r="C356" s="3"/>
    </row>
    <row r="357">
      <c r="B357" s="2"/>
      <c r="C357" s="3"/>
    </row>
    <row r="358">
      <c r="B358" s="2"/>
      <c r="C358" s="3"/>
    </row>
    <row r="359">
      <c r="B359" s="2"/>
      <c r="C359" s="3"/>
    </row>
    <row r="360">
      <c r="B360" s="2"/>
      <c r="C360" s="3"/>
    </row>
    <row r="361">
      <c r="B361" s="2"/>
      <c r="C361" s="3"/>
    </row>
    <row r="362">
      <c r="B362" s="2"/>
      <c r="C362" s="3"/>
    </row>
    <row r="363">
      <c r="B363" s="2"/>
      <c r="C363" s="3"/>
    </row>
    <row r="364">
      <c r="B364" s="2"/>
      <c r="C364" s="3"/>
    </row>
    <row r="365">
      <c r="B365" s="2"/>
      <c r="C365" s="3"/>
    </row>
    <row r="366">
      <c r="B366" s="2"/>
      <c r="C366" s="3"/>
    </row>
    <row r="367">
      <c r="B367" s="2"/>
      <c r="C367" s="3"/>
    </row>
    <row r="368">
      <c r="B368" s="2"/>
      <c r="C368" s="3"/>
    </row>
    <row r="369">
      <c r="B369" s="2"/>
      <c r="C369" s="3"/>
    </row>
    <row r="370">
      <c r="B370" s="2"/>
      <c r="C370" s="3"/>
    </row>
    <row r="371">
      <c r="B371" s="2"/>
      <c r="C371" s="3"/>
    </row>
    <row r="372">
      <c r="B372" s="2"/>
      <c r="C372" s="3"/>
    </row>
    <row r="373">
      <c r="B373" s="2"/>
      <c r="C373" s="3"/>
    </row>
    <row r="374">
      <c r="B374" s="2"/>
      <c r="C374" s="3"/>
    </row>
    <row r="375">
      <c r="B375" s="2"/>
      <c r="C375" s="3"/>
    </row>
    <row r="376">
      <c r="B376" s="2"/>
      <c r="C376" s="3"/>
    </row>
    <row r="377">
      <c r="B377" s="2"/>
      <c r="C377" s="3"/>
    </row>
    <row r="378">
      <c r="B378" s="2"/>
      <c r="C378" s="3"/>
    </row>
    <row r="379">
      <c r="B379" s="2"/>
      <c r="C379" s="3"/>
    </row>
    <row r="380">
      <c r="B380" s="2"/>
      <c r="C380" s="3"/>
    </row>
    <row r="381">
      <c r="B381" s="2"/>
      <c r="C381" s="3"/>
    </row>
    <row r="382">
      <c r="B382" s="2"/>
      <c r="C382" s="3"/>
    </row>
    <row r="383">
      <c r="B383" s="2"/>
      <c r="C383" s="3"/>
    </row>
    <row r="384">
      <c r="B384" s="2"/>
      <c r="C384" s="3"/>
    </row>
    <row r="385">
      <c r="B385" s="2"/>
      <c r="C385" s="3"/>
    </row>
    <row r="386">
      <c r="B386" s="2"/>
      <c r="C386" s="3"/>
    </row>
    <row r="387">
      <c r="B387" s="2"/>
      <c r="C387" s="3"/>
    </row>
    <row r="388">
      <c r="B388" s="2"/>
      <c r="C388" s="3"/>
    </row>
    <row r="389">
      <c r="B389" s="2"/>
      <c r="C389" s="3"/>
    </row>
    <row r="390">
      <c r="B390" s="2"/>
      <c r="C390" s="3"/>
    </row>
    <row r="391">
      <c r="B391" s="2"/>
      <c r="C391" s="3"/>
    </row>
    <row r="392">
      <c r="B392" s="2"/>
      <c r="C392" s="3"/>
    </row>
    <row r="393">
      <c r="B393" s="2"/>
      <c r="C393" s="3"/>
    </row>
    <row r="394">
      <c r="B394" s="2"/>
      <c r="C394" s="3"/>
    </row>
    <row r="395">
      <c r="B395" s="2"/>
      <c r="C395" s="3"/>
    </row>
    <row r="396">
      <c r="B396" s="2"/>
      <c r="C396" s="3"/>
    </row>
    <row r="397">
      <c r="B397" s="2"/>
      <c r="C397" s="3"/>
    </row>
    <row r="398">
      <c r="B398" s="2"/>
      <c r="C398" s="3"/>
    </row>
    <row r="399">
      <c r="B399" s="2"/>
      <c r="C399" s="3"/>
    </row>
    <row r="400">
      <c r="B400" s="2"/>
      <c r="C400" s="3"/>
    </row>
    <row r="401">
      <c r="B401" s="2"/>
      <c r="C401" s="3"/>
    </row>
    <row r="402">
      <c r="B402" s="2"/>
      <c r="C402" s="3"/>
    </row>
    <row r="403">
      <c r="B403" s="2"/>
      <c r="C403" s="3"/>
    </row>
    <row r="404">
      <c r="B404" s="2"/>
      <c r="C404" s="3"/>
    </row>
    <row r="405">
      <c r="B405" s="2"/>
      <c r="C405" s="3"/>
    </row>
    <row r="406">
      <c r="B406" s="2"/>
      <c r="C406" s="3"/>
    </row>
    <row r="407">
      <c r="B407" s="2"/>
      <c r="C407" s="3"/>
    </row>
    <row r="408">
      <c r="B408" s="2"/>
      <c r="C408" s="3"/>
    </row>
    <row r="409">
      <c r="B409" s="2"/>
      <c r="C409" s="3"/>
    </row>
    <row r="410">
      <c r="B410" s="2"/>
      <c r="C410" s="3"/>
    </row>
    <row r="411">
      <c r="B411" s="2"/>
      <c r="C411" s="3"/>
    </row>
    <row r="412">
      <c r="B412" s="2"/>
      <c r="C412" s="3"/>
    </row>
    <row r="413">
      <c r="B413" s="2"/>
      <c r="C413" s="3"/>
    </row>
    <row r="414">
      <c r="B414" s="2"/>
      <c r="C414" s="3"/>
    </row>
    <row r="415">
      <c r="B415" s="2"/>
      <c r="C415" s="3"/>
    </row>
    <row r="416">
      <c r="B416" s="2"/>
      <c r="C416" s="3"/>
    </row>
    <row r="417">
      <c r="B417" s="2"/>
      <c r="C417" s="3"/>
    </row>
    <row r="418">
      <c r="B418" s="2"/>
      <c r="C418" s="3"/>
    </row>
    <row r="419">
      <c r="B419" s="2"/>
      <c r="C419" s="3"/>
    </row>
    <row r="420">
      <c r="B420" s="2"/>
      <c r="C420" s="3"/>
    </row>
    <row r="421">
      <c r="B421" s="2"/>
      <c r="C421" s="3"/>
    </row>
    <row r="422">
      <c r="B422" s="2"/>
      <c r="C422" s="3"/>
    </row>
    <row r="423">
      <c r="B423" s="2"/>
      <c r="C423" s="3"/>
    </row>
    <row r="424">
      <c r="B424" s="2"/>
      <c r="C424" s="3"/>
    </row>
    <row r="425">
      <c r="B425" s="2"/>
      <c r="C425" s="3"/>
    </row>
    <row r="426">
      <c r="B426" s="2"/>
      <c r="C426" s="3"/>
    </row>
    <row r="427">
      <c r="B427" s="2"/>
      <c r="C427" s="3"/>
    </row>
    <row r="428">
      <c r="B428" s="2"/>
      <c r="C428" s="3"/>
    </row>
    <row r="429">
      <c r="B429" s="2"/>
      <c r="C429" s="3"/>
    </row>
    <row r="430">
      <c r="B430" s="2"/>
      <c r="C430" s="3"/>
    </row>
    <row r="431">
      <c r="B431" s="2"/>
      <c r="C431" s="3"/>
    </row>
    <row r="432">
      <c r="B432" s="2"/>
      <c r="C432" s="3"/>
    </row>
    <row r="433">
      <c r="B433" s="2"/>
      <c r="C433" s="3"/>
    </row>
    <row r="434">
      <c r="B434" s="2"/>
      <c r="C434" s="3"/>
    </row>
    <row r="435">
      <c r="B435" s="2"/>
      <c r="C435" s="3"/>
    </row>
    <row r="436">
      <c r="B436" s="2"/>
      <c r="C436" s="3"/>
    </row>
    <row r="437">
      <c r="B437" s="2"/>
      <c r="C437" s="3"/>
    </row>
    <row r="438">
      <c r="B438" s="2"/>
      <c r="C438" s="3"/>
    </row>
    <row r="439">
      <c r="B439" s="2"/>
      <c r="C439" s="3"/>
    </row>
    <row r="440">
      <c r="B440" s="2"/>
      <c r="C440" s="3"/>
    </row>
    <row r="441">
      <c r="B441" s="2"/>
      <c r="C441" s="3"/>
    </row>
    <row r="442">
      <c r="B442" s="2"/>
      <c r="C442" s="3"/>
    </row>
    <row r="443">
      <c r="B443" s="2"/>
      <c r="C443" s="3"/>
    </row>
    <row r="444">
      <c r="B444" s="2"/>
      <c r="C444" s="3"/>
    </row>
    <row r="445">
      <c r="B445" s="2"/>
      <c r="C445" s="3"/>
    </row>
    <row r="446">
      <c r="B446" s="2"/>
      <c r="C446" s="3"/>
    </row>
    <row r="447">
      <c r="B447" s="2"/>
      <c r="C447" s="3"/>
    </row>
    <row r="448">
      <c r="B448" s="2"/>
      <c r="C448" s="3"/>
    </row>
    <row r="449">
      <c r="B449" s="2"/>
      <c r="C449" s="3"/>
    </row>
    <row r="450">
      <c r="B450" s="2"/>
      <c r="C450" s="3"/>
    </row>
    <row r="451">
      <c r="B451" s="2"/>
      <c r="C451" s="3"/>
    </row>
    <row r="452">
      <c r="B452" s="2"/>
      <c r="C452" s="3"/>
    </row>
    <row r="453">
      <c r="B453" s="2"/>
      <c r="C453" s="3"/>
    </row>
    <row r="454">
      <c r="B454" s="2"/>
      <c r="C454" s="3"/>
    </row>
    <row r="455">
      <c r="B455" s="2"/>
      <c r="C455" s="3"/>
    </row>
    <row r="456">
      <c r="B456" s="2"/>
      <c r="C456" s="3"/>
    </row>
    <row r="457">
      <c r="B457" s="2"/>
      <c r="C457" s="3"/>
    </row>
    <row r="458">
      <c r="B458" s="2"/>
      <c r="C458" s="3"/>
    </row>
    <row r="459">
      <c r="B459" s="2"/>
      <c r="C459" s="3"/>
    </row>
    <row r="460">
      <c r="B460" s="2"/>
      <c r="C460" s="3"/>
    </row>
    <row r="461">
      <c r="B461" s="2"/>
      <c r="C461" s="3"/>
    </row>
    <row r="462">
      <c r="B462" s="2"/>
      <c r="C462" s="3"/>
    </row>
    <row r="463">
      <c r="B463" s="2"/>
      <c r="C463" s="3"/>
    </row>
    <row r="464">
      <c r="B464" s="2"/>
      <c r="C464" s="3"/>
    </row>
    <row r="465">
      <c r="B465" s="2"/>
      <c r="C465" s="3"/>
    </row>
    <row r="466">
      <c r="B466" s="2"/>
      <c r="C466" s="3"/>
    </row>
    <row r="467">
      <c r="B467" s="2"/>
      <c r="C467" s="3"/>
    </row>
    <row r="468">
      <c r="B468" s="2"/>
      <c r="C468" s="3"/>
    </row>
    <row r="469">
      <c r="B469" s="2"/>
      <c r="C469" s="3"/>
    </row>
    <row r="470">
      <c r="B470" s="2"/>
      <c r="C470" s="3"/>
    </row>
    <row r="471">
      <c r="B471" s="2"/>
      <c r="C471" s="3"/>
    </row>
    <row r="472">
      <c r="B472" s="2"/>
      <c r="C472" s="3"/>
    </row>
    <row r="473">
      <c r="B473" s="2"/>
      <c r="C473" s="3"/>
    </row>
    <row r="474">
      <c r="B474" s="2"/>
      <c r="C474" s="3"/>
    </row>
    <row r="475">
      <c r="B475" s="2"/>
      <c r="C475" s="3"/>
    </row>
    <row r="476">
      <c r="B476" s="2"/>
      <c r="C476" s="3"/>
    </row>
    <row r="477">
      <c r="B477" s="2"/>
      <c r="C477" s="3"/>
    </row>
    <row r="478">
      <c r="B478" s="2"/>
      <c r="C478" s="3"/>
    </row>
    <row r="479">
      <c r="B479" s="2"/>
      <c r="C479" s="3"/>
    </row>
    <row r="480">
      <c r="B480" s="2"/>
      <c r="C480" s="3"/>
    </row>
    <row r="481">
      <c r="B481" s="2"/>
      <c r="C481" s="3"/>
    </row>
    <row r="482">
      <c r="B482" s="2"/>
      <c r="C482" s="3"/>
    </row>
    <row r="483">
      <c r="B483" s="2"/>
      <c r="C483" s="3"/>
    </row>
    <row r="484">
      <c r="B484" s="2"/>
      <c r="C484" s="3"/>
    </row>
    <row r="485">
      <c r="B485" s="2"/>
      <c r="C485" s="3"/>
    </row>
    <row r="486">
      <c r="B486" s="2"/>
      <c r="C486" s="3"/>
    </row>
    <row r="487">
      <c r="B487" s="2"/>
      <c r="C487" s="3"/>
    </row>
    <row r="488">
      <c r="B488" s="2"/>
      <c r="C488" s="3"/>
    </row>
    <row r="489">
      <c r="B489" s="2"/>
      <c r="C489" s="3"/>
    </row>
    <row r="490">
      <c r="B490" s="2"/>
      <c r="C490" s="3"/>
    </row>
    <row r="491">
      <c r="B491" s="2"/>
      <c r="C491" s="3"/>
    </row>
    <row r="492">
      <c r="B492" s="2"/>
      <c r="C492" s="3"/>
    </row>
    <row r="493">
      <c r="B493" s="2"/>
      <c r="C493" s="3"/>
    </row>
    <row r="494">
      <c r="B494" s="2"/>
      <c r="C494" s="3"/>
    </row>
    <row r="495">
      <c r="B495" s="2"/>
      <c r="C495" s="3"/>
    </row>
    <row r="496">
      <c r="B496" s="2"/>
      <c r="C496" s="3"/>
    </row>
    <row r="497">
      <c r="B497" s="2"/>
      <c r="C497" s="3"/>
    </row>
    <row r="498">
      <c r="B498" s="2"/>
      <c r="C498" s="3"/>
    </row>
    <row r="499">
      <c r="B499" s="2"/>
      <c r="C499" s="3"/>
    </row>
    <row r="500">
      <c r="B500" s="2"/>
      <c r="C500" s="3"/>
    </row>
    <row r="501">
      <c r="B501" s="2"/>
      <c r="C501" s="3"/>
    </row>
    <row r="502">
      <c r="B502" s="2"/>
      <c r="C502" s="3"/>
    </row>
    <row r="503">
      <c r="B503" s="2"/>
      <c r="C503" s="3"/>
    </row>
    <row r="504">
      <c r="B504" s="2"/>
      <c r="C504" s="3"/>
    </row>
    <row r="505">
      <c r="B505" s="2"/>
      <c r="C505" s="3"/>
    </row>
    <row r="506">
      <c r="B506" s="2"/>
      <c r="C506" s="3"/>
    </row>
    <row r="507">
      <c r="B507" s="2"/>
      <c r="C507" s="3"/>
    </row>
    <row r="508">
      <c r="B508" s="2"/>
      <c r="C508" s="3"/>
    </row>
    <row r="509">
      <c r="B509" s="2"/>
      <c r="C509" s="3"/>
    </row>
    <row r="510">
      <c r="B510" s="2"/>
      <c r="C510" s="3"/>
    </row>
    <row r="511">
      <c r="B511" s="2"/>
      <c r="C511" s="3"/>
    </row>
    <row r="512">
      <c r="B512" s="2"/>
      <c r="C512" s="3"/>
    </row>
    <row r="513">
      <c r="B513" s="2"/>
      <c r="C513" s="3"/>
    </row>
    <row r="514">
      <c r="B514" s="2"/>
      <c r="C514" s="3"/>
    </row>
    <row r="515">
      <c r="B515" s="2"/>
      <c r="C515" s="3"/>
    </row>
    <row r="516">
      <c r="B516" s="2"/>
      <c r="C516" s="3"/>
    </row>
    <row r="517">
      <c r="B517" s="2"/>
      <c r="C517" s="3"/>
    </row>
    <row r="518">
      <c r="B518" s="2"/>
      <c r="C518" s="3"/>
    </row>
    <row r="519">
      <c r="B519" s="2"/>
      <c r="C519" s="3"/>
    </row>
    <row r="520">
      <c r="B520" s="2"/>
      <c r="C520" s="3"/>
    </row>
    <row r="521">
      <c r="B521" s="2"/>
      <c r="C521" s="3"/>
    </row>
    <row r="522">
      <c r="B522" s="2"/>
      <c r="C522" s="3"/>
    </row>
    <row r="523">
      <c r="B523" s="2"/>
      <c r="C523" s="3"/>
    </row>
    <row r="524">
      <c r="B524" s="2"/>
      <c r="C524" s="3"/>
    </row>
    <row r="525">
      <c r="B525" s="2"/>
      <c r="C525" s="3"/>
    </row>
    <row r="526">
      <c r="B526" s="2"/>
      <c r="C526" s="3"/>
    </row>
    <row r="527">
      <c r="B527" s="2"/>
      <c r="C527" s="3"/>
    </row>
    <row r="528">
      <c r="B528" s="2"/>
      <c r="C528" s="3"/>
    </row>
    <row r="529">
      <c r="B529" s="2"/>
      <c r="C529" s="3"/>
    </row>
    <row r="530">
      <c r="B530" s="2"/>
      <c r="C530" s="3"/>
    </row>
    <row r="531">
      <c r="B531" s="2"/>
      <c r="C531" s="3"/>
    </row>
    <row r="532">
      <c r="B532" s="2"/>
      <c r="C532" s="3"/>
    </row>
    <row r="533">
      <c r="B533" s="2"/>
      <c r="C533" s="3"/>
    </row>
    <row r="534">
      <c r="B534" s="2"/>
      <c r="C534" s="3"/>
    </row>
    <row r="535">
      <c r="B535" s="2"/>
      <c r="C535" s="3"/>
    </row>
    <row r="536">
      <c r="B536" s="2"/>
      <c r="C536" s="3"/>
    </row>
    <row r="537">
      <c r="B537" s="2"/>
      <c r="C537" s="3"/>
    </row>
    <row r="538">
      <c r="B538" s="2"/>
      <c r="C538" s="3"/>
    </row>
    <row r="539">
      <c r="B539" s="2"/>
      <c r="C539" s="3"/>
    </row>
    <row r="540">
      <c r="B540" s="2"/>
      <c r="C540" s="3"/>
    </row>
    <row r="541">
      <c r="B541" s="2"/>
      <c r="C541" s="3"/>
    </row>
    <row r="542">
      <c r="B542" s="2"/>
      <c r="C542" s="3"/>
    </row>
    <row r="543">
      <c r="B543" s="2"/>
      <c r="C543" s="3"/>
    </row>
    <row r="544">
      <c r="B544" s="2"/>
      <c r="C544" s="3"/>
    </row>
    <row r="545">
      <c r="B545" s="2"/>
      <c r="C545" s="3"/>
    </row>
    <row r="546">
      <c r="B546" s="2"/>
      <c r="C546" s="3"/>
    </row>
    <row r="547">
      <c r="B547" s="2"/>
      <c r="C547" s="3"/>
    </row>
    <row r="548">
      <c r="B548" s="2"/>
      <c r="C548" s="3"/>
    </row>
    <row r="549">
      <c r="B549" s="2"/>
      <c r="C549" s="3"/>
    </row>
    <row r="550">
      <c r="B550" s="2"/>
      <c r="C550" s="3"/>
    </row>
    <row r="551">
      <c r="B551" s="2"/>
      <c r="C551" s="3"/>
    </row>
    <row r="552">
      <c r="B552" s="2"/>
      <c r="C552" s="3"/>
    </row>
    <row r="553">
      <c r="B553" s="2"/>
      <c r="C553" s="3"/>
    </row>
    <row r="554">
      <c r="B554" s="2"/>
      <c r="C554" s="3"/>
    </row>
    <row r="555">
      <c r="B555" s="2"/>
      <c r="C555" s="3"/>
    </row>
    <row r="556">
      <c r="B556" s="2"/>
      <c r="C556" s="3"/>
    </row>
    <row r="557">
      <c r="B557" s="2"/>
      <c r="C557" s="3"/>
    </row>
    <row r="558">
      <c r="B558" s="2"/>
      <c r="C558" s="3"/>
    </row>
    <row r="559">
      <c r="B559" s="2"/>
      <c r="C559" s="3"/>
    </row>
    <row r="560">
      <c r="B560" s="2"/>
      <c r="C560" s="3"/>
    </row>
    <row r="561">
      <c r="B561" s="2"/>
      <c r="C561" s="3"/>
    </row>
    <row r="562">
      <c r="B562" s="2"/>
      <c r="C562" s="3"/>
    </row>
    <row r="563">
      <c r="B563" s="2"/>
      <c r="C563" s="3"/>
    </row>
    <row r="564">
      <c r="B564" s="2"/>
      <c r="C564" s="3"/>
    </row>
    <row r="565">
      <c r="B565" s="2"/>
      <c r="C565" s="3"/>
    </row>
    <row r="566">
      <c r="B566" s="2"/>
      <c r="C566" s="3"/>
    </row>
    <row r="567">
      <c r="B567" s="2"/>
      <c r="C567" s="3"/>
    </row>
    <row r="568">
      <c r="B568" s="2"/>
      <c r="C568" s="3"/>
    </row>
    <row r="569">
      <c r="B569" s="2"/>
      <c r="C569" s="3"/>
    </row>
    <row r="570">
      <c r="B570" s="2"/>
      <c r="C570" s="3"/>
    </row>
    <row r="571">
      <c r="B571" s="2"/>
      <c r="C571" s="3"/>
    </row>
    <row r="572">
      <c r="B572" s="2"/>
      <c r="C572" s="3"/>
    </row>
    <row r="573">
      <c r="B573" s="2"/>
      <c r="C573" s="3"/>
    </row>
    <row r="574">
      <c r="B574" s="2"/>
      <c r="C574" s="3"/>
    </row>
    <row r="575">
      <c r="B575" s="2"/>
      <c r="C575" s="3"/>
    </row>
    <row r="576">
      <c r="B576" s="2"/>
      <c r="C576" s="3"/>
    </row>
    <row r="577">
      <c r="B577" s="2"/>
      <c r="C577" s="3"/>
    </row>
    <row r="578">
      <c r="B578" s="2"/>
      <c r="C578" s="3"/>
    </row>
    <row r="579">
      <c r="B579" s="2"/>
      <c r="C579" s="3"/>
    </row>
    <row r="580">
      <c r="B580" s="2"/>
      <c r="C580" s="3"/>
    </row>
    <row r="581">
      <c r="B581" s="2"/>
      <c r="C581" s="3"/>
    </row>
    <row r="582">
      <c r="B582" s="2"/>
      <c r="C582" s="3"/>
    </row>
    <row r="583">
      <c r="B583" s="2"/>
      <c r="C583" s="3"/>
    </row>
    <row r="584">
      <c r="B584" s="2"/>
      <c r="C584" s="3"/>
    </row>
    <row r="585">
      <c r="B585" s="2"/>
      <c r="C585" s="3"/>
    </row>
    <row r="586">
      <c r="B586" s="2"/>
      <c r="C586" s="3"/>
    </row>
    <row r="587">
      <c r="B587" s="2"/>
      <c r="C587" s="3"/>
    </row>
    <row r="588">
      <c r="B588" s="2"/>
      <c r="C588" s="3"/>
    </row>
    <row r="589">
      <c r="B589" s="2"/>
      <c r="C589" s="3"/>
    </row>
    <row r="590">
      <c r="B590" s="2"/>
      <c r="C590" s="3"/>
    </row>
    <row r="591">
      <c r="B591" s="2"/>
      <c r="C591" s="3"/>
    </row>
    <row r="592">
      <c r="B592" s="2"/>
      <c r="C592" s="3"/>
    </row>
    <row r="593">
      <c r="B593" s="2"/>
      <c r="C593" s="3"/>
    </row>
    <row r="594">
      <c r="B594" s="2"/>
      <c r="C594" s="3"/>
    </row>
    <row r="595">
      <c r="B595" s="2"/>
      <c r="C595" s="3"/>
    </row>
    <row r="596">
      <c r="B596" s="2"/>
      <c r="C596" s="3"/>
    </row>
    <row r="597">
      <c r="B597" s="2"/>
      <c r="C597" s="3"/>
    </row>
    <row r="598">
      <c r="B598" s="2"/>
      <c r="C598" s="3"/>
    </row>
    <row r="599">
      <c r="B599" s="2"/>
      <c r="C599" s="3"/>
    </row>
    <row r="600">
      <c r="B600" s="2"/>
      <c r="C600" s="3"/>
    </row>
    <row r="601">
      <c r="B601" s="2"/>
      <c r="C601" s="3"/>
    </row>
    <row r="602">
      <c r="B602" s="2"/>
      <c r="C602" s="3"/>
    </row>
    <row r="603">
      <c r="B603" s="2"/>
      <c r="C603" s="3"/>
    </row>
    <row r="604">
      <c r="B604" s="2"/>
      <c r="C604" s="3"/>
    </row>
    <row r="605">
      <c r="B605" s="2"/>
      <c r="C605" s="3"/>
    </row>
    <row r="606">
      <c r="B606" s="2"/>
      <c r="C606" s="3"/>
    </row>
    <row r="607">
      <c r="B607" s="2"/>
      <c r="C607" s="3"/>
    </row>
    <row r="608">
      <c r="B608" s="2"/>
      <c r="C608" s="3"/>
    </row>
    <row r="609">
      <c r="B609" s="2"/>
      <c r="C609" s="3"/>
    </row>
    <row r="610">
      <c r="B610" s="2"/>
      <c r="C610" s="3"/>
    </row>
    <row r="611">
      <c r="B611" s="2"/>
      <c r="C611" s="3"/>
    </row>
    <row r="612">
      <c r="B612" s="2"/>
      <c r="C612" s="3"/>
    </row>
    <row r="613">
      <c r="B613" s="2"/>
      <c r="C613" s="3"/>
    </row>
    <row r="614">
      <c r="B614" s="2"/>
      <c r="C614" s="3"/>
    </row>
    <row r="615">
      <c r="B615" s="2"/>
      <c r="C615" s="3"/>
    </row>
    <row r="616">
      <c r="B616" s="2"/>
      <c r="C616" s="3"/>
    </row>
    <row r="617">
      <c r="B617" s="2"/>
      <c r="C617" s="3"/>
    </row>
    <row r="618">
      <c r="B618" s="2"/>
      <c r="C618" s="3"/>
    </row>
    <row r="619">
      <c r="B619" s="2"/>
      <c r="C619" s="3"/>
    </row>
    <row r="620">
      <c r="B620" s="2"/>
      <c r="C620" s="3"/>
    </row>
    <row r="621">
      <c r="B621" s="2"/>
      <c r="C621" s="3"/>
    </row>
    <row r="622">
      <c r="B622" s="2"/>
      <c r="C622" s="3"/>
    </row>
    <row r="623">
      <c r="B623" s="2"/>
      <c r="C623" s="3"/>
    </row>
    <row r="624">
      <c r="B624" s="2"/>
      <c r="C624" s="3"/>
    </row>
    <row r="625">
      <c r="B625" s="2"/>
      <c r="C625" s="3"/>
    </row>
    <row r="626">
      <c r="B626" s="2"/>
      <c r="C626" s="3"/>
    </row>
    <row r="627">
      <c r="B627" s="2"/>
      <c r="C627" s="3"/>
    </row>
    <row r="628">
      <c r="B628" s="2"/>
      <c r="C628" s="3"/>
    </row>
    <row r="629">
      <c r="B629" s="2"/>
      <c r="C629" s="3"/>
    </row>
    <row r="630">
      <c r="B630" s="2"/>
      <c r="C630" s="3"/>
    </row>
    <row r="631">
      <c r="B631" s="2"/>
      <c r="C631" s="3"/>
    </row>
    <row r="632">
      <c r="B632" s="2"/>
      <c r="C632" s="3"/>
    </row>
    <row r="633">
      <c r="B633" s="2"/>
      <c r="C633" s="3"/>
    </row>
    <row r="634">
      <c r="B634" s="2"/>
      <c r="C634" s="3"/>
    </row>
    <row r="635">
      <c r="B635" s="2"/>
      <c r="C635" s="3"/>
    </row>
    <row r="636">
      <c r="B636" s="2"/>
      <c r="C636" s="3"/>
    </row>
    <row r="637">
      <c r="B637" s="2"/>
      <c r="C637" s="3"/>
    </row>
    <row r="638">
      <c r="B638" s="2"/>
      <c r="C638" s="3"/>
    </row>
    <row r="639">
      <c r="B639" s="2"/>
      <c r="C639" s="3"/>
    </row>
    <row r="640">
      <c r="B640" s="2"/>
      <c r="C640" s="3"/>
    </row>
    <row r="641">
      <c r="B641" s="2"/>
      <c r="C641" s="3"/>
    </row>
    <row r="642">
      <c r="B642" s="2"/>
      <c r="C642" s="3"/>
    </row>
    <row r="643">
      <c r="B643" s="2"/>
      <c r="C643" s="3"/>
    </row>
    <row r="644">
      <c r="B644" s="2"/>
      <c r="C644" s="3"/>
    </row>
    <row r="645">
      <c r="B645" s="2"/>
      <c r="C645" s="3"/>
    </row>
    <row r="646">
      <c r="B646" s="2"/>
      <c r="C646" s="3"/>
    </row>
    <row r="647">
      <c r="B647" s="2"/>
      <c r="C647" s="3"/>
    </row>
    <row r="648">
      <c r="B648" s="2"/>
      <c r="C648" s="3"/>
    </row>
    <row r="649">
      <c r="B649" s="2"/>
      <c r="C649" s="3"/>
    </row>
    <row r="650">
      <c r="B650" s="2"/>
      <c r="C650" s="3"/>
    </row>
    <row r="651">
      <c r="B651" s="2"/>
      <c r="C651" s="3"/>
    </row>
    <row r="652">
      <c r="B652" s="2"/>
      <c r="C652" s="3"/>
    </row>
    <row r="653">
      <c r="B653" s="2"/>
      <c r="C653" s="3"/>
    </row>
    <row r="654">
      <c r="B654" s="2"/>
      <c r="C654" s="3"/>
    </row>
    <row r="655">
      <c r="B655" s="2"/>
      <c r="C655" s="3"/>
    </row>
    <row r="656">
      <c r="B656" s="2"/>
      <c r="C656" s="3"/>
    </row>
    <row r="657">
      <c r="B657" s="2"/>
      <c r="C657" s="3"/>
    </row>
    <row r="658">
      <c r="B658" s="2"/>
      <c r="C658" s="3"/>
    </row>
    <row r="659">
      <c r="B659" s="2"/>
      <c r="C659" s="3"/>
    </row>
    <row r="660">
      <c r="B660" s="2"/>
      <c r="C660" s="3"/>
    </row>
    <row r="661">
      <c r="B661" s="2"/>
      <c r="C661" s="3"/>
    </row>
    <row r="662">
      <c r="B662" s="2"/>
      <c r="C662" s="3"/>
    </row>
    <row r="663">
      <c r="B663" s="2"/>
      <c r="C663" s="3"/>
    </row>
    <row r="664">
      <c r="B664" s="2"/>
      <c r="C664" s="3"/>
    </row>
    <row r="665">
      <c r="B665" s="2"/>
      <c r="C665" s="3"/>
    </row>
    <row r="666">
      <c r="B666" s="2"/>
      <c r="C666" s="3"/>
    </row>
    <row r="667">
      <c r="B667" s="2"/>
      <c r="C667" s="3"/>
    </row>
    <row r="668">
      <c r="B668" s="2"/>
      <c r="C668" s="3"/>
    </row>
    <row r="669">
      <c r="B669" s="2"/>
      <c r="C669" s="3"/>
    </row>
    <row r="670">
      <c r="B670" s="2"/>
      <c r="C670" s="3"/>
    </row>
    <row r="671">
      <c r="B671" s="2"/>
      <c r="C671" s="3"/>
    </row>
    <row r="672">
      <c r="B672" s="2"/>
      <c r="C672" s="3"/>
    </row>
    <row r="673">
      <c r="B673" s="2"/>
      <c r="C673" s="3"/>
    </row>
    <row r="674">
      <c r="B674" s="2"/>
      <c r="C674" s="3"/>
    </row>
    <row r="675">
      <c r="B675" s="2"/>
      <c r="C675" s="3"/>
    </row>
    <row r="676">
      <c r="B676" s="2"/>
      <c r="C676" s="3"/>
    </row>
    <row r="677">
      <c r="B677" s="2"/>
      <c r="C677" s="3"/>
    </row>
    <row r="678">
      <c r="B678" s="2"/>
      <c r="C678" s="3"/>
    </row>
    <row r="679">
      <c r="B679" s="2"/>
      <c r="C679" s="3"/>
    </row>
    <row r="680">
      <c r="B680" s="2"/>
      <c r="C680" s="3"/>
    </row>
    <row r="681">
      <c r="B681" s="2"/>
      <c r="C681" s="3"/>
    </row>
    <row r="682">
      <c r="B682" s="2"/>
      <c r="C682" s="3"/>
    </row>
    <row r="683">
      <c r="B683" s="2"/>
      <c r="C683" s="3"/>
    </row>
    <row r="684">
      <c r="B684" s="2"/>
      <c r="C684" s="3"/>
    </row>
    <row r="685">
      <c r="B685" s="2"/>
      <c r="C685" s="3"/>
    </row>
    <row r="686">
      <c r="B686" s="2"/>
      <c r="C686" s="3"/>
    </row>
    <row r="687">
      <c r="B687" s="2"/>
      <c r="C687" s="3"/>
    </row>
    <row r="688">
      <c r="B688" s="2"/>
      <c r="C688" s="3"/>
    </row>
    <row r="689">
      <c r="B689" s="2"/>
      <c r="C689" s="3"/>
    </row>
    <row r="690">
      <c r="B690" s="2"/>
      <c r="C690" s="3"/>
    </row>
    <row r="691">
      <c r="B691" s="2"/>
      <c r="C691" s="3"/>
    </row>
    <row r="692">
      <c r="B692" s="2"/>
      <c r="C692" s="3"/>
    </row>
    <row r="693">
      <c r="B693" s="2"/>
      <c r="C693" s="3"/>
    </row>
    <row r="694">
      <c r="B694" s="2"/>
      <c r="C694" s="3"/>
    </row>
    <row r="695">
      <c r="B695" s="2"/>
      <c r="C695" s="3"/>
    </row>
    <row r="696">
      <c r="B696" s="2"/>
      <c r="C696" s="3"/>
    </row>
    <row r="697">
      <c r="B697" s="2"/>
      <c r="C697" s="3"/>
    </row>
    <row r="698">
      <c r="B698" s="2"/>
      <c r="C698" s="3"/>
    </row>
    <row r="699">
      <c r="B699" s="2"/>
      <c r="C699" s="3"/>
    </row>
    <row r="700">
      <c r="B700" s="2"/>
      <c r="C700" s="3"/>
    </row>
    <row r="701">
      <c r="B701" s="2"/>
      <c r="C701" s="3"/>
    </row>
    <row r="702">
      <c r="B702" s="2"/>
      <c r="C702" s="3"/>
    </row>
    <row r="703">
      <c r="B703" s="2"/>
      <c r="C703" s="3"/>
    </row>
    <row r="704">
      <c r="B704" s="2"/>
      <c r="C704" s="3"/>
    </row>
    <row r="705">
      <c r="B705" s="2"/>
      <c r="C705" s="3"/>
    </row>
    <row r="706">
      <c r="B706" s="2"/>
      <c r="C706" s="3"/>
    </row>
    <row r="707">
      <c r="B707" s="2"/>
      <c r="C707" s="3"/>
    </row>
    <row r="708">
      <c r="B708" s="2"/>
      <c r="C708" s="3"/>
    </row>
    <row r="709">
      <c r="B709" s="2"/>
      <c r="C709" s="3"/>
    </row>
    <row r="710">
      <c r="B710" s="2"/>
      <c r="C710" s="3"/>
    </row>
    <row r="711">
      <c r="B711" s="2"/>
      <c r="C711" s="3"/>
    </row>
    <row r="712">
      <c r="B712" s="2"/>
      <c r="C712" s="3"/>
    </row>
    <row r="713">
      <c r="B713" s="2"/>
      <c r="C713" s="3"/>
    </row>
    <row r="714">
      <c r="B714" s="2"/>
      <c r="C714" s="3"/>
    </row>
    <row r="715">
      <c r="B715" s="2"/>
      <c r="C715" s="3"/>
    </row>
    <row r="716">
      <c r="B716" s="2"/>
      <c r="C716" s="3"/>
    </row>
    <row r="717">
      <c r="B717" s="2"/>
      <c r="C717" s="3"/>
    </row>
    <row r="718">
      <c r="B718" s="2"/>
      <c r="C718" s="3"/>
    </row>
    <row r="719">
      <c r="B719" s="2"/>
      <c r="C719" s="3"/>
    </row>
    <row r="720">
      <c r="B720" s="2"/>
      <c r="C720" s="3"/>
    </row>
    <row r="721">
      <c r="B721" s="2"/>
      <c r="C721" s="3"/>
    </row>
    <row r="722">
      <c r="B722" s="2"/>
      <c r="C722" s="3"/>
    </row>
    <row r="723">
      <c r="B723" s="2"/>
      <c r="C723" s="3"/>
    </row>
    <row r="724">
      <c r="B724" s="2"/>
      <c r="C724" s="3"/>
    </row>
    <row r="725">
      <c r="B725" s="2"/>
      <c r="C725" s="3"/>
    </row>
    <row r="726">
      <c r="B726" s="2"/>
      <c r="C726" s="3"/>
    </row>
    <row r="727">
      <c r="B727" s="2"/>
      <c r="C727" s="3"/>
    </row>
    <row r="728">
      <c r="B728" s="2"/>
      <c r="C728" s="3"/>
    </row>
    <row r="729">
      <c r="B729" s="2"/>
      <c r="C729" s="3"/>
    </row>
    <row r="730">
      <c r="B730" s="2"/>
      <c r="C730" s="3"/>
    </row>
    <row r="731">
      <c r="B731" s="2"/>
      <c r="C731" s="3"/>
    </row>
    <row r="732">
      <c r="B732" s="2"/>
      <c r="C732" s="3"/>
    </row>
    <row r="733">
      <c r="B733" s="2"/>
      <c r="C733" s="3"/>
    </row>
    <row r="734">
      <c r="B734" s="2"/>
      <c r="C734" s="3"/>
    </row>
    <row r="735">
      <c r="B735" s="2"/>
      <c r="C735" s="3"/>
    </row>
    <row r="736">
      <c r="B736" s="2"/>
      <c r="C736" s="3"/>
    </row>
    <row r="737">
      <c r="B737" s="2"/>
      <c r="C737" s="3"/>
    </row>
    <row r="738">
      <c r="B738" s="2"/>
      <c r="C738" s="3"/>
    </row>
    <row r="739">
      <c r="B739" s="2"/>
      <c r="C739" s="3"/>
    </row>
    <row r="740">
      <c r="B740" s="2"/>
      <c r="C740" s="3"/>
    </row>
    <row r="741">
      <c r="B741" s="2"/>
      <c r="C741" s="3"/>
    </row>
    <row r="742">
      <c r="B742" s="2"/>
      <c r="C742" s="3"/>
    </row>
    <row r="743">
      <c r="B743" s="2"/>
      <c r="C743" s="3"/>
    </row>
    <row r="744">
      <c r="B744" s="2"/>
      <c r="C744" s="3"/>
    </row>
    <row r="745">
      <c r="B745" s="2"/>
      <c r="C745" s="3"/>
    </row>
    <row r="746">
      <c r="B746" s="2"/>
      <c r="C746" s="3"/>
    </row>
    <row r="747">
      <c r="B747" s="2"/>
      <c r="C747" s="3"/>
    </row>
    <row r="748">
      <c r="B748" s="2"/>
      <c r="C748" s="3"/>
    </row>
    <row r="749">
      <c r="B749" s="2"/>
      <c r="C749" s="3"/>
    </row>
    <row r="750">
      <c r="B750" s="2"/>
      <c r="C750" s="3"/>
    </row>
    <row r="751">
      <c r="B751" s="2"/>
      <c r="C751" s="3"/>
    </row>
    <row r="752">
      <c r="B752" s="2"/>
      <c r="C752" s="3"/>
    </row>
    <row r="753">
      <c r="B753" s="2"/>
      <c r="C753" s="3"/>
    </row>
    <row r="754">
      <c r="B754" s="2"/>
      <c r="C754" s="3"/>
    </row>
    <row r="755">
      <c r="B755" s="2"/>
      <c r="C755" s="3"/>
    </row>
    <row r="756">
      <c r="B756" s="2"/>
      <c r="C756" s="3"/>
    </row>
    <row r="757">
      <c r="B757" s="2"/>
      <c r="C757" s="3"/>
    </row>
    <row r="758">
      <c r="B758" s="2"/>
      <c r="C758" s="3"/>
    </row>
    <row r="759">
      <c r="B759" s="2"/>
      <c r="C759" s="3"/>
    </row>
    <row r="760">
      <c r="B760" s="2"/>
      <c r="C760" s="3"/>
    </row>
    <row r="761">
      <c r="B761" s="2"/>
      <c r="C761" s="3"/>
    </row>
    <row r="762">
      <c r="B762" s="2"/>
      <c r="C762" s="3"/>
    </row>
    <row r="763">
      <c r="B763" s="2"/>
      <c r="C763" s="3"/>
    </row>
    <row r="764">
      <c r="B764" s="2"/>
      <c r="C764" s="3"/>
    </row>
    <row r="765">
      <c r="B765" s="2"/>
      <c r="C765" s="3"/>
    </row>
    <row r="766">
      <c r="B766" s="2"/>
      <c r="C766" s="3"/>
    </row>
    <row r="767">
      <c r="B767" s="2"/>
      <c r="C767" s="3"/>
    </row>
    <row r="768">
      <c r="B768" s="2"/>
      <c r="C768" s="3"/>
    </row>
    <row r="769">
      <c r="B769" s="2"/>
      <c r="C769" s="3"/>
    </row>
    <row r="770">
      <c r="B770" s="2"/>
      <c r="C770" s="3"/>
    </row>
    <row r="771">
      <c r="B771" s="2"/>
      <c r="C771" s="3"/>
    </row>
    <row r="772">
      <c r="B772" s="2"/>
      <c r="C772" s="3"/>
    </row>
    <row r="773">
      <c r="B773" s="2"/>
      <c r="C773" s="3"/>
    </row>
    <row r="774">
      <c r="B774" s="2"/>
      <c r="C774" s="3"/>
    </row>
    <row r="775">
      <c r="B775" s="2"/>
      <c r="C775" s="3"/>
    </row>
    <row r="776">
      <c r="B776" s="2"/>
      <c r="C776" s="3"/>
    </row>
    <row r="777">
      <c r="B777" s="2"/>
      <c r="C777" s="3"/>
    </row>
    <row r="778">
      <c r="B778" s="2"/>
      <c r="C778" s="3"/>
    </row>
    <row r="779">
      <c r="B779" s="2"/>
      <c r="C779" s="3"/>
    </row>
    <row r="780">
      <c r="B780" s="2"/>
      <c r="C780" s="3"/>
    </row>
    <row r="781">
      <c r="B781" s="2"/>
      <c r="C781" s="3"/>
    </row>
    <row r="782">
      <c r="B782" s="2"/>
      <c r="C782" s="3"/>
    </row>
    <row r="783">
      <c r="B783" s="2"/>
      <c r="C783" s="3"/>
    </row>
    <row r="784">
      <c r="B784" s="2"/>
      <c r="C784" s="3"/>
    </row>
    <row r="785">
      <c r="B785" s="2"/>
      <c r="C785" s="3"/>
    </row>
    <row r="786">
      <c r="B786" s="2"/>
      <c r="C786" s="3"/>
    </row>
    <row r="787">
      <c r="B787" s="2"/>
      <c r="C787" s="3"/>
    </row>
    <row r="788">
      <c r="B788" s="2"/>
      <c r="C788" s="3"/>
    </row>
    <row r="789">
      <c r="B789" s="2"/>
      <c r="C789" s="3"/>
    </row>
    <row r="790">
      <c r="B790" s="2"/>
      <c r="C790" s="3"/>
    </row>
    <row r="791">
      <c r="B791" s="2"/>
      <c r="C791" s="3"/>
    </row>
    <row r="792">
      <c r="B792" s="2"/>
      <c r="C792" s="3"/>
    </row>
    <row r="793">
      <c r="B793" s="2"/>
      <c r="C793" s="3"/>
    </row>
    <row r="794">
      <c r="B794" s="2"/>
      <c r="C794" s="3"/>
    </row>
    <row r="795">
      <c r="B795" s="2"/>
      <c r="C795" s="3"/>
    </row>
    <row r="796">
      <c r="B796" s="2"/>
      <c r="C796" s="3"/>
    </row>
    <row r="797">
      <c r="B797" s="2"/>
      <c r="C797" s="3"/>
    </row>
    <row r="798">
      <c r="B798" s="2"/>
      <c r="C798" s="3"/>
    </row>
    <row r="799">
      <c r="B799" s="2"/>
      <c r="C799" s="3"/>
    </row>
    <row r="800">
      <c r="B800" s="2"/>
      <c r="C800" s="3"/>
    </row>
    <row r="801">
      <c r="B801" s="2"/>
      <c r="C801" s="3"/>
    </row>
    <row r="802">
      <c r="B802" s="2"/>
      <c r="C802" s="3"/>
    </row>
    <row r="803">
      <c r="B803" s="2"/>
      <c r="C803" s="3"/>
    </row>
    <row r="804">
      <c r="B804" s="2"/>
      <c r="C804" s="3"/>
    </row>
    <row r="805">
      <c r="B805" s="2"/>
      <c r="C805" s="3"/>
    </row>
    <row r="806">
      <c r="B806" s="2"/>
      <c r="C806" s="3"/>
    </row>
    <row r="807">
      <c r="B807" s="2"/>
      <c r="C807" s="3"/>
    </row>
    <row r="808">
      <c r="B808" s="2"/>
      <c r="C808" s="3"/>
    </row>
    <row r="809">
      <c r="B809" s="2"/>
      <c r="C809" s="3"/>
    </row>
    <row r="810">
      <c r="B810" s="2"/>
      <c r="C810" s="3"/>
    </row>
    <row r="811">
      <c r="B811" s="2"/>
      <c r="C811" s="3"/>
    </row>
    <row r="812">
      <c r="B812" s="2"/>
      <c r="C812" s="3"/>
    </row>
    <row r="813">
      <c r="B813" s="2"/>
      <c r="C813" s="3"/>
    </row>
    <row r="814">
      <c r="B814" s="2"/>
      <c r="C814" s="3"/>
    </row>
    <row r="815">
      <c r="B815" s="2"/>
      <c r="C815" s="3"/>
    </row>
    <row r="816">
      <c r="B816" s="2"/>
      <c r="C816" s="3"/>
    </row>
    <row r="817">
      <c r="B817" s="2"/>
      <c r="C817" s="3"/>
    </row>
    <row r="818">
      <c r="B818" s="2"/>
      <c r="C818" s="3"/>
    </row>
    <row r="819">
      <c r="B819" s="2"/>
      <c r="C819" s="3"/>
    </row>
    <row r="820">
      <c r="B820" s="2"/>
      <c r="C820" s="3"/>
    </row>
    <row r="821">
      <c r="B821" s="2"/>
      <c r="C821" s="3"/>
    </row>
    <row r="822">
      <c r="B822" s="2"/>
      <c r="C822" s="3"/>
    </row>
    <row r="823">
      <c r="B823" s="2"/>
      <c r="C823" s="3"/>
    </row>
    <row r="824">
      <c r="B824" s="2"/>
      <c r="C824" s="3"/>
    </row>
    <row r="825">
      <c r="B825" s="2"/>
      <c r="C825" s="3"/>
    </row>
    <row r="826">
      <c r="B826" s="2"/>
      <c r="C826" s="3"/>
    </row>
    <row r="827">
      <c r="B827" s="2"/>
      <c r="C827" s="3"/>
    </row>
    <row r="828">
      <c r="B828" s="2"/>
      <c r="C828" s="3"/>
    </row>
    <row r="829">
      <c r="B829" s="2"/>
      <c r="C829" s="3"/>
    </row>
    <row r="830">
      <c r="B830" s="2"/>
      <c r="C830" s="3"/>
    </row>
    <row r="831">
      <c r="B831" s="2"/>
      <c r="C831" s="3"/>
    </row>
    <row r="832">
      <c r="B832" s="2"/>
      <c r="C832" s="3"/>
    </row>
    <row r="833">
      <c r="B833" s="2"/>
      <c r="C833" s="3"/>
    </row>
    <row r="834">
      <c r="B834" s="2"/>
      <c r="C834" s="3"/>
    </row>
    <row r="835">
      <c r="B835" s="2"/>
      <c r="C835" s="3"/>
    </row>
    <row r="836">
      <c r="B836" s="2"/>
      <c r="C836" s="3"/>
    </row>
    <row r="837">
      <c r="B837" s="2"/>
      <c r="C837" s="3"/>
    </row>
    <row r="838">
      <c r="B838" s="2"/>
      <c r="C838" s="3"/>
    </row>
    <row r="839">
      <c r="B839" s="2"/>
      <c r="C839" s="3"/>
    </row>
    <row r="840">
      <c r="B840" s="2"/>
      <c r="C840" s="3"/>
    </row>
    <row r="841">
      <c r="B841" s="2"/>
      <c r="C841" s="3"/>
    </row>
    <row r="842">
      <c r="B842" s="2"/>
      <c r="C842" s="3"/>
    </row>
    <row r="843">
      <c r="B843" s="2"/>
      <c r="C843" s="3"/>
    </row>
    <row r="844">
      <c r="B844" s="2"/>
      <c r="C844" s="3"/>
    </row>
    <row r="845">
      <c r="B845" s="2"/>
      <c r="C845" s="3"/>
    </row>
    <row r="846">
      <c r="B846" s="2"/>
      <c r="C846" s="3"/>
    </row>
    <row r="847">
      <c r="B847" s="2"/>
      <c r="C847" s="3"/>
    </row>
    <row r="848">
      <c r="B848" s="2"/>
      <c r="C848" s="3"/>
    </row>
    <row r="849">
      <c r="B849" s="2"/>
      <c r="C849" s="3"/>
    </row>
    <row r="850">
      <c r="B850" s="2"/>
      <c r="C850" s="3"/>
    </row>
    <row r="851">
      <c r="B851" s="2"/>
      <c r="C851" s="3"/>
    </row>
    <row r="852">
      <c r="B852" s="2"/>
      <c r="C852" s="3"/>
    </row>
    <row r="853">
      <c r="B853" s="2"/>
      <c r="C853" s="3"/>
    </row>
    <row r="854">
      <c r="B854" s="2"/>
      <c r="C854" s="3"/>
    </row>
    <row r="855">
      <c r="B855" s="2"/>
      <c r="C855" s="3"/>
    </row>
    <row r="856">
      <c r="B856" s="2"/>
      <c r="C856" s="3"/>
    </row>
    <row r="857">
      <c r="B857" s="2"/>
      <c r="C857" s="3"/>
    </row>
    <row r="858">
      <c r="B858" s="2"/>
      <c r="C858" s="3"/>
    </row>
    <row r="859">
      <c r="B859" s="2"/>
      <c r="C859" s="3"/>
    </row>
    <row r="860">
      <c r="B860" s="2"/>
      <c r="C860" s="3"/>
    </row>
    <row r="861">
      <c r="B861" s="2"/>
      <c r="C861" s="3"/>
    </row>
    <row r="862">
      <c r="B862" s="2"/>
      <c r="C862" s="3"/>
    </row>
    <row r="863">
      <c r="B863" s="2"/>
      <c r="C863" s="3"/>
    </row>
    <row r="864">
      <c r="B864" s="2"/>
      <c r="C864" s="3"/>
    </row>
    <row r="865">
      <c r="B865" s="2"/>
      <c r="C865" s="3"/>
    </row>
    <row r="866">
      <c r="B866" s="2"/>
      <c r="C866" s="3"/>
    </row>
    <row r="867">
      <c r="B867" s="2"/>
      <c r="C867" s="3"/>
    </row>
    <row r="868">
      <c r="B868" s="2"/>
      <c r="C868" s="3"/>
    </row>
    <row r="869">
      <c r="B869" s="2"/>
      <c r="C869" s="3"/>
    </row>
    <row r="870">
      <c r="B870" s="2"/>
      <c r="C870" s="3"/>
    </row>
    <row r="871">
      <c r="B871" s="2"/>
      <c r="C871" s="3"/>
    </row>
    <row r="872">
      <c r="B872" s="2"/>
      <c r="C872" s="3"/>
    </row>
    <row r="873">
      <c r="B873" s="2"/>
      <c r="C873" s="3"/>
    </row>
    <row r="874">
      <c r="B874" s="2"/>
      <c r="C874" s="3"/>
    </row>
    <row r="875">
      <c r="B875" s="2"/>
      <c r="C875" s="3"/>
    </row>
    <row r="876">
      <c r="B876" s="2"/>
      <c r="C876" s="3"/>
    </row>
    <row r="877">
      <c r="B877" s="2"/>
      <c r="C877" s="3"/>
    </row>
    <row r="878">
      <c r="B878" s="2"/>
      <c r="C878" s="3"/>
    </row>
    <row r="879">
      <c r="B879" s="2"/>
      <c r="C879" s="3"/>
    </row>
    <row r="880">
      <c r="B880" s="2"/>
      <c r="C880" s="3"/>
    </row>
    <row r="881">
      <c r="B881" s="2"/>
      <c r="C881" s="3"/>
    </row>
    <row r="882">
      <c r="B882" s="2"/>
      <c r="C882" s="3"/>
    </row>
    <row r="883">
      <c r="B883" s="2"/>
      <c r="C883" s="3"/>
    </row>
    <row r="884">
      <c r="B884" s="2"/>
      <c r="C884" s="3"/>
    </row>
    <row r="885">
      <c r="B885" s="2"/>
      <c r="C885" s="3"/>
    </row>
    <row r="886">
      <c r="B886" s="2"/>
      <c r="C886" s="3"/>
    </row>
    <row r="887">
      <c r="B887" s="2"/>
      <c r="C887" s="3"/>
    </row>
    <row r="888">
      <c r="B888" s="2"/>
      <c r="C888" s="3"/>
    </row>
    <row r="889">
      <c r="B889" s="2"/>
      <c r="C889" s="3"/>
    </row>
    <row r="890">
      <c r="B890" s="2"/>
      <c r="C890" s="3"/>
    </row>
    <row r="891">
      <c r="B891" s="2"/>
      <c r="C891" s="3"/>
    </row>
    <row r="892">
      <c r="B892" s="2"/>
      <c r="C892" s="3"/>
    </row>
    <row r="893">
      <c r="B893" s="2"/>
      <c r="C893" s="3"/>
    </row>
    <row r="894">
      <c r="B894" s="2"/>
      <c r="C894" s="3"/>
    </row>
    <row r="895">
      <c r="B895" s="2"/>
      <c r="C895" s="3"/>
    </row>
    <row r="896">
      <c r="B896" s="2"/>
      <c r="C896" s="3"/>
    </row>
    <row r="897">
      <c r="B897" s="2"/>
      <c r="C897" s="3"/>
    </row>
    <row r="898">
      <c r="B898" s="2"/>
      <c r="C898" s="3"/>
    </row>
    <row r="899">
      <c r="B899" s="2"/>
      <c r="C899" s="3"/>
    </row>
    <row r="900">
      <c r="B900" s="2"/>
      <c r="C900" s="3"/>
    </row>
    <row r="901">
      <c r="B901" s="2"/>
      <c r="C901" s="3"/>
    </row>
    <row r="902">
      <c r="B902" s="2"/>
      <c r="C902" s="3"/>
    </row>
    <row r="903">
      <c r="B903" s="2"/>
      <c r="C903" s="3"/>
    </row>
    <row r="904">
      <c r="B904" s="2"/>
      <c r="C904" s="3"/>
    </row>
    <row r="905">
      <c r="B905" s="2"/>
      <c r="C905" s="3"/>
    </row>
    <row r="906">
      <c r="B906" s="2"/>
      <c r="C906" s="3"/>
    </row>
    <row r="907">
      <c r="B907" s="2"/>
      <c r="C907" s="3"/>
    </row>
    <row r="908">
      <c r="B908" s="2"/>
      <c r="C908" s="3"/>
    </row>
    <row r="909">
      <c r="B909" s="2"/>
      <c r="C909" s="3"/>
    </row>
    <row r="910">
      <c r="B910" s="2"/>
      <c r="C910" s="3"/>
    </row>
    <row r="911">
      <c r="B911" s="2"/>
      <c r="C911" s="3"/>
    </row>
    <row r="912">
      <c r="B912" s="2"/>
      <c r="C912" s="3"/>
    </row>
    <row r="913">
      <c r="B913" s="2"/>
      <c r="C913" s="3"/>
    </row>
    <row r="914">
      <c r="B914" s="2"/>
      <c r="C914" s="3"/>
    </row>
    <row r="915">
      <c r="B915" s="2"/>
      <c r="C915" s="3"/>
    </row>
    <row r="916">
      <c r="B916" s="2"/>
      <c r="C916" s="3"/>
    </row>
    <row r="917">
      <c r="B917" s="2"/>
      <c r="C917" s="3"/>
    </row>
    <row r="918">
      <c r="B918" s="2"/>
      <c r="C918" s="3"/>
    </row>
    <row r="919">
      <c r="B919" s="2"/>
      <c r="C919" s="3"/>
    </row>
    <row r="920">
      <c r="B920" s="2"/>
      <c r="C920" s="3"/>
    </row>
    <row r="921">
      <c r="B921" s="2"/>
      <c r="C921" s="3"/>
    </row>
    <row r="922">
      <c r="B922" s="2"/>
      <c r="C922" s="3"/>
    </row>
    <row r="923">
      <c r="B923" s="2"/>
      <c r="C923" s="3"/>
    </row>
    <row r="924">
      <c r="B924" s="2"/>
      <c r="C924" s="3"/>
    </row>
    <row r="925">
      <c r="B925" s="2"/>
      <c r="C925" s="3"/>
    </row>
    <row r="926">
      <c r="B926" s="2"/>
      <c r="C926" s="3"/>
    </row>
    <row r="927">
      <c r="B927" s="2"/>
      <c r="C927" s="3"/>
    </row>
    <row r="928">
      <c r="B928" s="2"/>
      <c r="C928" s="3"/>
    </row>
    <row r="929">
      <c r="B929" s="2"/>
      <c r="C929" s="3"/>
    </row>
    <row r="930">
      <c r="B930" s="2"/>
      <c r="C930" s="3"/>
    </row>
    <row r="931">
      <c r="B931" s="2"/>
      <c r="C931" s="3"/>
    </row>
    <row r="932">
      <c r="B932" s="2"/>
      <c r="C932" s="3"/>
    </row>
    <row r="933">
      <c r="B933" s="2"/>
      <c r="C933" s="3"/>
    </row>
    <row r="934">
      <c r="B934" s="2"/>
      <c r="C934" s="3"/>
    </row>
    <row r="935">
      <c r="B935" s="2"/>
      <c r="C935" s="3"/>
    </row>
    <row r="936">
      <c r="B936" s="2"/>
      <c r="C936" s="3"/>
    </row>
    <row r="937">
      <c r="B937" s="2"/>
      <c r="C937" s="3"/>
    </row>
    <row r="938">
      <c r="B938" s="2"/>
      <c r="C938" s="3"/>
    </row>
    <row r="939">
      <c r="B939" s="2"/>
      <c r="C939" s="3"/>
    </row>
    <row r="940">
      <c r="B940" s="2"/>
      <c r="C940" s="3"/>
    </row>
    <row r="941">
      <c r="B941" s="2"/>
      <c r="C941" s="3"/>
    </row>
    <row r="942">
      <c r="B942" s="2"/>
      <c r="C942" s="3"/>
    </row>
    <row r="943">
      <c r="B943" s="2"/>
      <c r="C943" s="3"/>
    </row>
    <row r="944">
      <c r="B944" s="2"/>
      <c r="C944" s="3"/>
    </row>
    <row r="945">
      <c r="B945" s="2"/>
      <c r="C945" s="3"/>
    </row>
    <row r="946">
      <c r="B946" s="2"/>
      <c r="C946" s="3"/>
    </row>
    <row r="947">
      <c r="B947" s="2"/>
      <c r="C947" s="3"/>
    </row>
    <row r="948">
      <c r="B948" s="2"/>
      <c r="C948" s="3"/>
    </row>
    <row r="949">
      <c r="B949" s="2"/>
      <c r="C949" s="3"/>
    </row>
    <row r="950">
      <c r="B950" s="2"/>
      <c r="C950" s="3"/>
    </row>
    <row r="951">
      <c r="B951" s="2"/>
      <c r="C951" s="3"/>
    </row>
    <row r="952">
      <c r="B952" s="2"/>
      <c r="C952" s="3"/>
    </row>
    <row r="953">
      <c r="B953" s="2"/>
      <c r="C953" s="3"/>
    </row>
    <row r="954">
      <c r="B954" s="2"/>
      <c r="C954" s="3"/>
    </row>
    <row r="955">
      <c r="B955" s="2"/>
      <c r="C955" s="3"/>
    </row>
    <row r="956">
      <c r="B956" s="2"/>
      <c r="C956" s="3"/>
    </row>
    <row r="957">
      <c r="B957" s="2"/>
      <c r="C957" s="3"/>
    </row>
    <row r="958">
      <c r="B958" s="2"/>
      <c r="C958" s="3"/>
    </row>
    <row r="959">
      <c r="B959" s="2"/>
      <c r="C959" s="3"/>
    </row>
    <row r="960">
      <c r="B960" s="2"/>
      <c r="C960" s="3"/>
    </row>
    <row r="961">
      <c r="B961" s="2"/>
      <c r="C961" s="3"/>
    </row>
    <row r="962">
      <c r="B962" s="2"/>
      <c r="C962" s="3"/>
    </row>
    <row r="963">
      <c r="B963" s="2"/>
      <c r="C963" s="3"/>
    </row>
    <row r="964">
      <c r="B964" s="2"/>
      <c r="C964" s="3"/>
    </row>
    <row r="965">
      <c r="B965" s="2"/>
      <c r="C965" s="3"/>
    </row>
    <row r="966">
      <c r="B966" s="2"/>
      <c r="C966" s="3"/>
    </row>
    <row r="967">
      <c r="B967" s="2"/>
      <c r="C967" s="3"/>
    </row>
    <row r="968">
      <c r="B968" s="2"/>
      <c r="C968" s="3"/>
    </row>
    <row r="969">
      <c r="B969" s="2"/>
      <c r="C969" s="3"/>
    </row>
    <row r="970">
      <c r="B970" s="2"/>
      <c r="C970" s="3"/>
    </row>
    <row r="971">
      <c r="B971" s="2"/>
      <c r="C971" s="3"/>
    </row>
    <row r="972">
      <c r="B972" s="2"/>
      <c r="C972" s="3"/>
    </row>
    <row r="973">
      <c r="B973" s="2"/>
      <c r="C973" s="3"/>
    </row>
    <row r="974">
      <c r="B974" s="2"/>
      <c r="C974" s="3"/>
    </row>
    <row r="975">
      <c r="B975" s="2"/>
      <c r="C975" s="3"/>
    </row>
    <row r="976">
      <c r="B976" s="2"/>
      <c r="C976" s="3"/>
    </row>
    <row r="977">
      <c r="B977" s="2"/>
      <c r="C977" s="3"/>
    </row>
    <row r="978">
      <c r="B978" s="2"/>
      <c r="C978" s="3"/>
    </row>
    <row r="979">
      <c r="B979" s="2"/>
      <c r="C979" s="3"/>
    </row>
    <row r="980">
      <c r="B980" s="2"/>
      <c r="C980" s="3"/>
    </row>
    <row r="981">
      <c r="B981" s="2"/>
      <c r="C981" s="3"/>
    </row>
    <row r="982">
      <c r="B982" s="2"/>
      <c r="C982" s="3"/>
    </row>
    <row r="983">
      <c r="B983" s="2"/>
      <c r="C983" s="3"/>
    </row>
    <row r="984">
      <c r="B984" s="2"/>
      <c r="C984" s="3"/>
    </row>
    <row r="985">
      <c r="B985" s="2"/>
      <c r="C985" s="3"/>
    </row>
    <row r="986">
      <c r="B986" s="2"/>
      <c r="C986" s="3"/>
    </row>
    <row r="987">
      <c r="B987" s="2"/>
      <c r="C987" s="3"/>
    </row>
    <row r="988">
      <c r="B988" s="2"/>
      <c r="C988" s="3"/>
    </row>
    <row r="989">
      <c r="B989" s="2"/>
      <c r="C989" s="3"/>
    </row>
    <row r="990">
      <c r="B990" s="2"/>
      <c r="C990" s="3"/>
    </row>
    <row r="991">
      <c r="B991" s="2"/>
      <c r="C991" s="3"/>
    </row>
    <row r="992">
      <c r="B992" s="2"/>
      <c r="C992" s="3"/>
    </row>
    <row r="993">
      <c r="B993" s="2"/>
      <c r="C993" s="3"/>
    </row>
    <row r="994">
      <c r="B994" s="2"/>
      <c r="C994" s="3"/>
    </row>
    <row r="995">
      <c r="B995" s="2"/>
      <c r="C995" s="3"/>
    </row>
    <row r="996">
      <c r="B996" s="2"/>
      <c r="C996" s="3"/>
    </row>
    <row r="997">
      <c r="B997" s="2"/>
      <c r="C997" s="3"/>
    </row>
    <row r="998">
      <c r="B998" s="2"/>
      <c r="C998" s="3"/>
    </row>
    <row r="999">
      <c r="B999" s="2"/>
      <c r="C999" s="3"/>
    </row>
    <row r="1000">
      <c r="B1000" s="2"/>
      <c r="C1000" s="3"/>
    </row>
    <row r="1001">
      <c r="B1001" s="2"/>
      <c r="C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44.88"/>
    <col customWidth="1" min="3" max="3" width="43.0"/>
    <col customWidth="1" min="4" max="4" width="63.88"/>
    <col customWidth="1" min="5" max="5" width="55.25"/>
    <col customWidth="1" min="6" max="6" width="58.0"/>
    <col customWidth="1" min="7" max="7" width="25.88"/>
    <col customWidth="1" min="8" max="8" width="16.75"/>
    <col customWidth="1" min="9" max="9" width="11.88"/>
    <col customWidth="1" min="10" max="10" width="14.13"/>
    <col customWidth="1" min="11" max="11" width="11.5"/>
    <col customWidth="1" min="13" max="13" width="12.63"/>
    <col customWidth="1" min="14" max="14" width="46.88"/>
    <col customWidth="1" min="15" max="15" width="4.75"/>
  </cols>
  <sheetData>
    <row r="1">
      <c r="A1" s="7" t="s">
        <v>19</v>
      </c>
      <c r="B1" s="7" t="s">
        <v>20</v>
      </c>
      <c r="C1" s="8" t="s">
        <v>21</v>
      </c>
      <c r="D1" s="7" t="s">
        <v>22</v>
      </c>
      <c r="E1" s="7" t="s">
        <v>23</v>
      </c>
      <c r="F1" s="7" t="s">
        <v>24</v>
      </c>
      <c r="G1" s="7" t="s">
        <v>25</v>
      </c>
      <c r="H1" s="8" t="s">
        <v>26</v>
      </c>
      <c r="I1" s="7" t="s">
        <v>27</v>
      </c>
      <c r="J1" s="7" t="s">
        <v>28</v>
      </c>
      <c r="K1" s="7" t="s">
        <v>29</v>
      </c>
      <c r="L1" s="7" t="s">
        <v>30</v>
      </c>
      <c r="M1" s="7" t="s">
        <v>31</v>
      </c>
      <c r="N1" s="7" t="s">
        <v>31</v>
      </c>
      <c r="O1" s="7"/>
    </row>
    <row r="2">
      <c r="C2" s="9" t="s">
        <v>32</v>
      </c>
      <c r="D2" s="10"/>
      <c r="E2" s="11" t="s">
        <v>0</v>
      </c>
      <c r="H2" s="12"/>
      <c r="N2" s="1" t="s">
        <v>33</v>
      </c>
    </row>
    <row r="3">
      <c r="A3" s="13"/>
      <c r="B3" s="14"/>
      <c r="C3" s="15"/>
      <c r="D3" s="16"/>
      <c r="E3" s="11" t="s">
        <v>34</v>
      </c>
      <c r="F3" s="13"/>
      <c r="G3" s="13"/>
      <c r="H3" s="15"/>
      <c r="I3" s="13"/>
      <c r="J3" s="13"/>
      <c r="K3" s="13"/>
      <c r="N3" s="1" t="s">
        <v>35</v>
      </c>
      <c r="O3" s="1">
        <v>60.0</v>
      </c>
    </row>
    <row r="4">
      <c r="A4" s="13"/>
      <c r="B4" s="14"/>
      <c r="C4" s="15"/>
      <c r="D4" s="17"/>
      <c r="E4" s="13" t="s">
        <v>36</v>
      </c>
      <c r="F4" s="13"/>
      <c r="G4" s="13"/>
      <c r="H4" s="15"/>
      <c r="I4" s="13"/>
      <c r="J4" s="13"/>
      <c r="K4" s="13"/>
      <c r="N4" s="1" t="s">
        <v>37</v>
      </c>
      <c r="O4" s="1">
        <v>60.0</v>
      </c>
    </row>
    <row r="5">
      <c r="A5" s="13"/>
      <c r="B5" s="14"/>
      <c r="C5" s="15"/>
      <c r="D5" s="17"/>
      <c r="E5" s="13" t="s">
        <v>38</v>
      </c>
      <c r="F5" s="13"/>
      <c r="G5" s="13"/>
      <c r="H5" s="15"/>
      <c r="I5" s="13"/>
      <c r="J5" s="13"/>
      <c r="K5" s="13"/>
      <c r="N5" s="1" t="s">
        <v>39</v>
      </c>
      <c r="O5" s="1">
        <v>60.0</v>
      </c>
    </row>
    <row r="6">
      <c r="A6" s="13"/>
      <c r="B6" s="14"/>
      <c r="C6" s="15"/>
      <c r="D6" s="17"/>
      <c r="E6" s="13" t="s">
        <v>40</v>
      </c>
      <c r="F6" s="13"/>
      <c r="G6" s="13"/>
      <c r="H6" s="15"/>
      <c r="I6" s="13"/>
      <c r="J6" s="13"/>
      <c r="K6" s="13"/>
      <c r="N6" s="1" t="s">
        <v>41</v>
      </c>
      <c r="O6" s="1">
        <v>60.0</v>
      </c>
    </row>
    <row r="7">
      <c r="A7" s="13"/>
      <c r="B7" s="14"/>
      <c r="C7" s="15"/>
      <c r="D7" s="17"/>
      <c r="E7" s="13" t="s">
        <v>42</v>
      </c>
      <c r="F7" s="13"/>
      <c r="G7" s="13"/>
      <c r="H7" s="15"/>
      <c r="I7" s="13"/>
      <c r="J7" s="13"/>
      <c r="K7" s="13"/>
      <c r="N7" s="1" t="s">
        <v>43</v>
      </c>
      <c r="O7" s="1">
        <v>60.0</v>
      </c>
    </row>
    <row r="8">
      <c r="C8" s="18"/>
      <c r="D8" s="19"/>
      <c r="E8" s="11" t="s">
        <v>44</v>
      </c>
      <c r="H8" s="18"/>
      <c r="N8" s="1" t="s">
        <v>45</v>
      </c>
      <c r="O8" s="1">
        <v>60.0</v>
      </c>
    </row>
    <row r="9">
      <c r="A9" s="13" t="s">
        <v>4</v>
      </c>
      <c r="B9" s="14" t="s">
        <v>46</v>
      </c>
      <c r="C9" s="20" t="s">
        <v>47</v>
      </c>
      <c r="D9" s="17"/>
      <c r="E9" s="13" t="s">
        <v>48</v>
      </c>
      <c r="F9" s="13" t="s">
        <v>49</v>
      </c>
      <c r="G9" s="13" t="s">
        <v>50</v>
      </c>
      <c r="H9" s="15"/>
      <c r="I9" s="13"/>
      <c r="J9" s="13"/>
      <c r="K9" s="13"/>
      <c r="N9" s="1" t="s">
        <v>51</v>
      </c>
      <c r="O9" s="1">
        <v>3400.0</v>
      </c>
    </row>
    <row r="10">
      <c r="A10" s="13" t="s">
        <v>52</v>
      </c>
      <c r="B10" s="14" t="s">
        <v>53</v>
      </c>
      <c r="C10" s="15"/>
      <c r="D10" s="21" t="s">
        <v>54</v>
      </c>
      <c r="E10" s="13" t="s">
        <v>55</v>
      </c>
      <c r="F10" s="13" t="s">
        <v>56</v>
      </c>
      <c r="G10" s="13" t="s">
        <v>57</v>
      </c>
      <c r="H10" s="15"/>
      <c r="I10" s="13"/>
      <c r="J10" s="13"/>
      <c r="K10" s="13"/>
      <c r="N10" s="1" t="s">
        <v>58</v>
      </c>
      <c r="O10" s="1">
        <v>90.0</v>
      </c>
    </row>
    <row r="11">
      <c r="C11" s="18"/>
      <c r="D11" s="19" t="s">
        <v>59</v>
      </c>
      <c r="E11" s="11" t="s">
        <v>60</v>
      </c>
      <c r="H11" s="18"/>
      <c r="N11" s="1" t="s">
        <v>61</v>
      </c>
      <c r="O11" s="1">
        <v>150.0</v>
      </c>
    </row>
    <row r="12">
      <c r="A12" s="13"/>
      <c r="B12" s="14"/>
      <c r="C12" s="15"/>
      <c r="D12" s="17"/>
      <c r="E12" s="13" t="s">
        <v>62</v>
      </c>
      <c r="F12" s="13"/>
      <c r="G12" s="13"/>
      <c r="H12" s="15"/>
      <c r="I12" s="13"/>
      <c r="J12" s="13"/>
      <c r="K12" s="13"/>
      <c r="N12" s="1" t="s">
        <v>63</v>
      </c>
      <c r="O12" s="1">
        <v>70.0</v>
      </c>
    </row>
    <row r="13">
      <c r="A13" s="13"/>
      <c r="B13" s="14"/>
      <c r="C13" s="15"/>
      <c r="D13" s="17" t="s">
        <v>64</v>
      </c>
      <c r="E13" s="13" t="s">
        <v>65</v>
      </c>
      <c r="F13" s="13"/>
      <c r="G13" s="13"/>
      <c r="H13" s="15"/>
      <c r="I13" s="13"/>
      <c r="J13" s="13"/>
      <c r="K13" s="13"/>
      <c r="N13" s="1" t="s">
        <v>66</v>
      </c>
      <c r="O13" s="1">
        <v>90.0</v>
      </c>
    </row>
    <row r="14">
      <c r="C14" s="18"/>
      <c r="D14" s="22" t="s">
        <v>67</v>
      </c>
      <c r="E14" s="11" t="s">
        <v>68</v>
      </c>
      <c r="H14" s="18"/>
      <c r="N14" s="1" t="s">
        <v>69</v>
      </c>
      <c r="O14" s="1">
        <v>10.0</v>
      </c>
    </row>
    <row r="15">
      <c r="A15" s="13"/>
      <c r="B15" s="14"/>
      <c r="C15" s="15"/>
      <c r="D15" s="23" t="s">
        <v>70</v>
      </c>
      <c r="E15" s="13" t="s">
        <v>71</v>
      </c>
      <c r="F15" s="13"/>
      <c r="G15" s="13"/>
      <c r="H15" s="15"/>
      <c r="I15" s="13"/>
      <c r="J15" s="13"/>
      <c r="K15" s="13"/>
      <c r="N15" s="1" t="s">
        <v>72</v>
      </c>
      <c r="O15" s="1">
        <v>60.0</v>
      </c>
    </row>
    <row r="16">
      <c r="C16" s="18"/>
      <c r="D16" s="19" t="s">
        <v>73</v>
      </c>
      <c r="E16" s="11" t="s">
        <v>74</v>
      </c>
      <c r="H16" s="18"/>
      <c r="N16" s="1" t="s">
        <v>75</v>
      </c>
      <c r="O16" s="1">
        <v>150.0</v>
      </c>
    </row>
    <row r="17">
      <c r="C17" s="18"/>
      <c r="D17" s="19" t="s">
        <v>76</v>
      </c>
      <c r="E17" s="11" t="s">
        <v>77</v>
      </c>
      <c r="H17" s="18"/>
      <c r="N17" s="1" t="s">
        <v>78</v>
      </c>
      <c r="O17" s="1">
        <v>150.0</v>
      </c>
    </row>
    <row r="18">
      <c r="A18" s="13" t="s">
        <v>79</v>
      </c>
      <c r="B18" s="14" t="s">
        <v>80</v>
      </c>
      <c r="C18" s="15"/>
      <c r="D18" s="17"/>
      <c r="E18" s="24" t="s">
        <v>81</v>
      </c>
      <c r="F18" s="13" t="s">
        <v>82</v>
      </c>
      <c r="G18" s="13" t="s">
        <v>83</v>
      </c>
      <c r="H18" s="15"/>
      <c r="I18" s="13"/>
      <c r="J18" s="13"/>
      <c r="K18" s="13"/>
      <c r="N18" s="1" t="s">
        <v>84</v>
      </c>
      <c r="O18" s="1">
        <v>90.0</v>
      </c>
    </row>
    <row r="19">
      <c r="A19" s="13" t="s">
        <v>85</v>
      </c>
      <c r="B19" s="1" t="s">
        <v>86</v>
      </c>
      <c r="C19" s="15" t="s">
        <v>87</v>
      </c>
      <c r="D19" s="17"/>
      <c r="E19" s="24" t="s">
        <v>88</v>
      </c>
      <c r="G19" s="13" t="s">
        <v>89</v>
      </c>
      <c r="H19" s="15"/>
      <c r="N19" s="1" t="s">
        <v>90</v>
      </c>
      <c r="O19" s="1">
        <v>90.0</v>
      </c>
    </row>
    <row r="20">
      <c r="C20" s="18"/>
      <c r="D20" s="22" t="s">
        <v>91</v>
      </c>
      <c r="E20" s="13" t="s">
        <v>92</v>
      </c>
      <c r="H20" s="18"/>
      <c r="N20" s="1" t="s">
        <v>93</v>
      </c>
      <c r="O20" s="1">
        <v>90.0</v>
      </c>
    </row>
    <row r="21">
      <c r="B21" s="1" t="s">
        <v>94</v>
      </c>
      <c r="C21" s="18"/>
      <c r="D21" s="10"/>
      <c r="E21" s="13" t="s">
        <v>95</v>
      </c>
      <c r="H21" s="18"/>
      <c r="I21" s="1" t="s">
        <v>96</v>
      </c>
      <c r="N21" s="1"/>
      <c r="O21" s="1"/>
    </row>
    <row r="22">
      <c r="B22" s="1" t="s">
        <v>97</v>
      </c>
      <c r="C22" s="18"/>
      <c r="D22" s="25" t="s">
        <v>98</v>
      </c>
      <c r="E22" s="13" t="s">
        <v>99</v>
      </c>
      <c r="H22" s="18"/>
      <c r="N22" s="1" t="s">
        <v>100</v>
      </c>
      <c r="O22" s="1">
        <v>90.0</v>
      </c>
    </row>
    <row r="23">
      <c r="A23" s="13" t="s">
        <v>101</v>
      </c>
      <c r="B23" s="14" t="s">
        <v>102</v>
      </c>
      <c r="C23" s="15"/>
      <c r="D23" s="17"/>
      <c r="E23" s="13" t="s">
        <v>103</v>
      </c>
      <c r="F23" s="13" t="s">
        <v>104</v>
      </c>
      <c r="G23" s="13" t="s">
        <v>105</v>
      </c>
      <c r="H23" s="15"/>
      <c r="I23" s="13"/>
      <c r="J23" s="13"/>
      <c r="K23" s="13"/>
      <c r="N23" s="1" t="s">
        <v>106</v>
      </c>
      <c r="O23" s="1">
        <v>90.0</v>
      </c>
    </row>
    <row r="24">
      <c r="A24" s="13" t="s">
        <v>107</v>
      </c>
      <c r="B24" s="14" t="s">
        <v>108</v>
      </c>
      <c r="C24" s="15"/>
      <c r="D24" s="17"/>
      <c r="E24" s="26" t="s">
        <v>109</v>
      </c>
      <c r="F24" s="13" t="s">
        <v>110</v>
      </c>
      <c r="G24" s="13" t="s">
        <v>111</v>
      </c>
      <c r="H24" s="15"/>
      <c r="I24" s="13"/>
      <c r="J24" s="13"/>
      <c r="K24" s="13"/>
      <c r="N24" s="1" t="s">
        <v>112</v>
      </c>
      <c r="O24" s="1">
        <v>90.0</v>
      </c>
    </row>
    <row r="25">
      <c r="A25" s="13"/>
      <c r="B25" s="14"/>
      <c r="C25" s="15"/>
      <c r="D25" s="17"/>
      <c r="E25" s="14" t="s">
        <v>113</v>
      </c>
      <c r="F25" s="13"/>
      <c r="G25" s="13"/>
      <c r="H25" s="15"/>
      <c r="I25" s="13"/>
      <c r="J25" s="13"/>
      <c r="K25" s="13"/>
      <c r="N25" s="1" t="s">
        <v>114</v>
      </c>
      <c r="O25" s="1">
        <v>90.0</v>
      </c>
    </row>
    <row r="26">
      <c r="C26" s="18"/>
      <c r="D26" s="16"/>
      <c r="E26" s="27" t="s">
        <v>115</v>
      </c>
      <c r="H26" s="18"/>
      <c r="N26" s="1" t="s">
        <v>116</v>
      </c>
      <c r="O26" s="1">
        <v>90.0</v>
      </c>
    </row>
    <row r="27">
      <c r="C27" s="18"/>
      <c r="D27" s="21" t="s">
        <v>117</v>
      </c>
      <c r="E27" s="11" t="s">
        <v>118</v>
      </c>
      <c r="H27" s="18"/>
      <c r="N27" s="1" t="s">
        <v>119</v>
      </c>
      <c r="O27" s="1">
        <v>90.0</v>
      </c>
    </row>
    <row r="28">
      <c r="A28" s="13" t="s">
        <v>120</v>
      </c>
      <c r="B28" s="14" t="s">
        <v>121</v>
      </c>
      <c r="C28" s="15"/>
      <c r="D28" s="17"/>
      <c r="E28" s="14" t="s">
        <v>122</v>
      </c>
      <c r="F28" s="13" t="s">
        <v>123</v>
      </c>
      <c r="G28" s="13"/>
      <c r="H28" s="15"/>
      <c r="I28" s="13"/>
      <c r="J28" s="13"/>
      <c r="K28" s="13"/>
      <c r="N28" s="1" t="s">
        <v>124</v>
      </c>
      <c r="O28" s="1">
        <v>90.0</v>
      </c>
    </row>
    <row r="29">
      <c r="A29" s="13" t="s">
        <v>125</v>
      </c>
      <c r="B29" s="14" t="s">
        <v>126</v>
      </c>
      <c r="C29" s="15"/>
      <c r="D29" s="17"/>
      <c r="E29" s="13" t="s">
        <v>127</v>
      </c>
      <c r="F29" s="13" t="s">
        <v>128</v>
      </c>
      <c r="G29" s="13" t="s">
        <v>129</v>
      </c>
      <c r="H29" s="15"/>
      <c r="I29" s="13"/>
      <c r="J29" s="13"/>
      <c r="K29" s="13"/>
      <c r="N29" s="1" t="s">
        <v>130</v>
      </c>
      <c r="O29" s="1">
        <v>90.0</v>
      </c>
    </row>
    <row r="30">
      <c r="A30" s="13" t="s">
        <v>131</v>
      </c>
      <c r="B30" s="14" t="s">
        <v>132</v>
      </c>
      <c r="C30" s="15"/>
      <c r="D30" s="17"/>
      <c r="E30" s="14" t="s">
        <v>133</v>
      </c>
      <c r="F30" s="13" t="s">
        <v>134</v>
      </c>
      <c r="G30" s="13" t="s">
        <v>135</v>
      </c>
      <c r="H30" s="15"/>
      <c r="I30" s="13"/>
      <c r="J30" s="13"/>
      <c r="K30" s="13"/>
      <c r="N30" s="1" t="s">
        <v>136</v>
      </c>
      <c r="O30" s="1">
        <v>90.0</v>
      </c>
    </row>
    <row r="31">
      <c r="A31" s="13" t="s">
        <v>137</v>
      </c>
      <c r="B31" s="14" t="s">
        <v>138</v>
      </c>
      <c r="C31" s="15"/>
      <c r="D31" s="21" t="s">
        <v>139</v>
      </c>
      <c r="E31" s="13" t="s">
        <v>140</v>
      </c>
      <c r="F31" s="13" t="s">
        <v>141</v>
      </c>
      <c r="G31" s="13"/>
      <c r="H31" s="15"/>
      <c r="I31" s="13"/>
      <c r="J31" s="13"/>
      <c r="K31" s="13"/>
      <c r="N31" s="1" t="s">
        <v>142</v>
      </c>
      <c r="O31" s="1">
        <v>90.0</v>
      </c>
    </row>
    <row r="32">
      <c r="A32" s="13"/>
      <c r="B32" s="14"/>
      <c r="C32" s="15"/>
      <c r="D32" s="17"/>
      <c r="E32" s="13" t="s">
        <v>140</v>
      </c>
      <c r="F32" s="13"/>
      <c r="G32" s="13"/>
      <c r="H32" s="15"/>
      <c r="I32" s="13"/>
      <c r="J32" s="13"/>
      <c r="K32" s="13"/>
      <c r="N32" s="1" t="s">
        <v>143</v>
      </c>
      <c r="O32" s="1">
        <v>60.0</v>
      </c>
    </row>
    <row r="33">
      <c r="A33" s="13" t="s">
        <v>144</v>
      </c>
      <c r="B33" s="14" t="s">
        <v>145</v>
      </c>
      <c r="C33" s="15"/>
      <c r="D33" s="17"/>
      <c r="E33" s="13" t="s">
        <v>146</v>
      </c>
      <c r="F33" s="13" t="s">
        <v>147</v>
      </c>
      <c r="G33" s="13" t="s">
        <v>148</v>
      </c>
      <c r="H33" s="15"/>
      <c r="I33" s="13"/>
      <c r="J33" s="13"/>
      <c r="K33" s="13"/>
      <c r="N33" s="1" t="s">
        <v>149</v>
      </c>
      <c r="O33" s="1">
        <v>60.0</v>
      </c>
    </row>
    <row r="34">
      <c r="A34" s="13"/>
      <c r="B34" s="14"/>
      <c r="C34" s="15"/>
      <c r="D34" s="22" t="s">
        <v>150</v>
      </c>
      <c r="E34" s="13" t="s">
        <v>151</v>
      </c>
      <c r="F34" s="13"/>
      <c r="G34" s="13"/>
      <c r="H34" s="15"/>
      <c r="I34" s="13"/>
      <c r="J34" s="13"/>
      <c r="K34" s="13"/>
      <c r="N34" s="1"/>
      <c r="O34" s="1"/>
    </row>
    <row r="35">
      <c r="A35" s="13" t="s">
        <v>152</v>
      </c>
      <c r="B35" s="14" t="s">
        <v>153</v>
      </c>
      <c r="C35" s="15"/>
      <c r="E35" s="13" t="s">
        <v>154</v>
      </c>
      <c r="F35" s="13" t="s">
        <v>155</v>
      </c>
      <c r="G35" s="13" t="s">
        <v>156</v>
      </c>
      <c r="H35" s="15"/>
      <c r="I35" s="13"/>
      <c r="J35" s="13"/>
      <c r="K35" s="13"/>
      <c r="N35" s="1" t="s">
        <v>157</v>
      </c>
      <c r="O35" s="1">
        <v>90.0</v>
      </c>
    </row>
    <row r="36">
      <c r="C36" s="18"/>
      <c r="D36" s="21" t="s">
        <v>158</v>
      </c>
      <c r="E36" s="13" t="s">
        <v>154</v>
      </c>
      <c r="H36" s="18"/>
      <c r="N36" s="1" t="s">
        <v>159</v>
      </c>
      <c r="O36" s="1">
        <v>10.0</v>
      </c>
    </row>
    <row r="37">
      <c r="A37" s="13"/>
      <c r="B37" s="14"/>
      <c r="C37" s="15"/>
      <c r="D37" s="10"/>
      <c r="E37" s="13" t="s">
        <v>160</v>
      </c>
      <c r="F37" s="28"/>
      <c r="G37" s="13"/>
      <c r="H37" s="15"/>
      <c r="I37" s="13"/>
      <c r="J37" s="13"/>
      <c r="K37" s="13"/>
      <c r="N37" s="1" t="s">
        <v>161</v>
      </c>
      <c r="O37" s="1">
        <v>80.0</v>
      </c>
    </row>
    <row r="38">
      <c r="A38" s="13"/>
      <c r="B38" s="14"/>
      <c r="C38" s="15"/>
      <c r="D38" s="10"/>
      <c r="E38" s="13" t="s">
        <v>162</v>
      </c>
      <c r="F38" s="28"/>
      <c r="G38" s="13"/>
      <c r="H38" s="15"/>
      <c r="I38" s="13"/>
      <c r="J38" s="13"/>
      <c r="K38" s="13"/>
      <c r="N38" s="1" t="s">
        <v>163</v>
      </c>
      <c r="O38" s="1">
        <v>80.0</v>
      </c>
    </row>
    <row r="39">
      <c r="A39" s="13"/>
      <c r="B39" s="14"/>
      <c r="C39" s="15"/>
      <c r="D39" s="10"/>
      <c r="E39" s="13" t="s">
        <v>164</v>
      </c>
      <c r="F39" s="13"/>
      <c r="G39" s="13"/>
      <c r="H39" s="15"/>
      <c r="I39" s="13"/>
      <c r="J39" s="13"/>
      <c r="K39" s="13"/>
      <c r="N39" s="1" t="s">
        <v>165</v>
      </c>
      <c r="O39" s="1">
        <v>70.0</v>
      </c>
    </row>
    <row r="40">
      <c r="A40" s="13"/>
      <c r="B40" s="14"/>
      <c r="C40" s="15"/>
      <c r="D40" s="10"/>
      <c r="E40" s="13" t="s">
        <v>166</v>
      </c>
      <c r="F40" s="28"/>
      <c r="G40" s="13"/>
      <c r="H40" s="15"/>
      <c r="I40" s="13"/>
      <c r="J40" s="13"/>
      <c r="K40" s="13"/>
      <c r="N40" s="1" t="s">
        <v>167</v>
      </c>
      <c r="O40" s="1">
        <v>80.0</v>
      </c>
    </row>
    <row r="41">
      <c r="A41" s="13"/>
      <c r="B41" s="14"/>
      <c r="C41" s="15"/>
      <c r="D41" s="10"/>
      <c r="E41" s="13" t="s">
        <v>168</v>
      </c>
      <c r="F41" s="28"/>
      <c r="G41" s="13"/>
      <c r="H41" s="15"/>
      <c r="I41" s="13"/>
      <c r="J41" s="13"/>
      <c r="K41" s="13"/>
      <c r="N41" s="1" t="s">
        <v>169</v>
      </c>
      <c r="O41" s="1">
        <v>80.0</v>
      </c>
    </row>
    <row r="42">
      <c r="A42" s="13"/>
      <c r="B42" s="14"/>
      <c r="C42" s="15"/>
      <c r="D42" s="10"/>
      <c r="E42" s="13" t="s">
        <v>170</v>
      </c>
      <c r="F42" s="28"/>
      <c r="G42" s="13"/>
      <c r="H42" s="15"/>
      <c r="I42" s="13"/>
      <c r="J42" s="13"/>
      <c r="K42" s="13"/>
      <c r="N42" s="1" t="s">
        <v>171</v>
      </c>
      <c r="O42" s="1">
        <v>80.0</v>
      </c>
    </row>
    <row r="43">
      <c r="A43" s="13"/>
      <c r="B43" s="14"/>
      <c r="C43" s="15"/>
      <c r="D43" s="10"/>
      <c r="E43" s="13" t="s">
        <v>172</v>
      </c>
      <c r="F43" s="28"/>
      <c r="G43" s="13"/>
      <c r="H43" s="15"/>
      <c r="I43" s="13"/>
      <c r="J43" s="13"/>
      <c r="K43" s="13"/>
      <c r="N43" s="1" t="s">
        <v>173</v>
      </c>
      <c r="O43" s="1">
        <v>80.0</v>
      </c>
    </row>
    <row r="44">
      <c r="A44" s="13"/>
      <c r="B44" s="14"/>
      <c r="C44" s="15"/>
      <c r="D44" s="10"/>
      <c r="E44" s="13" t="s">
        <v>174</v>
      </c>
      <c r="F44" s="28"/>
      <c r="G44" s="13"/>
      <c r="H44" s="15"/>
      <c r="I44" s="13"/>
      <c r="J44" s="13"/>
      <c r="K44" s="13"/>
      <c r="N44" s="1" t="s">
        <v>175</v>
      </c>
      <c r="O44" s="1">
        <v>80.0</v>
      </c>
    </row>
    <row r="45">
      <c r="A45" s="13"/>
      <c r="B45" s="14"/>
      <c r="C45" s="15"/>
      <c r="D45" s="10" t="s">
        <v>176</v>
      </c>
      <c r="E45" s="13" t="s">
        <v>176</v>
      </c>
      <c r="F45" s="28"/>
      <c r="G45" s="13"/>
      <c r="H45" s="15"/>
      <c r="I45" s="13"/>
      <c r="J45" s="13"/>
      <c r="K45" s="13"/>
      <c r="N45" s="1" t="s">
        <v>177</v>
      </c>
      <c r="O45" s="1">
        <v>80.0</v>
      </c>
    </row>
    <row r="46">
      <c r="A46" s="13"/>
      <c r="B46" s="14"/>
      <c r="C46" s="15"/>
      <c r="D46" s="10"/>
      <c r="E46" s="13" t="s">
        <v>178</v>
      </c>
      <c r="F46" s="28"/>
      <c r="G46" s="13"/>
      <c r="H46" s="15"/>
      <c r="I46" s="13"/>
      <c r="J46" s="13"/>
      <c r="K46" s="13"/>
      <c r="N46" s="1" t="s">
        <v>179</v>
      </c>
      <c r="O46" s="1">
        <v>80.0</v>
      </c>
    </row>
    <row r="47">
      <c r="A47" s="13"/>
      <c r="B47" s="14"/>
      <c r="C47" s="15"/>
      <c r="D47" s="10"/>
      <c r="E47" s="13" t="s">
        <v>180</v>
      </c>
      <c r="F47" s="28"/>
      <c r="G47" s="13"/>
      <c r="H47" s="15"/>
      <c r="I47" s="13"/>
      <c r="J47" s="13"/>
      <c r="K47" s="13"/>
      <c r="N47" s="1" t="s">
        <v>181</v>
      </c>
      <c r="O47" s="1">
        <v>80.0</v>
      </c>
    </row>
    <row r="48">
      <c r="A48" s="13"/>
      <c r="B48" s="14"/>
      <c r="C48" s="15"/>
      <c r="D48" s="10"/>
      <c r="E48" s="13" t="s">
        <v>182</v>
      </c>
      <c r="F48" s="28"/>
      <c r="G48" s="13"/>
      <c r="H48" s="15"/>
      <c r="I48" s="13"/>
      <c r="J48" s="13"/>
      <c r="K48" s="13"/>
      <c r="N48" s="1" t="s">
        <v>183</v>
      </c>
      <c r="O48" s="1">
        <v>80.0</v>
      </c>
    </row>
    <row r="49">
      <c r="A49" s="13"/>
      <c r="B49" s="14"/>
      <c r="C49" s="15"/>
      <c r="D49" s="10"/>
      <c r="E49" s="13" t="s">
        <v>184</v>
      </c>
      <c r="F49" s="28"/>
      <c r="G49" s="13"/>
      <c r="H49" s="15"/>
      <c r="I49" s="13"/>
      <c r="J49" s="13"/>
      <c r="K49" s="13"/>
      <c r="N49" s="1" t="s">
        <v>185</v>
      </c>
      <c r="O49" s="1">
        <v>80.0</v>
      </c>
    </row>
    <row r="50">
      <c r="A50" s="13"/>
      <c r="B50" s="14"/>
      <c r="C50" s="15"/>
      <c r="D50" s="10"/>
      <c r="E50" s="13" t="s">
        <v>186</v>
      </c>
      <c r="F50" s="28"/>
      <c r="G50" s="13"/>
      <c r="H50" s="15"/>
      <c r="I50" s="13"/>
      <c r="J50" s="13"/>
      <c r="K50" s="13"/>
      <c r="N50" s="1" t="s">
        <v>187</v>
      </c>
      <c r="O50" s="1">
        <v>80.0</v>
      </c>
    </row>
    <row r="51">
      <c r="A51" s="13"/>
      <c r="B51" s="14"/>
      <c r="C51" s="15"/>
      <c r="D51" s="10"/>
      <c r="E51" s="13" t="s">
        <v>188</v>
      </c>
      <c r="F51" s="28"/>
      <c r="G51" s="13"/>
      <c r="H51" s="15"/>
      <c r="I51" s="13"/>
      <c r="J51" s="13"/>
      <c r="K51" s="13"/>
      <c r="N51" s="1" t="s">
        <v>189</v>
      </c>
      <c r="O51" s="1">
        <v>80.0</v>
      </c>
    </row>
    <row r="52">
      <c r="A52" s="13"/>
      <c r="B52" s="14"/>
      <c r="C52" s="15"/>
      <c r="D52" s="10"/>
      <c r="E52" s="13" t="s">
        <v>190</v>
      </c>
      <c r="F52" s="28"/>
      <c r="G52" s="13"/>
      <c r="H52" s="15"/>
      <c r="I52" s="13"/>
      <c r="J52" s="13"/>
      <c r="K52" s="13"/>
      <c r="N52" s="1" t="s">
        <v>191</v>
      </c>
      <c r="O52" s="1">
        <v>70.0</v>
      </c>
    </row>
    <row r="53">
      <c r="A53" s="13"/>
      <c r="B53" s="14"/>
      <c r="C53" s="15"/>
      <c r="D53" s="10"/>
      <c r="E53" s="13" t="s">
        <v>192</v>
      </c>
      <c r="F53" s="28"/>
      <c r="G53" s="13"/>
      <c r="H53" s="15"/>
      <c r="I53" s="13"/>
      <c r="J53" s="13"/>
      <c r="K53" s="13"/>
      <c r="N53" s="1" t="s">
        <v>193</v>
      </c>
      <c r="O53" s="1">
        <v>80.0</v>
      </c>
    </row>
    <row r="54">
      <c r="A54" s="13"/>
      <c r="B54" s="14"/>
      <c r="C54" s="15"/>
      <c r="D54" s="10"/>
      <c r="E54" s="13" t="s">
        <v>194</v>
      </c>
      <c r="F54" s="28"/>
      <c r="G54" s="13"/>
      <c r="H54" s="15"/>
      <c r="I54" s="13"/>
      <c r="J54" s="13"/>
      <c r="K54" s="13"/>
      <c r="N54" s="1" t="s">
        <v>195</v>
      </c>
      <c r="O54" s="1">
        <v>80.0</v>
      </c>
    </row>
    <row r="55">
      <c r="A55" s="13"/>
      <c r="B55" s="14"/>
      <c r="C55" s="15"/>
      <c r="D55" s="10"/>
      <c r="E55" s="13" t="s">
        <v>196</v>
      </c>
      <c r="F55" s="28"/>
      <c r="G55" s="13"/>
      <c r="H55" s="15"/>
      <c r="I55" s="13"/>
      <c r="J55" s="13"/>
      <c r="K55" s="13"/>
      <c r="N55" s="1" t="s">
        <v>197</v>
      </c>
      <c r="O55" s="1">
        <v>80.0</v>
      </c>
    </row>
    <row r="56">
      <c r="A56" s="13"/>
      <c r="B56" s="14"/>
      <c r="C56" s="15"/>
      <c r="D56" s="10"/>
      <c r="E56" s="13" t="s">
        <v>198</v>
      </c>
      <c r="F56" s="28"/>
      <c r="G56" s="13"/>
      <c r="H56" s="15"/>
      <c r="I56" s="13"/>
      <c r="J56" s="13"/>
      <c r="K56" s="13"/>
      <c r="N56" s="1" t="s">
        <v>199</v>
      </c>
      <c r="O56" s="1">
        <v>80.0</v>
      </c>
    </row>
    <row r="57">
      <c r="A57" s="13"/>
      <c r="B57" s="14"/>
      <c r="C57" s="15"/>
      <c r="D57" s="10"/>
      <c r="E57" s="13" t="s">
        <v>200</v>
      </c>
      <c r="F57" s="28"/>
      <c r="G57" s="13"/>
      <c r="H57" s="15"/>
      <c r="I57" s="13"/>
      <c r="J57" s="13"/>
      <c r="K57" s="13"/>
      <c r="N57" s="1" t="s">
        <v>201</v>
      </c>
      <c r="O57" s="1">
        <v>80.0</v>
      </c>
    </row>
    <row r="58">
      <c r="A58" s="13"/>
      <c r="B58" s="14"/>
      <c r="C58" s="15"/>
      <c r="D58" s="10"/>
      <c r="E58" s="13" t="s">
        <v>202</v>
      </c>
      <c r="F58" s="28"/>
      <c r="G58" s="13"/>
      <c r="H58" s="15"/>
      <c r="I58" s="13"/>
      <c r="J58" s="13"/>
      <c r="K58" s="13"/>
      <c r="N58" s="1" t="s">
        <v>203</v>
      </c>
      <c r="O58" s="1">
        <v>80.0</v>
      </c>
    </row>
    <row r="59">
      <c r="A59" s="13"/>
      <c r="B59" s="14"/>
      <c r="C59" s="15"/>
      <c r="D59" s="10"/>
      <c r="E59" s="13" t="s">
        <v>204</v>
      </c>
      <c r="F59" s="28"/>
      <c r="G59" s="13"/>
      <c r="H59" s="15"/>
      <c r="I59" s="13"/>
      <c r="J59" s="13"/>
      <c r="K59" s="13"/>
      <c r="N59" s="1" t="s">
        <v>205</v>
      </c>
      <c r="O59" s="1">
        <v>80.0</v>
      </c>
    </row>
    <row r="60">
      <c r="A60" s="13"/>
      <c r="B60" s="14"/>
      <c r="C60" s="15"/>
      <c r="D60" s="10" t="s">
        <v>206</v>
      </c>
      <c r="E60" s="13" t="s">
        <v>206</v>
      </c>
      <c r="F60" s="28"/>
      <c r="G60" s="13"/>
      <c r="H60" s="15"/>
      <c r="I60" s="13"/>
      <c r="J60" s="13"/>
      <c r="K60" s="13"/>
      <c r="N60" s="1" t="s">
        <v>207</v>
      </c>
      <c r="O60" s="1">
        <v>90.0</v>
      </c>
    </row>
    <row r="61">
      <c r="A61" s="13"/>
      <c r="B61" s="14"/>
      <c r="C61" s="15"/>
      <c r="D61" s="10"/>
      <c r="E61" s="13" t="s">
        <v>208</v>
      </c>
      <c r="F61" s="28"/>
      <c r="G61" s="13"/>
      <c r="H61" s="15"/>
      <c r="I61" s="13"/>
      <c r="J61" s="13"/>
      <c r="K61" s="13"/>
      <c r="N61" s="1" t="s">
        <v>209</v>
      </c>
      <c r="O61" s="1">
        <v>70.0</v>
      </c>
    </row>
    <row r="62">
      <c r="A62" s="13"/>
      <c r="B62" s="14"/>
      <c r="C62" s="15"/>
      <c r="D62" s="10"/>
      <c r="E62" s="13" t="s">
        <v>210</v>
      </c>
      <c r="F62" s="28"/>
      <c r="G62" s="13"/>
      <c r="H62" s="15"/>
      <c r="I62" s="13"/>
      <c r="J62" s="13"/>
      <c r="K62" s="13"/>
      <c r="N62" s="1" t="s">
        <v>211</v>
      </c>
      <c r="O62" s="1">
        <v>80.0</v>
      </c>
    </row>
    <row r="63">
      <c r="A63" s="13"/>
      <c r="B63" s="14"/>
      <c r="C63" s="15"/>
      <c r="D63" s="10"/>
      <c r="E63" s="13" t="s">
        <v>212</v>
      </c>
      <c r="F63" s="28"/>
      <c r="G63" s="13"/>
      <c r="H63" s="15"/>
      <c r="I63" s="13"/>
      <c r="J63" s="13"/>
      <c r="K63" s="13"/>
      <c r="N63" s="1" t="s">
        <v>213</v>
      </c>
      <c r="O63" s="1">
        <v>80.0</v>
      </c>
    </row>
    <row r="64">
      <c r="A64" s="13"/>
      <c r="B64" s="14"/>
      <c r="C64" s="15"/>
      <c r="D64" s="10"/>
      <c r="E64" s="13" t="s">
        <v>214</v>
      </c>
      <c r="F64" s="28"/>
      <c r="G64" s="13"/>
      <c r="H64" s="15"/>
      <c r="I64" s="13"/>
      <c r="J64" s="13"/>
      <c r="K64" s="13"/>
      <c r="N64" s="1" t="s">
        <v>215</v>
      </c>
      <c r="O64" s="1">
        <v>80.0</v>
      </c>
    </row>
    <row r="65">
      <c r="A65" s="13"/>
      <c r="B65" s="14"/>
      <c r="C65" s="15"/>
      <c r="D65" s="10"/>
      <c r="E65" s="13" t="s">
        <v>216</v>
      </c>
      <c r="F65" s="28"/>
      <c r="G65" s="13"/>
      <c r="H65" s="15"/>
      <c r="I65" s="13"/>
      <c r="J65" s="13"/>
      <c r="K65" s="13"/>
      <c r="N65" s="1" t="s">
        <v>217</v>
      </c>
      <c r="O65" s="1">
        <v>80.0</v>
      </c>
    </row>
    <row r="66">
      <c r="A66" s="13"/>
      <c r="B66" s="14"/>
      <c r="C66" s="15"/>
      <c r="D66" s="10"/>
      <c r="E66" s="13" t="s">
        <v>218</v>
      </c>
      <c r="F66" s="28"/>
      <c r="G66" s="13"/>
      <c r="H66" s="15"/>
      <c r="I66" s="13"/>
      <c r="J66" s="13"/>
      <c r="K66" s="13"/>
      <c r="N66" s="1" t="s">
        <v>219</v>
      </c>
      <c r="O66" s="1">
        <v>80.0</v>
      </c>
    </row>
    <row r="67">
      <c r="A67" s="13"/>
      <c r="B67" s="14"/>
      <c r="C67" s="15"/>
      <c r="D67" s="10"/>
      <c r="E67" s="13" t="s">
        <v>220</v>
      </c>
      <c r="F67" s="28"/>
      <c r="G67" s="13"/>
      <c r="H67" s="15"/>
      <c r="I67" s="13"/>
      <c r="J67" s="13"/>
      <c r="K67" s="13"/>
      <c r="N67" s="1" t="s">
        <v>221</v>
      </c>
      <c r="O67" s="1">
        <v>80.0</v>
      </c>
    </row>
    <row r="68">
      <c r="A68" s="13"/>
      <c r="B68" s="14"/>
      <c r="C68" s="15"/>
      <c r="D68" s="10" t="s">
        <v>222</v>
      </c>
      <c r="E68" s="13" t="s">
        <v>222</v>
      </c>
      <c r="F68" s="28"/>
      <c r="G68" s="13"/>
      <c r="H68" s="15"/>
      <c r="I68" s="13"/>
      <c r="J68" s="13"/>
      <c r="K68" s="13"/>
      <c r="N68" s="1" t="s">
        <v>223</v>
      </c>
      <c r="O68" s="1">
        <v>80.0</v>
      </c>
    </row>
    <row r="69">
      <c r="A69" s="13"/>
      <c r="B69" s="14"/>
      <c r="C69" s="15"/>
      <c r="D69" s="10"/>
      <c r="E69" s="13" t="s">
        <v>224</v>
      </c>
      <c r="F69" s="13"/>
      <c r="G69" s="13"/>
      <c r="H69" s="15"/>
      <c r="I69" s="13"/>
      <c r="J69" s="13"/>
      <c r="K69" s="13"/>
      <c r="N69" s="1" t="s">
        <v>225</v>
      </c>
      <c r="O69" s="1">
        <v>70.0</v>
      </c>
    </row>
    <row r="70">
      <c r="A70" s="13"/>
      <c r="B70" s="14"/>
      <c r="C70" s="15"/>
      <c r="D70" s="10"/>
      <c r="E70" s="13" t="s">
        <v>226</v>
      </c>
      <c r="F70" s="28"/>
      <c r="G70" s="13"/>
      <c r="H70" s="15"/>
      <c r="I70" s="13"/>
      <c r="J70" s="13"/>
      <c r="K70" s="13"/>
      <c r="N70" s="1" t="s">
        <v>227</v>
      </c>
      <c r="O70" s="1">
        <v>80.0</v>
      </c>
    </row>
    <row r="71">
      <c r="A71" s="13"/>
      <c r="B71" s="14"/>
      <c r="C71" s="15"/>
      <c r="D71" s="10"/>
      <c r="E71" s="13" t="s">
        <v>228</v>
      </c>
      <c r="F71" s="28"/>
      <c r="G71" s="13"/>
      <c r="H71" s="15"/>
      <c r="I71" s="13"/>
      <c r="J71" s="13"/>
      <c r="K71" s="13"/>
      <c r="N71" s="1" t="s">
        <v>229</v>
      </c>
      <c r="O71" s="1">
        <v>80.0</v>
      </c>
    </row>
    <row r="72">
      <c r="A72" s="13"/>
      <c r="B72" s="14"/>
      <c r="C72" s="15"/>
      <c r="D72" s="10"/>
      <c r="E72" s="13" t="s">
        <v>230</v>
      </c>
      <c r="F72" s="28"/>
      <c r="G72" s="13"/>
      <c r="H72" s="15"/>
      <c r="I72" s="13"/>
      <c r="J72" s="13"/>
      <c r="K72" s="13"/>
      <c r="N72" s="1" t="s">
        <v>231</v>
      </c>
      <c r="O72" s="1">
        <v>80.0</v>
      </c>
    </row>
    <row r="73">
      <c r="A73" s="13"/>
      <c r="B73" s="14"/>
      <c r="C73" s="15"/>
      <c r="D73" s="10"/>
      <c r="E73" s="13" t="s">
        <v>232</v>
      </c>
      <c r="F73" s="28"/>
      <c r="G73" s="13"/>
      <c r="H73" s="15"/>
      <c r="I73" s="13"/>
      <c r="J73" s="13"/>
      <c r="K73" s="13"/>
      <c r="N73" s="1" t="s">
        <v>233</v>
      </c>
      <c r="O73" s="1">
        <v>80.0</v>
      </c>
    </row>
    <row r="74">
      <c r="A74" s="13"/>
      <c r="B74" s="14"/>
      <c r="C74" s="15"/>
      <c r="D74" s="10"/>
      <c r="E74" s="13" t="s">
        <v>234</v>
      </c>
      <c r="F74" s="28"/>
      <c r="G74" s="13"/>
      <c r="H74" s="15"/>
      <c r="I74" s="13"/>
      <c r="J74" s="13"/>
      <c r="K74" s="13"/>
      <c r="N74" s="1" t="s">
        <v>235</v>
      </c>
      <c r="O74" s="1">
        <v>80.0</v>
      </c>
    </row>
    <row r="75">
      <c r="A75" s="13"/>
      <c r="B75" s="14"/>
      <c r="C75" s="15"/>
      <c r="D75" s="10"/>
      <c r="E75" s="13" t="s">
        <v>236</v>
      </c>
      <c r="F75" s="28"/>
      <c r="G75" s="13"/>
      <c r="H75" s="15"/>
      <c r="I75" s="13"/>
      <c r="J75" s="13"/>
      <c r="K75" s="13"/>
      <c r="N75" s="1" t="s">
        <v>237</v>
      </c>
      <c r="O75" s="1">
        <v>80.0</v>
      </c>
    </row>
    <row r="76">
      <c r="A76" s="13"/>
      <c r="B76" s="14"/>
      <c r="C76" s="15"/>
      <c r="D76" s="10"/>
      <c r="E76" s="13" t="s">
        <v>238</v>
      </c>
      <c r="F76" s="28"/>
      <c r="G76" s="13"/>
      <c r="H76" s="15"/>
      <c r="I76" s="13"/>
      <c r="J76" s="13"/>
      <c r="K76" s="13"/>
      <c r="N76" s="1" t="s">
        <v>239</v>
      </c>
      <c r="O76" s="1">
        <v>80.0</v>
      </c>
    </row>
    <row r="77">
      <c r="A77" s="13"/>
      <c r="B77" s="14"/>
      <c r="C77" s="15"/>
      <c r="D77" s="10" t="s">
        <v>240</v>
      </c>
      <c r="E77" s="13" t="s">
        <v>240</v>
      </c>
      <c r="F77" s="13"/>
      <c r="G77" s="13"/>
      <c r="H77" s="15"/>
      <c r="I77" s="13"/>
      <c r="J77" s="13"/>
      <c r="K77" s="13"/>
      <c r="N77" s="1" t="s">
        <v>241</v>
      </c>
      <c r="O77" s="1">
        <v>70.0</v>
      </c>
    </row>
    <row r="78">
      <c r="A78" s="13"/>
      <c r="B78" s="14"/>
      <c r="C78" s="15"/>
      <c r="D78" s="10" t="s">
        <v>242</v>
      </c>
      <c r="E78" s="13" t="s">
        <v>242</v>
      </c>
      <c r="F78" s="28"/>
      <c r="G78" s="13"/>
      <c r="H78" s="15"/>
      <c r="I78" s="13"/>
      <c r="J78" s="13"/>
      <c r="K78" s="13"/>
      <c r="N78" s="1" t="s">
        <v>243</v>
      </c>
      <c r="O78" s="1">
        <v>80.0</v>
      </c>
    </row>
    <row r="79">
      <c r="A79" s="13"/>
      <c r="B79" s="14"/>
      <c r="C79" s="15"/>
      <c r="D79" s="10"/>
      <c r="E79" s="13" t="s">
        <v>244</v>
      </c>
      <c r="F79" s="28"/>
      <c r="G79" s="13"/>
      <c r="H79" s="15"/>
      <c r="I79" s="13"/>
      <c r="J79" s="13"/>
      <c r="K79" s="13"/>
      <c r="N79" s="1" t="s">
        <v>245</v>
      </c>
      <c r="O79" s="1">
        <v>80.0</v>
      </c>
    </row>
    <row r="80">
      <c r="A80" s="13"/>
      <c r="B80" s="14"/>
      <c r="C80" s="15"/>
      <c r="D80" s="10"/>
      <c r="E80" s="13" t="s">
        <v>246</v>
      </c>
      <c r="F80" s="28"/>
      <c r="G80" s="13"/>
      <c r="H80" s="15"/>
      <c r="I80" s="13"/>
      <c r="J80" s="13"/>
      <c r="K80" s="13"/>
      <c r="N80" s="1" t="s">
        <v>247</v>
      </c>
      <c r="O80" s="1">
        <v>80.0</v>
      </c>
    </row>
    <row r="81">
      <c r="A81" s="13"/>
      <c r="B81" s="14"/>
      <c r="C81" s="15"/>
      <c r="D81" s="10"/>
      <c r="E81" s="13" t="s">
        <v>248</v>
      </c>
      <c r="F81" s="28"/>
      <c r="G81" s="13"/>
      <c r="H81" s="15"/>
      <c r="I81" s="13"/>
      <c r="J81" s="13"/>
      <c r="K81" s="13"/>
      <c r="N81" s="1" t="s">
        <v>249</v>
      </c>
      <c r="O81" s="1">
        <v>80.0</v>
      </c>
    </row>
    <row r="82">
      <c r="A82" s="13"/>
      <c r="B82" s="14"/>
      <c r="C82" s="15"/>
      <c r="D82" s="10"/>
      <c r="E82" s="13" t="s">
        <v>250</v>
      </c>
      <c r="F82" s="28"/>
      <c r="G82" s="13"/>
      <c r="H82" s="15"/>
      <c r="I82" s="13"/>
      <c r="J82" s="13"/>
      <c r="K82" s="13"/>
      <c r="N82" s="1" t="s">
        <v>251</v>
      </c>
      <c r="O82" s="1">
        <v>80.0</v>
      </c>
    </row>
    <row r="83">
      <c r="A83" s="13"/>
      <c r="B83" s="14"/>
      <c r="C83" s="15"/>
      <c r="D83" s="10"/>
      <c r="E83" s="13" t="s">
        <v>252</v>
      </c>
      <c r="F83" s="28"/>
      <c r="G83" s="13"/>
      <c r="H83" s="15"/>
      <c r="I83" s="13"/>
      <c r="J83" s="13"/>
      <c r="K83" s="13"/>
      <c r="N83" s="1" t="s">
        <v>253</v>
      </c>
      <c r="O83" s="1">
        <v>80.0</v>
      </c>
    </row>
    <row r="84">
      <c r="A84" s="13"/>
      <c r="B84" s="14"/>
      <c r="C84" s="15"/>
      <c r="D84" s="10"/>
      <c r="E84" s="13" t="s">
        <v>254</v>
      </c>
      <c r="F84" s="28"/>
      <c r="G84" s="13"/>
      <c r="H84" s="15"/>
      <c r="I84" s="13"/>
      <c r="J84" s="13"/>
      <c r="K84" s="13"/>
      <c r="N84" s="1" t="s">
        <v>255</v>
      </c>
      <c r="O84" s="1">
        <v>80.0</v>
      </c>
    </row>
    <row r="85">
      <c r="A85" s="13"/>
      <c r="B85" s="14"/>
      <c r="C85" s="15"/>
      <c r="D85" s="10" t="s">
        <v>256</v>
      </c>
      <c r="E85" s="13" t="s">
        <v>256</v>
      </c>
      <c r="F85" s="28"/>
      <c r="G85" s="13"/>
      <c r="H85" s="15"/>
      <c r="I85" s="13"/>
      <c r="J85" s="13"/>
      <c r="K85" s="13"/>
      <c r="N85" s="1" t="s">
        <v>257</v>
      </c>
      <c r="O85" s="1">
        <v>90.0</v>
      </c>
    </row>
    <row r="86">
      <c r="A86" s="13"/>
      <c r="B86" s="14"/>
      <c r="C86" s="15"/>
      <c r="D86" s="10" t="s">
        <v>258</v>
      </c>
      <c r="E86" s="13" t="s">
        <v>258</v>
      </c>
      <c r="F86" s="13"/>
      <c r="G86" s="13"/>
      <c r="H86" s="15"/>
      <c r="I86" s="13"/>
      <c r="J86" s="13"/>
      <c r="K86" s="13"/>
      <c r="N86" s="1" t="s">
        <v>259</v>
      </c>
      <c r="O86" s="1">
        <v>70.0</v>
      </c>
    </row>
    <row r="87">
      <c r="A87" s="13"/>
      <c r="B87" s="14"/>
      <c r="C87" s="15"/>
      <c r="D87" s="10" t="s">
        <v>260</v>
      </c>
      <c r="E87" s="13" t="s">
        <v>260</v>
      </c>
      <c r="F87" s="13"/>
      <c r="G87" s="13"/>
      <c r="H87" s="15"/>
      <c r="I87" s="13"/>
      <c r="J87" s="13"/>
      <c r="K87" s="13"/>
      <c r="N87" s="1" t="s">
        <v>261</v>
      </c>
      <c r="O87" s="1">
        <v>70.0</v>
      </c>
    </row>
    <row r="88">
      <c r="A88" s="13"/>
      <c r="B88" s="14"/>
      <c r="C88" s="15"/>
      <c r="D88" s="10" t="s">
        <v>262</v>
      </c>
      <c r="E88" s="13" t="s">
        <v>262</v>
      </c>
      <c r="F88" s="28"/>
      <c r="G88" s="13"/>
      <c r="H88" s="15"/>
      <c r="I88" s="13"/>
      <c r="J88" s="13"/>
      <c r="K88" s="13"/>
      <c r="N88" s="1" t="s">
        <v>263</v>
      </c>
      <c r="O88" s="1">
        <v>90.0</v>
      </c>
    </row>
    <row r="89">
      <c r="A89" s="13"/>
      <c r="B89" s="14"/>
      <c r="C89" s="15"/>
      <c r="D89" s="10" t="s">
        <v>264</v>
      </c>
      <c r="E89" s="13" t="s">
        <v>264</v>
      </c>
      <c r="F89" s="13"/>
      <c r="G89" s="13"/>
      <c r="H89" s="15"/>
      <c r="I89" s="13"/>
      <c r="J89" s="13"/>
      <c r="K89" s="13"/>
      <c r="N89" s="1" t="s">
        <v>265</v>
      </c>
      <c r="O89" s="1">
        <v>70.0</v>
      </c>
    </row>
    <row r="90">
      <c r="A90" s="13"/>
      <c r="B90" s="14"/>
      <c r="C90" s="15"/>
      <c r="D90" s="10"/>
      <c r="E90" s="13" t="s">
        <v>266</v>
      </c>
      <c r="F90" s="28"/>
      <c r="G90" s="13"/>
      <c r="H90" s="15"/>
      <c r="I90" s="13"/>
      <c r="J90" s="13"/>
      <c r="K90" s="13"/>
      <c r="N90" s="1" t="s">
        <v>267</v>
      </c>
      <c r="O90" s="1">
        <v>80.0</v>
      </c>
    </row>
    <row r="91">
      <c r="A91" s="13"/>
      <c r="B91" s="14"/>
      <c r="C91" s="15"/>
      <c r="D91" s="10"/>
      <c r="E91" s="13" t="s">
        <v>268</v>
      </c>
      <c r="F91" s="28"/>
      <c r="G91" s="13"/>
      <c r="H91" s="15"/>
      <c r="I91" s="13"/>
      <c r="J91" s="13"/>
      <c r="K91" s="13"/>
      <c r="N91" s="1" t="s">
        <v>269</v>
      </c>
      <c r="O91" s="1">
        <v>80.0</v>
      </c>
    </row>
    <row r="92">
      <c r="A92" s="13"/>
      <c r="B92" s="14"/>
      <c r="C92" s="15"/>
      <c r="D92" s="10"/>
      <c r="E92" s="13" t="s">
        <v>270</v>
      </c>
      <c r="F92" s="28"/>
      <c r="G92" s="13"/>
      <c r="H92" s="15"/>
      <c r="I92" s="13"/>
      <c r="J92" s="13"/>
      <c r="K92" s="13"/>
      <c r="N92" s="1" t="s">
        <v>271</v>
      </c>
      <c r="O92" s="1">
        <v>80.0</v>
      </c>
    </row>
    <row r="93">
      <c r="A93" s="13"/>
      <c r="B93" s="14"/>
      <c r="C93" s="15"/>
      <c r="D93" s="10"/>
      <c r="E93" s="13" t="s">
        <v>272</v>
      </c>
      <c r="F93" s="28"/>
      <c r="G93" s="13"/>
      <c r="H93" s="15"/>
      <c r="I93" s="13"/>
      <c r="J93" s="13"/>
      <c r="K93" s="13"/>
      <c r="N93" s="1" t="s">
        <v>273</v>
      </c>
      <c r="O93" s="1">
        <v>80.0</v>
      </c>
    </row>
    <row r="94">
      <c r="A94" s="13"/>
      <c r="B94" s="14"/>
      <c r="C94" s="15"/>
      <c r="D94" s="10"/>
      <c r="E94" s="13" t="s">
        <v>274</v>
      </c>
      <c r="F94" s="28"/>
      <c r="G94" s="13"/>
      <c r="H94" s="15"/>
      <c r="I94" s="13"/>
      <c r="J94" s="13"/>
      <c r="K94" s="13"/>
      <c r="N94" s="1" t="s">
        <v>275</v>
      </c>
      <c r="O94" s="1">
        <v>80.0</v>
      </c>
    </row>
    <row r="95">
      <c r="A95" s="13"/>
      <c r="B95" s="14"/>
      <c r="C95" s="15"/>
      <c r="D95" s="10"/>
      <c r="E95" s="13" t="s">
        <v>276</v>
      </c>
      <c r="F95" s="28"/>
      <c r="G95" s="13"/>
      <c r="H95" s="15"/>
      <c r="I95" s="13"/>
      <c r="J95" s="13"/>
      <c r="K95" s="13"/>
      <c r="N95" s="1" t="s">
        <v>277</v>
      </c>
      <c r="O95" s="1">
        <v>80.0</v>
      </c>
    </row>
    <row r="96">
      <c r="A96" s="13"/>
      <c r="B96" s="14"/>
      <c r="C96" s="15"/>
      <c r="D96" s="10"/>
      <c r="E96" s="13" t="s">
        <v>278</v>
      </c>
      <c r="F96" s="28"/>
      <c r="G96" s="13"/>
      <c r="H96" s="15"/>
      <c r="I96" s="13"/>
      <c r="J96" s="13"/>
      <c r="K96" s="13"/>
      <c r="N96" s="1" t="s">
        <v>279</v>
      </c>
      <c r="O96" s="1">
        <v>80.0</v>
      </c>
    </row>
    <row r="97">
      <c r="A97" s="13"/>
      <c r="B97" s="14"/>
      <c r="C97" s="15"/>
      <c r="D97" s="10"/>
      <c r="E97" s="13" t="s">
        <v>280</v>
      </c>
      <c r="F97" s="28"/>
      <c r="G97" s="13"/>
      <c r="H97" s="15"/>
      <c r="I97" s="13"/>
      <c r="J97" s="13"/>
      <c r="K97" s="13"/>
      <c r="N97" s="1" t="s">
        <v>281</v>
      </c>
      <c r="O97" s="1">
        <v>80.0</v>
      </c>
    </row>
    <row r="98">
      <c r="A98" s="13"/>
      <c r="B98" s="14"/>
      <c r="C98" s="15"/>
      <c r="D98" s="10"/>
      <c r="E98" s="13" t="s">
        <v>282</v>
      </c>
      <c r="F98" s="28"/>
      <c r="G98" s="13"/>
      <c r="H98" s="15"/>
      <c r="I98" s="13"/>
      <c r="J98" s="13"/>
      <c r="K98" s="13"/>
      <c r="N98" s="1" t="s">
        <v>283</v>
      </c>
      <c r="O98" s="1">
        <v>80.0</v>
      </c>
    </row>
    <row r="99">
      <c r="A99" s="13" t="s">
        <v>284</v>
      </c>
      <c r="B99" s="14" t="s">
        <v>285</v>
      </c>
      <c r="C99" s="15"/>
      <c r="D99" s="17"/>
      <c r="E99" s="13" t="s">
        <v>286</v>
      </c>
      <c r="F99" s="13"/>
      <c r="G99" s="13"/>
      <c r="H99" s="15"/>
      <c r="I99" s="13"/>
      <c r="J99" s="13"/>
      <c r="K99" s="13"/>
      <c r="N99" s="1" t="s">
        <v>287</v>
      </c>
      <c r="O99" s="1">
        <v>60.0</v>
      </c>
    </row>
    <row r="100">
      <c r="C100" s="18"/>
      <c r="D100" s="29" t="s">
        <v>288</v>
      </c>
      <c r="E100" s="13" t="s">
        <v>289</v>
      </c>
      <c r="H100" s="18"/>
      <c r="N100" s="1" t="s">
        <v>290</v>
      </c>
      <c r="O100" s="1">
        <v>60.0</v>
      </c>
    </row>
    <row r="101">
      <c r="A101" s="13" t="s">
        <v>291</v>
      </c>
      <c r="B101" s="14"/>
      <c r="C101" s="15"/>
      <c r="D101" s="17"/>
      <c r="E101" s="13" t="s">
        <v>292</v>
      </c>
      <c r="F101" s="13"/>
      <c r="G101" s="13" t="s">
        <v>293</v>
      </c>
      <c r="H101" s="15"/>
      <c r="I101" s="13"/>
      <c r="J101" s="13"/>
      <c r="K101" s="13"/>
      <c r="N101" s="1" t="s">
        <v>294</v>
      </c>
      <c r="O101" s="1">
        <v>90.0</v>
      </c>
    </row>
    <row r="102">
      <c r="C102" s="18"/>
      <c r="D102" s="22" t="s">
        <v>295</v>
      </c>
      <c r="E102" s="13" t="s">
        <v>292</v>
      </c>
      <c r="H102" s="18"/>
      <c r="N102" s="1" t="s">
        <v>296</v>
      </c>
      <c r="O102" s="1">
        <v>90.0</v>
      </c>
    </row>
    <row r="103">
      <c r="A103" s="13" t="s">
        <v>297</v>
      </c>
      <c r="B103" s="14"/>
      <c r="C103" s="15"/>
      <c r="D103" s="17"/>
      <c r="E103" s="13" t="s">
        <v>298</v>
      </c>
      <c r="F103" s="13"/>
      <c r="G103" s="13"/>
      <c r="H103" s="15"/>
      <c r="I103" s="13"/>
      <c r="J103" s="13"/>
      <c r="K103" s="13"/>
      <c r="N103" s="1" t="s">
        <v>299</v>
      </c>
      <c r="O103" s="1">
        <v>60.0</v>
      </c>
    </row>
    <row r="104">
      <c r="A104" s="13"/>
      <c r="B104" s="14"/>
      <c r="C104" s="15"/>
      <c r="D104" s="17"/>
      <c r="E104" s="13" t="s">
        <v>300</v>
      </c>
      <c r="F104" s="13"/>
      <c r="G104" s="13"/>
      <c r="H104" s="15"/>
      <c r="I104" s="13"/>
      <c r="J104" s="13"/>
      <c r="K104" s="13"/>
      <c r="N104" s="1" t="s">
        <v>301</v>
      </c>
      <c r="O104" s="1">
        <v>60.0</v>
      </c>
    </row>
    <row r="105">
      <c r="A105" s="13"/>
      <c r="B105" s="14"/>
      <c r="C105" s="15"/>
      <c r="D105" s="17"/>
      <c r="E105" s="13" t="s">
        <v>302</v>
      </c>
      <c r="F105" s="13"/>
      <c r="G105" s="13"/>
      <c r="H105" s="15"/>
      <c r="I105" s="13"/>
      <c r="J105" s="13"/>
      <c r="K105" s="13"/>
      <c r="N105" s="1" t="s">
        <v>303</v>
      </c>
      <c r="O105" s="1">
        <v>60.0</v>
      </c>
    </row>
    <row r="106">
      <c r="C106" s="18"/>
      <c r="D106" s="22" t="s">
        <v>304</v>
      </c>
      <c r="E106" s="13" t="s">
        <v>305</v>
      </c>
      <c r="H106" s="18"/>
      <c r="N106" s="1" t="s">
        <v>306</v>
      </c>
      <c r="O106" s="1">
        <v>60.0</v>
      </c>
    </row>
    <row r="107">
      <c r="C107" s="18"/>
      <c r="D107" s="22" t="s">
        <v>307</v>
      </c>
      <c r="E107" s="13" t="s">
        <v>308</v>
      </c>
      <c r="H107" s="18"/>
      <c r="N107" s="1" t="s">
        <v>309</v>
      </c>
      <c r="O107" s="1">
        <v>60.0</v>
      </c>
    </row>
    <row r="108">
      <c r="C108" s="18"/>
      <c r="D108" s="29" t="s">
        <v>310</v>
      </c>
      <c r="E108" s="11" t="s">
        <v>311</v>
      </c>
      <c r="H108" s="18"/>
      <c r="N108" s="1" t="s">
        <v>312</v>
      </c>
      <c r="O108" s="1">
        <v>10.0</v>
      </c>
    </row>
    <row r="109">
      <c r="C109" s="18"/>
      <c r="D109" s="30" t="s">
        <v>313</v>
      </c>
      <c r="E109" s="11" t="s">
        <v>314</v>
      </c>
      <c r="H109" s="18"/>
      <c r="N109" s="1" t="s">
        <v>315</v>
      </c>
      <c r="O109" s="1">
        <v>60.0</v>
      </c>
    </row>
    <row r="110">
      <c r="D110" s="22" t="s">
        <v>316</v>
      </c>
      <c r="E110" s="11" t="s">
        <v>317</v>
      </c>
      <c r="N110" s="1" t="s">
        <v>318</v>
      </c>
    </row>
    <row r="111">
      <c r="C111" s="18"/>
      <c r="D111" s="21" t="s">
        <v>319</v>
      </c>
      <c r="E111" s="13" t="s">
        <v>320</v>
      </c>
      <c r="H111" s="18"/>
      <c r="N111" s="1" t="s">
        <v>321</v>
      </c>
      <c r="O111" s="1">
        <v>60.0</v>
      </c>
    </row>
    <row r="112">
      <c r="C112" s="18"/>
      <c r="D112" s="21" t="s">
        <v>322</v>
      </c>
      <c r="E112" s="11" t="s">
        <v>323</v>
      </c>
      <c r="H112" s="18"/>
      <c r="N112" s="1" t="s">
        <v>324</v>
      </c>
      <c r="O112" s="1">
        <v>60.0</v>
      </c>
    </row>
    <row r="113">
      <c r="C113" s="18"/>
      <c r="D113" s="21" t="s">
        <v>325</v>
      </c>
      <c r="E113" s="13" t="s">
        <v>326</v>
      </c>
      <c r="H113" s="18"/>
      <c r="N113" s="1" t="s">
        <v>327</v>
      </c>
      <c r="O113" s="1">
        <v>60.0</v>
      </c>
    </row>
    <row r="114">
      <c r="C114" s="18"/>
      <c r="D114" s="22" t="s">
        <v>328</v>
      </c>
      <c r="E114" s="13" t="s">
        <v>329</v>
      </c>
      <c r="H114" s="18"/>
      <c r="N114" s="1" t="s">
        <v>330</v>
      </c>
      <c r="O114" s="1">
        <v>90.0</v>
      </c>
    </row>
    <row r="115">
      <c r="A115" s="13" t="s">
        <v>331</v>
      </c>
      <c r="B115" s="31"/>
      <c r="C115" s="15"/>
      <c r="D115" s="22" t="s">
        <v>332</v>
      </c>
      <c r="E115" s="13" t="s">
        <v>333</v>
      </c>
      <c r="F115" s="13"/>
      <c r="G115" s="13"/>
      <c r="H115" s="15"/>
      <c r="I115" s="13"/>
      <c r="J115" s="13"/>
      <c r="K115" s="13"/>
      <c r="N115" s="1" t="s">
        <v>334</v>
      </c>
      <c r="O115" s="1">
        <v>90.0</v>
      </c>
    </row>
    <row r="116">
      <c r="A116" s="13"/>
      <c r="B116" s="14"/>
      <c r="C116" s="15"/>
      <c r="D116" s="23" t="s">
        <v>335</v>
      </c>
      <c r="E116" s="13" t="s">
        <v>336</v>
      </c>
      <c r="F116" s="13"/>
      <c r="G116" s="13"/>
      <c r="H116" s="15"/>
      <c r="I116" s="13"/>
      <c r="J116" s="13"/>
      <c r="K116" s="13"/>
      <c r="N116" s="1" t="s">
        <v>337</v>
      </c>
      <c r="O116" s="1">
        <v>60.0</v>
      </c>
    </row>
    <row r="117">
      <c r="C117" s="18"/>
      <c r="D117" s="22" t="s">
        <v>338</v>
      </c>
      <c r="E117" s="11" t="s">
        <v>339</v>
      </c>
      <c r="H117" s="18"/>
      <c r="N117" s="1" t="s">
        <v>340</v>
      </c>
      <c r="O117" s="1">
        <v>10.0</v>
      </c>
    </row>
    <row r="118">
      <c r="C118" s="18"/>
      <c r="D118" s="22" t="s">
        <v>341</v>
      </c>
      <c r="E118" s="11" t="s">
        <v>342</v>
      </c>
      <c r="H118" s="18"/>
      <c r="N118" s="1" t="s">
        <v>343</v>
      </c>
      <c r="O118" s="1">
        <v>10.0</v>
      </c>
    </row>
    <row r="119">
      <c r="C119" s="18"/>
      <c r="D119" s="19" t="s">
        <v>344</v>
      </c>
      <c r="E119" s="11" t="s">
        <v>345</v>
      </c>
      <c r="H119" s="18"/>
      <c r="N119" s="1" t="s">
        <v>346</v>
      </c>
      <c r="O119" s="1">
        <v>150.0</v>
      </c>
    </row>
    <row r="120">
      <c r="C120" s="18"/>
      <c r="D120" s="19" t="s">
        <v>347</v>
      </c>
      <c r="E120" s="11" t="s">
        <v>348</v>
      </c>
      <c r="H120" s="18"/>
      <c r="N120" s="1" t="s">
        <v>349</v>
      </c>
      <c r="O120" s="1">
        <v>150.0</v>
      </c>
    </row>
    <row r="121">
      <c r="C121" s="18"/>
      <c r="D121" s="19" t="s">
        <v>350</v>
      </c>
      <c r="E121" s="11" t="s">
        <v>351</v>
      </c>
      <c r="H121" s="18"/>
      <c r="N121" s="1" t="s">
        <v>352</v>
      </c>
      <c r="O121" s="1">
        <v>150.0</v>
      </c>
    </row>
    <row r="122">
      <c r="C122" s="18"/>
      <c r="D122" s="19" t="s">
        <v>353</v>
      </c>
      <c r="E122" s="11" t="s">
        <v>354</v>
      </c>
      <c r="H122" s="18"/>
      <c r="N122" s="1" t="s">
        <v>355</v>
      </c>
      <c r="O122" s="1">
        <v>150.0</v>
      </c>
    </row>
    <row r="123">
      <c r="A123" s="13" t="s">
        <v>356</v>
      </c>
      <c r="B123" s="14" t="s">
        <v>357</v>
      </c>
      <c r="C123" s="15"/>
      <c r="D123" s="17"/>
      <c r="E123" s="13" t="s">
        <v>358</v>
      </c>
      <c r="F123" s="13" t="s">
        <v>359</v>
      </c>
      <c r="G123" s="13" t="s">
        <v>360</v>
      </c>
      <c r="H123" s="15"/>
      <c r="I123" s="13"/>
      <c r="J123" s="13"/>
      <c r="K123" s="13"/>
      <c r="N123" s="1" t="s">
        <v>361</v>
      </c>
      <c r="O123" s="1">
        <v>90.0</v>
      </c>
    </row>
    <row r="124">
      <c r="A124" s="13" t="s">
        <v>362</v>
      </c>
      <c r="B124" s="14" t="s">
        <v>363</v>
      </c>
      <c r="C124" s="15"/>
      <c r="D124" s="17"/>
      <c r="E124" s="14" t="s">
        <v>364</v>
      </c>
      <c r="F124" s="13" t="s">
        <v>365</v>
      </c>
      <c r="G124" s="13" t="s">
        <v>366</v>
      </c>
      <c r="H124" s="15"/>
      <c r="I124" s="13"/>
      <c r="J124" s="13"/>
      <c r="K124" s="13"/>
      <c r="N124" s="1" t="s">
        <v>367</v>
      </c>
      <c r="O124" s="1">
        <v>90.0</v>
      </c>
    </row>
    <row r="125">
      <c r="A125" s="13"/>
      <c r="B125" s="14"/>
      <c r="C125" s="15"/>
      <c r="D125" s="17"/>
      <c r="E125" s="13" t="s">
        <v>368</v>
      </c>
      <c r="F125" s="13"/>
      <c r="G125" s="13"/>
      <c r="H125" s="15"/>
      <c r="I125" s="13"/>
      <c r="J125" s="13"/>
      <c r="K125" s="13"/>
      <c r="N125" s="1" t="s">
        <v>369</v>
      </c>
      <c r="O125" s="1">
        <v>70.0</v>
      </c>
    </row>
    <row r="126">
      <c r="C126" s="18"/>
      <c r="D126" s="25" t="s">
        <v>370</v>
      </c>
      <c r="E126" s="11" t="s">
        <v>371</v>
      </c>
      <c r="H126" s="18"/>
      <c r="N126" s="1" t="s">
        <v>372</v>
      </c>
      <c r="O126" s="1">
        <v>10.0</v>
      </c>
    </row>
    <row r="127">
      <c r="C127" s="18"/>
      <c r="D127" s="29" t="s">
        <v>373</v>
      </c>
      <c r="E127" s="11" t="s">
        <v>374</v>
      </c>
      <c r="H127" s="18"/>
      <c r="N127" s="1" t="s">
        <v>375</v>
      </c>
      <c r="O127" s="1">
        <v>10.0</v>
      </c>
    </row>
    <row r="128">
      <c r="A128" s="13"/>
      <c r="B128" s="14"/>
      <c r="C128" s="15"/>
      <c r="D128" s="17"/>
      <c r="E128" s="13" t="s">
        <v>376</v>
      </c>
      <c r="F128" s="13"/>
      <c r="G128" s="13"/>
      <c r="H128" s="15"/>
      <c r="I128" s="13"/>
      <c r="J128" s="13"/>
      <c r="K128" s="13"/>
      <c r="N128" s="1" t="s">
        <v>377</v>
      </c>
      <c r="O128" s="1">
        <v>70.0</v>
      </c>
    </row>
    <row r="129">
      <c r="C129" s="18"/>
      <c r="D129" s="22" t="s">
        <v>378</v>
      </c>
      <c r="E129" s="11" t="s">
        <v>379</v>
      </c>
      <c r="H129" s="18"/>
      <c r="N129" s="1" t="s">
        <v>380</v>
      </c>
      <c r="O129" s="1">
        <v>10.0</v>
      </c>
    </row>
    <row r="130">
      <c r="C130" s="18"/>
      <c r="D130" s="32" t="s">
        <v>381</v>
      </c>
      <c r="E130" s="13" t="s">
        <v>382</v>
      </c>
      <c r="H130" s="18"/>
      <c r="N130" s="1" t="s">
        <v>383</v>
      </c>
      <c r="O130" s="1">
        <v>60.0</v>
      </c>
    </row>
    <row r="131">
      <c r="A131" s="13"/>
      <c r="B131" s="14"/>
      <c r="C131" s="15"/>
      <c r="D131" s="17"/>
      <c r="E131" s="13" t="s">
        <v>384</v>
      </c>
      <c r="F131" s="13"/>
      <c r="G131" s="13"/>
      <c r="H131" s="15"/>
      <c r="I131" s="13"/>
      <c r="J131" s="13"/>
      <c r="K131" s="13"/>
      <c r="N131" s="1" t="s">
        <v>385</v>
      </c>
      <c r="O131" s="1">
        <v>60.0</v>
      </c>
    </row>
    <row r="132">
      <c r="B132" s="1" t="s">
        <v>386</v>
      </c>
      <c r="C132" s="18"/>
      <c r="D132" s="22" t="s">
        <v>387</v>
      </c>
      <c r="E132" s="13" t="s">
        <v>388</v>
      </c>
      <c r="H132" s="18"/>
      <c r="N132" s="1" t="s">
        <v>389</v>
      </c>
      <c r="O132" s="1">
        <v>10.0</v>
      </c>
    </row>
    <row r="133">
      <c r="C133" s="18"/>
      <c r="D133" s="29" t="s">
        <v>390</v>
      </c>
      <c r="E133" s="13" t="s">
        <v>391</v>
      </c>
      <c r="H133" s="18"/>
      <c r="N133" s="1" t="s">
        <v>392</v>
      </c>
      <c r="O133" s="1">
        <v>10.0</v>
      </c>
    </row>
    <row r="134">
      <c r="C134" s="18"/>
      <c r="D134" s="23" t="s">
        <v>393</v>
      </c>
      <c r="E134" s="13" t="s">
        <v>394</v>
      </c>
      <c r="H134" s="18"/>
      <c r="N134" s="1" t="s">
        <v>395</v>
      </c>
      <c r="O134" s="1">
        <v>60.0</v>
      </c>
    </row>
    <row r="135">
      <c r="C135" s="18"/>
      <c r="D135" s="22" t="s">
        <v>396</v>
      </c>
      <c r="E135" s="13" t="s">
        <v>397</v>
      </c>
      <c r="H135" s="18"/>
      <c r="N135" s="1" t="s">
        <v>398</v>
      </c>
      <c r="O135" s="1">
        <v>10.0</v>
      </c>
    </row>
    <row r="136">
      <c r="C136" s="18"/>
      <c r="D136" s="29" t="s">
        <v>399</v>
      </c>
      <c r="E136" s="11" t="s">
        <v>400</v>
      </c>
      <c r="H136" s="18"/>
      <c r="N136" s="1" t="s">
        <v>401</v>
      </c>
      <c r="O136" s="1">
        <v>10.0</v>
      </c>
    </row>
    <row r="137">
      <c r="D137" s="33" t="s">
        <v>402</v>
      </c>
      <c r="E137" s="11" t="s">
        <v>400</v>
      </c>
      <c r="N137" s="1" t="s">
        <v>403</v>
      </c>
      <c r="O137" s="1">
        <v>10.0</v>
      </c>
    </row>
    <row r="138">
      <c r="C138" s="18"/>
      <c r="D138" s="22" t="s">
        <v>404</v>
      </c>
      <c r="E138" s="11" t="s">
        <v>405</v>
      </c>
      <c r="H138" s="18"/>
      <c r="N138" s="1" t="s">
        <v>406</v>
      </c>
      <c r="O138" s="1">
        <v>10.0</v>
      </c>
    </row>
    <row r="139">
      <c r="A139" s="13"/>
      <c r="B139" s="14"/>
      <c r="C139" s="15"/>
      <c r="D139" s="23" t="s">
        <v>407</v>
      </c>
      <c r="E139" s="13" t="s">
        <v>408</v>
      </c>
      <c r="F139" s="13"/>
      <c r="G139" s="13"/>
      <c r="H139" s="15"/>
      <c r="I139" s="13"/>
      <c r="J139" s="13"/>
      <c r="K139" s="13"/>
      <c r="N139" s="1" t="s">
        <v>409</v>
      </c>
      <c r="O139" s="1">
        <v>70.0</v>
      </c>
    </row>
    <row r="140">
      <c r="A140" s="13"/>
      <c r="B140" s="14"/>
      <c r="C140" s="15"/>
      <c r="D140" s="34" t="s">
        <v>410</v>
      </c>
      <c r="E140" s="35" t="s">
        <v>411</v>
      </c>
      <c r="F140" s="13"/>
      <c r="G140" s="13"/>
      <c r="H140" s="15"/>
      <c r="I140" s="13"/>
      <c r="J140" s="13"/>
      <c r="K140" s="13"/>
      <c r="N140" s="1" t="s">
        <v>412</v>
      </c>
      <c r="O140" s="1">
        <v>60.0</v>
      </c>
    </row>
    <row r="141">
      <c r="D141" s="36" t="s">
        <v>413</v>
      </c>
      <c r="E141" s="11" t="s">
        <v>414</v>
      </c>
      <c r="N141" s="1" t="s">
        <v>415</v>
      </c>
      <c r="O141" s="1">
        <v>10.0</v>
      </c>
    </row>
    <row r="142">
      <c r="C142" s="18"/>
      <c r="D142" s="29" t="s">
        <v>416</v>
      </c>
      <c r="E142" s="11" t="s">
        <v>417</v>
      </c>
      <c r="H142" s="18"/>
      <c r="N142" s="1" t="s">
        <v>418</v>
      </c>
      <c r="O142" s="1">
        <v>10.0</v>
      </c>
    </row>
    <row r="143">
      <c r="C143" s="18"/>
      <c r="D143" s="22" t="s">
        <v>419</v>
      </c>
      <c r="E143" s="11" t="s">
        <v>420</v>
      </c>
      <c r="H143" s="18"/>
      <c r="N143" s="1" t="s">
        <v>421</v>
      </c>
      <c r="O143" s="1">
        <v>10.0</v>
      </c>
    </row>
    <row r="144">
      <c r="A144" s="13"/>
      <c r="B144" s="14"/>
      <c r="C144" s="15"/>
      <c r="D144" s="17"/>
      <c r="E144" s="13" t="s">
        <v>422</v>
      </c>
      <c r="F144" s="13"/>
      <c r="G144" s="13"/>
      <c r="H144" s="15"/>
      <c r="I144" s="13"/>
      <c r="J144" s="13"/>
      <c r="K144" s="13"/>
      <c r="N144" s="1" t="s">
        <v>423</v>
      </c>
      <c r="O144" s="1">
        <v>70.0</v>
      </c>
    </row>
    <row r="145">
      <c r="C145" s="18"/>
      <c r="D145" s="22" t="s">
        <v>424</v>
      </c>
      <c r="E145" s="11" t="s">
        <v>425</v>
      </c>
      <c r="H145" s="18"/>
      <c r="N145" s="1" t="s">
        <v>426</v>
      </c>
      <c r="O145" s="1">
        <v>10.0</v>
      </c>
    </row>
    <row r="146">
      <c r="A146" s="13"/>
      <c r="B146" s="14"/>
      <c r="C146" s="15"/>
      <c r="D146" s="23" t="s">
        <v>427</v>
      </c>
      <c r="E146" s="13" t="s">
        <v>428</v>
      </c>
      <c r="F146" s="13"/>
      <c r="G146" s="13"/>
      <c r="H146" s="15"/>
      <c r="I146" s="13"/>
      <c r="J146" s="13"/>
      <c r="K146" s="13"/>
      <c r="N146" s="1" t="s">
        <v>429</v>
      </c>
      <c r="O146" s="1">
        <v>70.0</v>
      </c>
    </row>
    <row r="147">
      <c r="C147" s="18"/>
      <c r="D147" s="29" t="s">
        <v>430</v>
      </c>
      <c r="E147" s="11" t="s">
        <v>431</v>
      </c>
      <c r="H147" s="18"/>
      <c r="N147" s="1" t="s">
        <v>432</v>
      </c>
      <c r="O147" s="1">
        <v>10.0</v>
      </c>
    </row>
    <row r="148">
      <c r="A148" s="13" t="s">
        <v>433</v>
      </c>
      <c r="B148" s="14" t="s">
        <v>434</v>
      </c>
      <c r="C148" s="15"/>
      <c r="D148" s="17"/>
      <c r="E148" s="13" t="s">
        <v>435</v>
      </c>
      <c r="F148" s="13" t="s">
        <v>436</v>
      </c>
      <c r="G148" s="13" t="s">
        <v>437</v>
      </c>
      <c r="H148" s="15"/>
      <c r="I148" s="13"/>
      <c r="J148" s="13"/>
      <c r="K148" s="13"/>
      <c r="N148" s="1" t="s">
        <v>438</v>
      </c>
      <c r="O148" s="1">
        <v>90.0</v>
      </c>
    </row>
    <row r="149">
      <c r="A149" s="13" t="s">
        <v>439</v>
      </c>
      <c r="B149" s="14" t="s">
        <v>440</v>
      </c>
      <c r="C149" s="15"/>
      <c r="D149" s="17"/>
      <c r="E149" s="14" t="s">
        <v>441</v>
      </c>
      <c r="F149" s="13"/>
      <c r="G149" s="13"/>
      <c r="H149" s="15"/>
      <c r="I149" s="13"/>
      <c r="J149" s="13"/>
      <c r="K149" s="13"/>
      <c r="N149" s="1" t="s">
        <v>442</v>
      </c>
      <c r="O149" s="1">
        <v>90.0</v>
      </c>
    </row>
    <row r="150">
      <c r="C150" s="18"/>
      <c r="D150" s="29" t="s">
        <v>443</v>
      </c>
      <c r="E150" s="11" t="s">
        <v>444</v>
      </c>
      <c r="H150" s="18"/>
      <c r="N150" s="1" t="s">
        <v>445</v>
      </c>
      <c r="O150" s="1">
        <v>10.0</v>
      </c>
    </row>
    <row r="151">
      <c r="C151" s="18"/>
      <c r="D151" s="22" t="s">
        <v>446</v>
      </c>
      <c r="E151" s="11" t="s">
        <v>447</v>
      </c>
      <c r="H151" s="18"/>
      <c r="N151" s="1" t="s">
        <v>448</v>
      </c>
      <c r="O151" s="1">
        <v>10.0</v>
      </c>
    </row>
    <row r="152">
      <c r="A152" s="13"/>
      <c r="B152" s="14"/>
      <c r="C152" s="15"/>
      <c r="D152" s="17"/>
      <c r="E152" s="13" t="s">
        <v>449</v>
      </c>
      <c r="F152" s="13"/>
      <c r="G152" s="13"/>
      <c r="H152" s="15"/>
      <c r="I152" s="13"/>
      <c r="J152" s="13"/>
      <c r="K152" s="13"/>
      <c r="N152" s="1" t="s">
        <v>450</v>
      </c>
      <c r="O152" s="1">
        <v>60.0</v>
      </c>
    </row>
    <row r="153">
      <c r="C153" s="18"/>
      <c r="D153" s="22" t="s">
        <v>451</v>
      </c>
      <c r="E153" s="11" t="s">
        <v>452</v>
      </c>
      <c r="H153" s="18"/>
      <c r="N153" s="1" t="s">
        <v>453</v>
      </c>
      <c r="O153" s="1">
        <v>10.0</v>
      </c>
    </row>
    <row r="154">
      <c r="A154" s="13"/>
      <c r="B154" s="14"/>
      <c r="C154" s="15"/>
      <c r="D154" s="23" t="s">
        <v>454</v>
      </c>
      <c r="E154" s="13" t="s">
        <v>455</v>
      </c>
      <c r="F154" s="13"/>
      <c r="G154" s="13"/>
      <c r="H154" s="15"/>
      <c r="I154" s="13"/>
      <c r="J154" s="13"/>
      <c r="K154" s="13"/>
      <c r="N154" s="1" t="s">
        <v>456</v>
      </c>
      <c r="O154" s="1">
        <v>60.0</v>
      </c>
    </row>
    <row r="155">
      <c r="C155" s="18"/>
      <c r="D155" s="29" t="s">
        <v>457</v>
      </c>
      <c r="E155" s="13" t="s">
        <v>458</v>
      </c>
      <c r="H155" s="18"/>
      <c r="N155" s="1" t="s">
        <v>459</v>
      </c>
      <c r="O155" s="1">
        <v>60.0</v>
      </c>
    </row>
    <row r="156">
      <c r="C156" s="18"/>
      <c r="D156" s="22" t="s">
        <v>460</v>
      </c>
      <c r="E156" s="11" t="s">
        <v>461</v>
      </c>
      <c r="H156" s="18"/>
      <c r="N156" s="1" t="s">
        <v>462</v>
      </c>
      <c r="O156" s="1">
        <v>10.0</v>
      </c>
    </row>
    <row r="157">
      <c r="C157" s="18"/>
      <c r="D157" s="29" t="s">
        <v>463</v>
      </c>
      <c r="E157" s="37" t="s">
        <v>464</v>
      </c>
      <c r="H157" s="18"/>
      <c r="N157" s="1" t="s">
        <v>465</v>
      </c>
      <c r="O157" s="1">
        <v>90.0</v>
      </c>
    </row>
    <row r="158">
      <c r="C158" s="18"/>
      <c r="D158" s="22" t="s">
        <v>466</v>
      </c>
      <c r="E158" s="11" t="s">
        <v>467</v>
      </c>
      <c r="H158" s="18"/>
      <c r="N158" s="1" t="s">
        <v>468</v>
      </c>
      <c r="O158" s="1">
        <v>10.0</v>
      </c>
    </row>
    <row r="159">
      <c r="D159" s="22" t="s">
        <v>469</v>
      </c>
      <c r="E159" s="11" t="s">
        <v>470</v>
      </c>
      <c r="N159" s="1" t="s">
        <v>471</v>
      </c>
    </row>
    <row r="160">
      <c r="B160" s="38" t="s">
        <v>472</v>
      </c>
      <c r="C160" s="15"/>
      <c r="D160" s="17"/>
      <c r="E160" s="14" t="s">
        <v>473</v>
      </c>
      <c r="F160" s="13" t="s">
        <v>474</v>
      </c>
      <c r="G160" s="13" t="s">
        <v>475</v>
      </c>
      <c r="H160" s="15"/>
      <c r="I160" s="13"/>
      <c r="J160" s="13"/>
      <c r="K160" s="13"/>
      <c r="N160" s="1" t="s">
        <v>476</v>
      </c>
      <c r="O160" s="1">
        <v>90.0</v>
      </c>
    </row>
    <row r="161">
      <c r="C161" s="9" t="s">
        <v>477</v>
      </c>
      <c r="D161" s="39" t="s">
        <v>478</v>
      </c>
      <c r="E161" s="11" t="s">
        <v>473</v>
      </c>
      <c r="H161" s="12"/>
      <c r="N161" s="1" t="s">
        <v>479</v>
      </c>
    </row>
    <row r="162">
      <c r="C162" s="18"/>
      <c r="D162" s="22" t="s">
        <v>480</v>
      </c>
      <c r="E162" s="11" t="s">
        <v>481</v>
      </c>
      <c r="H162" s="18"/>
      <c r="N162" s="1" t="s">
        <v>482</v>
      </c>
      <c r="O162" s="1">
        <v>10.0</v>
      </c>
    </row>
    <row r="163">
      <c r="C163" s="18"/>
      <c r="D163" s="10"/>
      <c r="E163" s="11" t="s">
        <v>483</v>
      </c>
      <c r="H163" s="18"/>
      <c r="N163" s="1" t="s">
        <v>484</v>
      </c>
      <c r="O163" s="1">
        <v>10.0</v>
      </c>
    </row>
    <row r="164">
      <c r="B164" s="38"/>
      <c r="C164" s="40" t="s">
        <v>485</v>
      </c>
      <c r="D164" s="19" t="s">
        <v>486</v>
      </c>
      <c r="E164" s="11" t="s">
        <v>487</v>
      </c>
      <c r="H164" s="38"/>
      <c r="N164" s="1" t="s">
        <v>488</v>
      </c>
      <c r="O164" s="1">
        <v>3100.0</v>
      </c>
    </row>
    <row r="165">
      <c r="C165" s="18"/>
      <c r="D165" s="19" t="s">
        <v>489</v>
      </c>
      <c r="E165" s="11" t="s">
        <v>490</v>
      </c>
      <c r="H165" s="18"/>
      <c r="N165" s="1" t="s">
        <v>491</v>
      </c>
      <c r="O165" s="1">
        <v>2600.0</v>
      </c>
    </row>
    <row r="166">
      <c r="C166" s="18"/>
      <c r="D166" s="19" t="s">
        <v>492</v>
      </c>
      <c r="E166" s="11" t="s">
        <v>493</v>
      </c>
      <c r="H166" s="18"/>
      <c r="N166" s="1" t="s">
        <v>494</v>
      </c>
      <c r="O166" s="1">
        <v>150.0</v>
      </c>
    </row>
    <row r="167">
      <c r="C167" s="18"/>
      <c r="D167" s="19" t="s">
        <v>495</v>
      </c>
      <c r="E167" s="11" t="s">
        <v>496</v>
      </c>
      <c r="H167" s="18"/>
      <c r="N167" s="1" t="s">
        <v>497</v>
      </c>
      <c r="O167" s="1">
        <v>1300.0</v>
      </c>
    </row>
    <row r="168">
      <c r="C168" s="18"/>
      <c r="D168" s="19" t="s">
        <v>498</v>
      </c>
      <c r="E168" s="11" t="s">
        <v>499</v>
      </c>
      <c r="H168" s="18"/>
      <c r="N168" s="1" t="s">
        <v>500</v>
      </c>
      <c r="O168" s="1">
        <v>200.0</v>
      </c>
    </row>
    <row r="169">
      <c r="C169" s="18"/>
      <c r="D169" s="19" t="s">
        <v>501</v>
      </c>
      <c r="E169" s="11" t="s">
        <v>502</v>
      </c>
      <c r="H169" s="18"/>
      <c r="N169" s="1" t="s">
        <v>503</v>
      </c>
      <c r="O169" s="1">
        <v>200.0</v>
      </c>
    </row>
    <row r="170">
      <c r="C170" s="18"/>
      <c r="D170" s="19" t="s">
        <v>504</v>
      </c>
      <c r="E170" s="11" t="s">
        <v>505</v>
      </c>
      <c r="H170" s="18"/>
      <c r="N170" s="1" t="s">
        <v>506</v>
      </c>
      <c r="O170" s="1">
        <v>200.0</v>
      </c>
    </row>
    <row r="171">
      <c r="C171" s="18"/>
      <c r="D171" s="19" t="s">
        <v>507</v>
      </c>
      <c r="E171" s="11" t="s">
        <v>508</v>
      </c>
      <c r="H171" s="18"/>
      <c r="N171" s="1" t="s">
        <v>509</v>
      </c>
      <c r="O171" s="1">
        <v>1700.0</v>
      </c>
    </row>
    <row r="172">
      <c r="C172" s="18"/>
      <c r="D172" s="19" t="s">
        <v>510</v>
      </c>
      <c r="E172" s="11" t="s">
        <v>511</v>
      </c>
      <c r="H172" s="18"/>
      <c r="N172" s="1" t="s">
        <v>512</v>
      </c>
      <c r="O172" s="1">
        <v>150.0</v>
      </c>
    </row>
    <row r="173">
      <c r="C173" s="18"/>
      <c r="D173" s="19" t="s">
        <v>513</v>
      </c>
      <c r="E173" s="11" t="s">
        <v>514</v>
      </c>
      <c r="H173" s="18"/>
      <c r="N173" s="1" t="s">
        <v>515</v>
      </c>
      <c r="O173" s="1">
        <v>100.0</v>
      </c>
    </row>
    <row r="174">
      <c r="C174" s="18"/>
      <c r="D174" s="19" t="s">
        <v>516</v>
      </c>
      <c r="E174" s="11" t="s">
        <v>517</v>
      </c>
      <c r="H174" s="18"/>
      <c r="N174" s="1" t="s">
        <v>518</v>
      </c>
      <c r="O174" s="1">
        <v>200.0</v>
      </c>
    </row>
    <row r="175">
      <c r="C175" s="18"/>
      <c r="D175" s="19"/>
      <c r="E175" s="11" t="s">
        <v>519</v>
      </c>
      <c r="H175" s="18"/>
      <c r="N175" s="1" t="s">
        <v>520</v>
      </c>
      <c r="O175" s="1">
        <v>200.0</v>
      </c>
    </row>
    <row r="176">
      <c r="C176" s="18"/>
      <c r="D176" s="19"/>
      <c r="E176" s="11" t="s">
        <v>521</v>
      </c>
      <c r="F176" s="1"/>
      <c r="H176" s="18"/>
      <c r="I176" s="1"/>
      <c r="J176" s="1"/>
      <c r="K176" s="1"/>
      <c r="N176" s="1" t="s">
        <v>522</v>
      </c>
      <c r="O176" s="1">
        <v>200.0</v>
      </c>
    </row>
    <row r="177">
      <c r="C177" s="18"/>
      <c r="D177" s="19" t="s">
        <v>523</v>
      </c>
      <c r="E177" s="11" t="s">
        <v>524</v>
      </c>
      <c r="H177" s="18"/>
      <c r="N177" s="1" t="s">
        <v>525</v>
      </c>
      <c r="O177" s="1">
        <v>200.0</v>
      </c>
    </row>
    <row r="178">
      <c r="C178" s="18"/>
      <c r="D178" s="19" t="s">
        <v>526</v>
      </c>
      <c r="E178" s="11" t="s">
        <v>527</v>
      </c>
      <c r="H178" s="18"/>
      <c r="N178" s="1" t="s">
        <v>528</v>
      </c>
      <c r="O178" s="1">
        <v>200.0</v>
      </c>
    </row>
    <row r="179">
      <c r="C179" s="18"/>
      <c r="D179" s="19" t="s">
        <v>529</v>
      </c>
      <c r="E179" s="41" t="s">
        <v>530</v>
      </c>
      <c r="H179" s="18"/>
      <c r="N179" s="1" t="s">
        <v>531</v>
      </c>
      <c r="O179" s="1">
        <v>150.0</v>
      </c>
    </row>
    <row r="180">
      <c r="C180" s="18"/>
      <c r="D180" s="19"/>
      <c r="E180" s="11" t="s">
        <v>532</v>
      </c>
      <c r="H180" s="18"/>
      <c r="N180" s="1" t="s">
        <v>533</v>
      </c>
      <c r="O180" s="1">
        <v>150.0</v>
      </c>
    </row>
    <row r="181">
      <c r="C181" s="18"/>
      <c r="D181" s="19"/>
      <c r="E181" s="11" t="s">
        <v>534</v>
      </c>
      <c r="H181" s="18"/>
      <c r="N181" s="1" t="s">
        <v>535</v>
      </c>
      <c r="O181" s="1">
        <v>150.0</v>
      </c>
    </row>
    <row r="182">
      <c r="C182" s="18"/>
      <c r="D182" s="19"/>
      <c r="E182" s="11" t="s">
        <v>536</v>
      </c>
      <c r="H182" s="18"/>
      <c r="N182" s="1" t="s">
        <v>537</v>
      </c>
      <c r="O182" s="1">
        <v>150.0</v>
      </c>
    </row>
    <row r="183">
      <c r="C183" s="18"/>
      <c r="D183" s="19"/>
      <c r="E183" s="11" t="s">
        <v>538</v>
      </c>
      <c r="H183" s="18"/>
      <c r="N183" s="1" t="s">
        <v>539</v>
      </c>
      <c r="O183" s="1">
        <v>150.0</v>
      </c>
    </row>
    <row r="184">
      <c r="C184" s="18"/>
      <c r="D184" s="19"/>
      <c r="E184" s="11" t="s">
        <v>540</v>
      </c>
      <c r="H184" s="18"/>
      <c r="N184" s="1" t="s">
        <v>541</v>
      </c>
      <c r="O184" s="1">
        <v>150.0</v>
      </c>
    </row>
    <row r="185">
      <c r="C185" s="18"/>
      <c r="D185" s="19" t="s">
        <v>542</v>
      </c>
      <c r="E185" s="11" t="s">
        <v>543</v>
      </c>
      <c r="H185" s="18"/>
      <c r="N185" s="1" t="s">
        <v>544</v>
      </c>
      <c r="O185" s="1">
        <v>150.0</v>
      </c>
    </row>
    <row r="186">
      <c r="C186" s="18"/>
      <c r="D186" s="19"/>
      <c r="E186" s="11" t="s">
        <v>545</v>
      </c>
      <c r="H186" s="18"/>
      <c r="N186" s="1" t="s">
        <v>546</v>
      </c>
      <c r="O186" s="1">
        <v>150.0</v>
      </c>
    </row>
    <row r="187">
      <c r="C187" s="18"/>
      <c r="D187" s="19"/>
      <c r="E187" s="11" t="s">
        <v>547</v>
      </c>
      <c r="H187" s="18"/>
      <c r="N187" s="1" t="s">
        <v>548</v>
      </c>
      <c r="O187" s="1">
        <v>150.0</v>
      </c>
    </row>
    <row r="188">
      <c r="C188" s="18"/>
      <c r="D188" s="19"/>
      <c r="E188" s="11" t="s">
        <v>549</v>
      </c>
      <c r="H188" s="18"/>
      <c r="N188" s="1" t="s">
        <v>550</v>
      </c>
      <c r="O188" s="1">
        <v>150.0</v>
      </c>
    </row>
    <row r="189">
      <c r="C189" s="18"/>
      <c r="D189" s="19"/>
      <c r="E189" s="11" t="s">
        <v>551</v>
      </c>
      <c r="H189" s="18"/>
      <c r="N189" s="1" t="s">
        <v>552</v>
      </c>
      <c r="O189" s="1">
        <v>150.0</v>
      </c>
    </row>
    <row r="190">
      <c r="C190" s="18"/>
      <c r="D190" s="19"/>
      <c r="E190" s="11" t="s">
        <v>553</v>
      </c>
      <c r="H190" s="18"/>
      <c r="N190" s="1" t="s">
        <v>554</v>
      </c>
      <c r="O190" s="1">
        <v>150.0</v>
      </c>
    </row>
    <row r="191">
      <c r="C191" s="18"/>
      <c r="D191" s="19" t="s">
        <v>555</v>
      </c>
      <c r="E191" s="11" t="s">
        <v>556</v>
      </c>
      <c r="H191" s="18"/>
      <c r="N191" s="1" t="s">
        <v>557</v>
      </c>
      <c r="O191" s="1">
        <v>900.0</v>
      </c>
    </row>
    <row r="192">
      <c r="C192" s="18"/>
      <c r="D192" s="19" t="s">
        <v>558</v>
      </c>
      <c r="E192" s="11" t="s">
        <v>559</v>
      </c>
      <c r="H192" s="18"/>
      <c r="N192" s="1" t="s">
        <v>560</v>
      </c>
      <c r="O192" s="1">
        <v>150.0</v>
      </c>
    </row>
    <row r="193">
      <c r="C193" s="18"/>
      <c r="D193" s="19"/>
      <c r="E193" s="11" t="s">
        <v>561</v>
      </c>
      <c r="H193" s="18"/>
      <c r="N193" s="1" t="s">
        <v>562</v>
      </c>
      <c r="O193" s="1">
        <v>150.0</v>
      </c>
    </row>
    <row r="194">
      <c r="C194" s="18"/>
      <c r="D194" s="19"/>
      <c r="E194" s="11" t="s">
        <v>563</v>
      </c>
      <c r="H194" s="18"/>
      <c r="N194" s="1" t="s">
        <v>564</v>
      </c>
      <c r="O194" s="1">
        <v>150.0</v>
      </c>
    </row>
    <row r="195">
      <c r="C195" s="18"/>
      <c r="D195" s="19"/>
      <c r="E195" s="11" t="s">
        <v>565</v>
      </c>
      <c r="H195" s="18"/>
      <c r="N195" s="1" t="s">
        <v>566</v>
      </c>
      <c r="O195" s="1">
        <v>150.0</v>
      </c>
    </row>
    <row r="196">
      <c r="C196" s="18"/>
      <c r="D196" s="19"/>
      <c r="E196" s="11" t="s">
        <v>567</v>
      </c>
      <c r="H196" s="18"/>
      <c r="N196" s="1" t="s">
        <v>568</v>
      </c>
      <c r="O196" s="1">
        <v>150.0</v>
      </c>
    </row>
    <row r="197">
      <c r="C197" s="18"/>
      <c r="D197" s="19"/>
      <c r="E197" s="11" t="s">
        <v>569</v>
      </c>
      <c r="H197" s="18"/>
      <c r="N197" s="1" t="s">
        <v>570</v>
      </c>
      <c r="O197" s="1">
        <v>150.0</v>
      </c>
    </row>
    <row r="198">
      <c r="C198" s="18"/>
      <c r="D198" s="21" t="s">
        <v>571</v>
      </c>
      <c r="E198" s="11" t="s">
        <v>572</v>
      </c>
      <c r="H198" s="18"/>
      <c r="N198" s="1" t="s">
        <v>573</v>
      </c>
      <c r="O198" s="1">
        <v>150.0</v>
      </c>
    </row>
    <row r="199">
      <c r="C199" s="18"/>
      <c r="D199" s="19" t="s">
        <v>574</v>
      </c>
      <c r="E199" s="11" t="s">
        <v>575</v>
      </c>
      <c r="H199" s="18"/>
      <c r="N199" s="1" t="s">
        <v>576</v>
      </c>
      <c r="O199" s="1">
        <v>300.0</v>
      </c>
    </row>
    <row r="200">
      <c r="C200" s="18"/>
      <c r="D200" s="1" t="s">
        <v>577</v>
      </c>
      <c r="E200" s="11" t="s">
        <v>577</v>
      </c>
      <c r="H200" s="18"/>
      <c r="N200" s="1" t="s">
        <v>578</v>
      </c>
      <c r="O200" s="1">
        <v>300.0</v>
      </c>
    </row>
    <row r="201">
      <c r="C201" s="18"/>
      <c r="D201" s="19"/>
      <c r="E201" s="11" t="s">
        <v>579</v>
      </c>
      <c r="H201" s="18"/>
      <c r="N201" s="1" t="s">
        <v>580</v>
      </c>
      <c r="O201" s="1">
        <v>250.0</v>
      </c>
    </row>
    <row r="202">
      <c r="C202" s="18"/>
      <c r="D202" s="19"/>
      <c r="E202" s="11" t="s">
        <v>581</v>
      </c>
      <c r="H202" s="18"/>
      <c r="N202" s="1" t="s">
        <v>582</v>
      </c>
      <c r="O202" s="1">
        <v>250.0</v>
      </c>
    </row>
    <row r="203">
      <c r="C203" s="18"/>
      <c r="D203" s="19"/>
      <c r="E203" s="11" t="s">
        <v>583</v>
      </c>
      <c r="H203" s="18"/>
    </row>
    <row r="204">
      <c r="C204" s="18"/>
      <c r="D204" s="19"/>
      <c r="E204" s="11" t="s">
        <v>584</v>
      </c>
      <c r="H204" s="18"/>
      <c r="N204" s="1" t="s">
        <v>585</v>
      </c>
      <c r="O204" s="1">
        <v>250.0</v>
      </c>
    </row>
    <row r="205">
      <c r="C205" s="18"/>
      <c r="D205" s="22" t="s">
        <v>586</v>
      </c>
      <c r="E205" s="11" t="s">
        <v>587</v>
      </c>
      <c r="H205" s="18"/>
      <c r="N205" s="1" t="s">
        <v>588</v>
      </c>
      <c r="O205" s="1">
        <v>250.0</v>
      </c>
    </row>
    <row r="206">
      <c r="C206" s="18"/>
      <c r="D206" s="19"/>
      <c r="E206" s="11" t="s">
        <v>589</v>
      </c>
      <c r="H206" s="18"/>
      <c r="N206" s="1" t="s">
        <v>590</v>
      </c>
      <c r="O206" s="1">
        <v>250.0</v>
      </c>
    </row>
    <row r="207">
      <c r="C207" s="18"/>
      <c r="D207" s="19" t="s">
        <v>591</v>
      </c>
      <c r="E207" s="11" t="s">
        <v>592</v>
      </c>
      <c r="H207" s="18"/>
      <c r="N207" s="1" t="s">
        <v>593</v>
      </c>
      <c r="O207" s="1">
        <v>250.0</v>
      </c>
    </row>
    <row r="208">
      <c r="C208" s="18"/>
      <c r="D208" s="19"/>
      <c r="E208" s="11" t="s">
        <v>594</v>
      </c>
      <c r="H208" s="18"/>
      <c r="N208" s="1" t="s">
        <v>595</v>
      </c>
      <c r="O208" s="1">
        <v>200.0</v>
      </c>
    </row>
    <row r="209">
      <c r="C209" s="18"/>
      <c r="D209" s="19"/>
      <c r="E209" s="11" t="s">
        <v>596</v>
      </c>
      <c r="H209" s="18"/>
      <c r="N209" s="1" t="s">
        <v>597</v>
      </c>
      <c r="O209" s="1">
        <v>250.0</v>
      </c>
    </row>
    <row r="210">
      <c r="C210" s="18"/>
      <c r="D210" s="19"/>
      <c r="E210" s="11" t="s">
        <v>598</v>
      </c>
      <c r="H210" s="18"/>
      <c r="N210" s="1" t="s">
        <v>599</v>
      </c>
      <c r="O210" s="1">
        <v>200.0</v>
      </c>
    </row>
    <row r="211">
      <c r="C211" s="18"/>
      <c r="D211" s="19" t="s">
        <v>600</v>
      </c>
      <c r="E211" s="11" t="s">
        <v>601</v>
      </c>
      <c r="H211" s="18"/>
      <c r="N211" s="1" t="s">
        <v>602</v>
      </c>
      <c r="O211" s="1">
        <v>900.0</v>
      </c>
    </row>
    <row r="212">
      <c r="C212" s="18"/>
      <c r="D212" s="19" t="s">
        <v>603</v>
      </c>
      <c r="E212" s="11" t="s">
        <v>604</v>
      </c>
      <c r="H212" s="18"/>
      <c r="N212" s="1" t="s">
        <v>605</v>
      </c>
      <c r="O212" s="1">
        <v>900.0</v>
      </c>
    </row>
    <row r="213">
      <c r="C213" s="18"/>
      <c r="D213" s="42" t="s">
        <v>606</v>
      </c>
      <c r="E213" s="11" t="s">
        <v>604</v>
      </c>
      <c r="H213" s="18"/>
      <c r="N213" s="1" t="s">
        <v>607</v>
      </c>
      <c r="O213" s="1">
        <v>800.0</v>
      </c>
    </row>
    <row r="214">
      <c r="C214" s="18"/>
      <c r="D214" s="19" t="s">
        <v>608</v>
      </c>
      <c r="E214" s="11" t="s">
        <v>609</v>
      </c>
      <c r="H214" s="18"/>
      <c r="N214" s="1" t="s">
        <v>610</v>
      </c>
      <c r="O214" s="1">
        <v>150.0</v>
      </c>
    </row>
    <row r="215">
      <c r="C215" s="18"/>
      <c r="D215" s="19"/>
      <c r="E215" s="11" t="s">
        <v>611</v>
      </c>
      <c r="H215" s="18"/>
      <c r="N215" s="1" t="s">
        <v>612</v>
      </c>
      <c r="O215" s="1">
        <v>150.0</v>
      </c>
    </row>
    <row r="216">
      <c r="C216" s="18"/>
      <c r="D216" s="19"/>
      <c r="E216" s="11" t="s">
        <v>613</v>
      </c>
      <c r="H216" s="18"/>
      <c r="N216" s="1" t="s">
        <v>614</v>
      </c>
      <c r="O216" s="1">
        <v>150.0</v>
      </c>
    </row>
    <row r="217">
      <c r="C217" s="18"/>
      <c r="D217" s="19"/>
      <c r="E217" s="11" t="s">
        <v>615</v>
      </c>
      <c r="H217" s="18"/>
      <c r="N217" s="1" t="s">
        <v>616</v>
      </c>
      <c r="O217" s="1">
        <v>150.0</v>
      </c>
    </row>
    <row r="218">
      <c r="C218" s="18"/>
      <c r="D218" s="19"/>
      <c r="E218" s="11" t="s">
        <v>617</v>
      </c>
      <c r="H218" s="18"/>
      <c r="N218" s="1" t="s">
        <v>618</v>
      </c>
      <c r="O218" s="1">
        <v>150.0</v>
      </c>
    </row>
    <row r="219">
      <c r="C219" s="18"/>
      <c r="D219" s="19"/>
      <c r="E219" s="11" t="s">
        <v>619</v>
      </c>
      <c r="H219" s="18"/>
      <c r="N219" s="1" t="s">
        <v>620</v>
      </c>
      <c r="O219" s="1">
        <v>150.0</v>
      </c>
    </row>
    <row r="220">
      <c r="C220" s="18"/>
      <c r="D220" s="19" t="s">
        <v>621</v>
      </c>
      <c r="E220" s="11" t="s">
        <v>622</v>
      </c>
      <c r="H220" s="18"/>
      <c r="N220" s="1" t="s">
        <v>623</v>
      </c>
      <c r="O220" s="1">
        <v>150.0</v>
      </c>
    </row>
    <row r="221">
      <c r="C221" s="18"/>
      <c r="D221" s="19"/>
      <c r="E221" s="11" t="s">
        <v>624</v>
      </c>
      <c r="H221" s="18"/>
      <c r="N221" s="1" t="s">
        <v>625</v>
      </c>
      <c r="O221" s="1">
        <v>150.0</v>
      </c>
    </row>
    <row r="222">
      <c r="C222" s="18"/>
      <c r="D222" s="19" t="s">
        <v>626</v>
      </c>
      <c r="E222" s="11" t="s">
        <v>627</v>
      </c>
      <c r="H222" s="18"/>
      <c r="N222" s="1" t="s">
        <v>628</v>
      </c>
      <c r="O222" s="1">
        <v>150.0</v>
      </c>
    </row>
    <row r="223">
      <c r="C223" s="18"/>
      <c r="D223" s="19"/>
      <c r="E223" s="11" t="s">
        <v>629</v>
      </c>
      <c r="H223" s="18"/>
      <c r="N223" s="1" t="s">
        <v>630</v>
      </c>
      <c r="O223" s="1">
        <v>150.0</v>
      </c>
    </row>
    <row r="224">
      <c r="C224" s="18"/>
      <c r="D224" s="19" t="s">
        <v>631</v>
      </c>
      <c r="E224" s="11" t="s">
        <v>632</v>
      </c>
      <c r="H224" s="18"/>
      <c r="N224" s="1" t="s">
        <v>633</v>
      </c>
      <c r="O224" s="1">
        <v>150.0</v>
      </c>
    </row>
    <row r="225">
      <c r="C225" s="18"/>
      <c r="D225" s="19"/>
      <c r="E225" s="11" t="s">
        <v>634</v>
      </c>
      <c r="H225" s="18"/>
      <c r="N225" s="1" t="s">
        <v>635</v>
      </c>
      <c r="O225" s="1">
        <v>150.0</v>
      </c>
    </row>
    <row r="226">
      <c r="C226" s="18"/>
      <c r="D226" s="16" t="s">
        <v>636</v>
      </c>
      <c r="E226" s="11" t="s">
        <v>637</v>
      </c>
      <c r="H226" s="18"/>
      <c r="N226" s="1" t="s">
        <v>638</v>
      </c>
      <c r="O226" s="1">
        <v>600.0</v>
      </c>
    </row>
    <row r="227">
      <c r="C227" s="18"/>
      <c r="D227" s="42" t="s">
        <v>639</v>
      </c>
      <c r="E227" s="11" t="s">
        <v>637</v>
      </c>
      <c r="H227" s="18"/>
      <c r="N227" s="1" t="s">
        <v>640</v>
      </c>
      <c r="O227" s="1">
        <v>600.0</v>
      </c>
    </row>
    <row r="228">
      <c r="C228" s="18"/>
      <c r="D228" s="19" t="s">
        <v>641</v>
      </c>
      <c r="E228" s="11" t="s">
        <v>642</v>
      </c>
      <c r="H228" s="18"/>
      <c r="N228" s="1" t="s">
        <v>643</v>
      </c>
      <c r="O228" s="1">
        <v>150.0</v>
      </c>
    </row>
    <row r="229">
      <c r="C229" s="18"/>
      <c r="D229" s="19"/>
      <c r="E229" s="11" t="s">
        <v>644</v>
      </c>
      <c r="H229" s="18"/>
      <c r="N229" s="1" t="s">
        <v>645</v>
      </c>
      <c r="O229" s="1">
        <v>150.0</v>
      </c>
    </row>
    <row r="230">
      <c r="C230" s="18"/>
      <c r="D230" s="19"/>
      <c r="E230" s="11" t="s">
        <v>646</v>
      </c>
      <c r="H230" s="18"/>
      <c r="N230" s="1" t="s">
        <v>647</v>
      </c>
      <c r="O230" s="1">
        <v>150.0</v>
      </c>
    </row>
    <row r="231">
      <c r="C231" s="18"/>
      <c r="D231" s="19"/>
      <c r="E231" s="11" t="s">
        <v>648</v>
      </c>
      <c r="H231" s="18"/>
      <c r="N231" s="1" t="s">
        <v>649</v>
      </c>
      <c r="O231" s="1">
        <v>150.0</v>
      </c>
    </row>
    <row r="232">
      <c r="C232" s="18"/>
      <c r="D232" s="19"/>
      <c r="E232" s="11" t="s">
        <v>650</v>
      </c>
      <c r="H232" s="18"/>
      <c r="N232" s="1" t="s">
        <v>651</v>
      </c>
      <c r="O232" s="1">
        <v>150.0</v>
      </c>
    </row>
    <row r="233">
      <c r="C233" s="18"/>
      <c r="D233" s="19"/>
      <c r="E233" s="11" t="s">
        <v>652</v>
      </c>
      <c r="H233" s="18"/>
      <c r="N233" s="1" t="s">
        <v>653</v>
      </c>
      <c r="O233" s="1">
        <v>150.0</v>
      </c>
    </row>
    <row r="234">
      <c r="C234" s="18"/>
      <c r="D234" s="19" t="s">
        <v>654</v>
      </c>
      <c r="E234" s="41" t="s">
        <v>655</v>
      </c>
      <c r="H234" s="18"/>
      <c r="N234" s="1" t="s">
        <v>656</v>
      </c>
      <c r="O234" s="1">
        <v>200.0</v>
      </c>
    </row>
    <row r="235">
      <c r="C235" s="18"/>
      <c r="D235" s="19"/>
      <c r="E235" s="11" t="s">
        <v>657</v>
      </c>
      <c r="H235" s="18"/>
      <c r="N235" s="1" t="s">
        <v>658</v>
      </c>
      <c r="O235" s="1">
        <v>200.0</v>
      </c>
    </row>
    <row r="236">
      <c r="C236" s="18"/>
      <c r="D236" s="19"/>
      <c r="E236" s="11" t="s">
        <v>659</v>
      </c>
      <c r="H236" s="18"/>
      <c r="N236" s="1" t="s">
        <v>660</v>
      </c>
      <c r="O236" s="1">
        <v>200.0</v>
      </c>
    </row>
    <row r="237">
      <c r="A237" s="43"/>
      <c r="B237" s="43"/>
      <c r="C237" s="44"/>
      <c r="D237" s="19"/>
      <c r="E237" s="11" t="s">
        <v>661</v>
      </c>
      <c r="H237" s="44"/>
      <c r="N237" s="1" t="s">
        <v>662</v>
      </c>
      <c r="O237" s="1">
        <v>200.0</v>
      </c>
    </row>
    <row r="238">
      <c r="C238" s="18"/>
      <c r="D238" s="19"/>
      <c r="E238" s="11" t="s">
        <v>663</v>
      </c>
      <c r="H238" s="18"/>
      <c r="N238" s="1" t="s">
        <v>664</v>
      </c>
      <c r="O238" s="1">
        <v>200.0</v>
      </c>
    </row>
    <row r="239">
      <c r="C239" s="18"/>
      <c r="D239" s="19"/>
      <c r="E239" s="11" t="s">
        <v>665</v>
      </c>
      <c r="H239" s="18"/>
      <c r="N239" s="1" t="s">
        <v>666</v>
      </c>
      <c r="O239" s="1">
        <v>200.0</v>
      </c>
    </row>
    <row r="240">
      <c r="C240" s="18"/>
      <c r="D240" s="19" t="s">
        <v>667</v>
      </c>
      <c r="E240" s="11" t="s">
        <v>668</v>
      </c>
      <c r="H240" s="18"/>
      <c r="N240" s="1" t="s">
        <v>669</v>
      </c>
      <c r="O240" s="1">
        <v>150.0</v>
      </c>
    </row>
    <row r="241">
      <c r="C241" s="18"/>
      <c r="D241" s="19"/>
      <c r="E241" s="11" t="s">
        <v>670</v>
      </c>
      <c r="H241" s="18"/>
      <c r="N241" s="1" t="s">
        <v>671</v>
      </c>
      <c r="O241" s="1">
        <v>150.0</v>
      </c>
    </row>
    <row r="242">
      <c r="C242" s="18"/>
      <c r="D242" s="19"/>
      <c r="E242" s="11" t="s">
        <v>672</v>
      </c>
      <c r="H242" s="18"/>
      <c r="N242" s="1" t="s">
        <v>673</v>
      </c>
      <c r="O242" s="1">
        <v>150.0</v>
      </c>
    </row>
    <row r="243">
      <c r="C243" s="18"/>
      <c r="D243" s="19"/>
      <c r="E243" s="11" t="s">
        <v>674</v>
      </c>
      <c r="H243" s="18"/>
      <c r="N243" s="1" t="s">
        <v>675</v>
      </c>
      <c r="O243" s="1">
        <v>150.0</v>
      </c>
    </row>
    <row r="244">
      <c r="C244" s="18"/>
      <c r="D244" s="19"/>
      <c r="E244" s="11" t="s">
        <v>676</v>
      </c>
      <c r="H244" s="18"/>
      <c r="N244" s="1" t="s">
        <v>677</v>
      </c>
      <c r="O244" s="1">
        <v>150.0</v>
      </c>
    </row>
    <row r="245">
      <c r="C245" s="18"/>
      <c r="D245" s="19"/>
      <c r="E245" s="11" t="s">
        <v>678</v>
      </c>
      <c r="H245" s="18"/>
      <c r="N245" s="1" t="s">
        <v>679</v>
      </c>
      <c r="O245" s="1">
        <v>150.0</v>
      </c>
    </row>
    <row r="246">
      <c r="C246" s="18"/>
      <c r="D246" s="19" t="s">
        <v>680</v>
      </c>
      <c r="E246" s="11" t="s">
        <v>681</v>
      </c>
      <c r="H246" s="18"/>
      <c r="N246" s="1" t="s">
        <v>682</v>
      </c>
      <c r="O246" s="1">
        <v>200.0</v>
      </c>
    </row>
    <row r="247">
      <c r="C247" s="18"/>
      <c r="D247" s="19"/>
      <c r="E247" s="11" t="s">
        <v>683</v>
      </c>
      <c r="H247" s="18"/>
      <c r="N247" s="1" t="s">
        <v>684</v>
      </c>
      <c r="O247" s="1">
        <v>200.0</v>
      </c>
    </row>
    <row r="248">
      <c r="C248" s="18"/>
      <c r="D248" s="19"/>
      <c r="E248" s="11" t="s">
        <v>685</v>
      </c>
      <c r="H248" s="18"/>
      <c r="N248" s="1" t="s">
        <v>686</v>
      </c>
      <c r="O248" s="1">
        <v>200.0</v>
      </c>
    </row>
    <row r="249">
      <c r="C249" s="18"/>
      <c r="D249" s="19"/>
      <c r="E249" s="11" t="s">
        <v>687</v>
      </c>
      <c r="H249" s="18"/>
      <c r="N249" s="1" t="s">
        <v>688</v>
      </c>
      <c r="O249" s="1">
        <v>200.0</v>
      </c>
    </row>
    <row r="250">
      <c r="C250" s="18"/>
      <c r="D250" s="19"/>
      <c r="E250" s="11" t="s">
        <v>689</v>
      </c>
      <c r="H250" s="18"/>
      <c r="N250" s="1" t="s">
        <v>690</v>
      </c>
      <c r="O250" s="1">
        <v>200.0</v>
      </c>
    </row>
    <row r="251">
      <c r="C251" s="18"/>
      <c r="D251" s="19"/>
      <c r="E251" s="11" t="s">
        <v>691</v>
      </c>
      <c r="H251" s="18"/>
      <c r="N251" s="1" t="s">
        <v>692</v>
      </c>
      <c r="O251" s="1">
        <v>200.0</v>
      </c>
    </row>
    <row r="252">
      <c r="C252" s="18"/>
      <c r="D252" s="19" t="s">
        <v>693</v>
      </c>
      <c r="E252" s="11" t="s">
        <v>694</v>
      </c>
      <c r="H252" s="18"/>
      <c r="N252" s="1" t="s">
        <v>695</v>
      </c>
      <c r="O252" s="1">
        <v>300.0</v>
      </c>
    </row>
    <row r="253">
      <c r="C253" s="18"/>
      <c r="D253" s="1" t="s">
        <v>696</v>
      </c>
      <c r="E253" s="11" t="s">
        <v>696</v>
      </c>
      <c r="H253" s="18"/>
      <c r="N253" s="1" t="s">
        <v>697</v>
      </c>
      <c r="O253" s="1">
        <v>300.0</v>
      </c>
    </row>
    <row r="254">
      <c r="C254" s="18"/>
      <c r="D254" s="19"/>
      <c r="E254" s="11" t="s">
        <v>698</v>
      </c>
      <c r="H254" s="18"/>
      <c r="N254" s="45" t="s">
        <v>699</v>
      </c>
      <c r="O254" s="1">
        <v>300.0</v>
      </c>
    </row>
    <row r="255">
      <c r="C255" s="18"/>
      <c r="D255" s="19"/>
      <c r="E255" s="11" t="s">
        <v>700</v>
      </c>
      <c r="H255" s="18"/>
      <c r="N255" s="45" t="s">
        <v>701</v>
      </c>
      <c r="O255" s="1">
        <v>300.0</v>
      </c>
    </row>
    <row r="256">
      <c r="C256" s="18"/>
      <c r="D256" s="19"/>
      <c r="E256" s="11" t="s">
        <v>702</v>
      </c>
      <c r="H256" s="18"/>
      <c r="N256" s="1" t="s">
        <v>703</v>
      </c>
      <c r="O256" s="1">
        <v>300.0</v>
      </c>
    </row>
    <row r="257">
      <c r="C257" s="18"/>
      <c r="D257" s="19"/>
      <c r="E257" s="11" t="s">
        <v>704</v>
      </c>
      <c r="H257" s="18"/>
      <c r="N257" s="1" t="s">
        <v>705</v>
      </c>
      <c r="O257" s="1">
        <v>300.0</v>
      </c>
    </row>
    <row r="258">
      <c r="C258" s="18"/>
      <c r="D258" s="19" t="s">
        <v>706</v>
      </c>
      <c r="E258" s="11" t="s">
        <v>707</v>
      </c>
      <c r="H258" s="18"/>
      <c r="N258" s="1" t="s">
        <v>708</v>
      </c>
      <c r="O258" s="1">
        <v>150.0</v>
      </c>
    </row>
    <row r="259">
      <c r="C259" s="18"/>
      <c r="D259" s="19"/>
      <c r="E259" s="11" t="s">
        <v>709</v>
      </c>
      <c r="H259" s="18"/>
      <c r="N259" s="1" t="s">
        <v>710</v>
      </c>
      <c r="O259" s="1">
        <v>150.0</v>
      </c>
    </row>
    <row r="260">
      <c r="C260" s="18"/>
      <c r="D260" s="19"/>
      <c r="E260" s="11" t="s">
        <v>711</v>
      </c>
      <c r="H260" s="18"/>
      <c r="N260" s="1" t="s">
        <v>712</v>
      </c>
      <c r="O260" s="1">
        <v>150.0</v>
      </c>
    </row>
    <row r="261">
      <c r="C261" s="18"/>
      <c r="D261" s="19"/>
      <c r="E261" s="11" t="s">
        <v>713</v>
      </c>
      <c r="H261" s="18"/>
      <c r="N261" s="1" t="s">
        <v>714</v>
      </c>
      <c r="O261" s="1">
        <v>150.0</v>
      </c>
    </row>
    <row r="262">
      <c r="C262" s="18"/>
      <c r="D262" s="19"/>
      <c r="E262" s="11" t="s">
        <v>715</v>
      </c>
      <c r="H262" s="18"/>
      <c r="N262" s="1" t="s">
        <v>716</v>
      </c>
      <c r="O262" s="1">
        <v>150.0</v>
      </c>
    </row>
    <row r="263">
      <c r="C263" s="18"/>
      <c r="D263" s="19"/>
      <c r="E263" s="11" t="s">
        <v>717</v>
      </c>
      <c r="H263" s="18"/>
      <c r="N263" s="1" t="s">
        <v>718</v>
      </c>
      <c r="O263" s="1">
        <v>150.0</v>
      </c>
    </row>
    <row r="264">
      <c r="C264" s="18"/>
      <c r="D264" s="19" t="s">
        <v>719</v>
      </c>
      <c r="E264" s="11" t="s">
        <v>720</v>
      </c>
      <c r="H264" s="18"/>
    </row>
    <row r="265">
      <c r="B265" s="1" t="s">
        <v>721</v>
      </c>
      <c r="C265" s="18"/>
      <c r="D265" s="1" t="s">
        <v>722</v>
      </c>
      <c r="E265" s="11" t="s">
        <v>722</v>
      </c>
      <c r="H265" s="18"/>
      <c r="N265" s="1" t="s">
        <v>723</v>
      </c>
      <c r="O265" s="1">
        <v>350.0</v>
      </c>
    </row>
    <row r="266">
      <c r="C266" s="18"/>
      <c r="D266" s="19"/>
      <c r="E266" s="11" t="s">
        <v>724</v>
      </c>
      <c r="H266" s="18"/>
      <c r="N266" s="1" t="s">
        <v>725</v>
      </c>
      <c r="O266" s="1">
        <v>350.0</v>
      </c>
    </row>
    <row r="267">
      <c r="C267" s="18"/>
      <c r="D267" s="16" t="s">
        <v>726</v>
      </c>
      <c r="E267" s="11" t="s">
        <v>727</v>
      </c>
      <c r="H267" s="18"/>
      <c r="N267" s="1" t="s">
        <v>728</v>
      </c>
      <c r="O267" s="1">
        <v>350.0</v>
      </c>
    </row>
    <row r="268">
      <c r="C268" s="18"/>
      <c r="D268" s="19"/>
      <c r="E268" s="11" t="s">
        <v>729</v>
      </c>
      <c r="H268" s="18"/>
      <c r="N268" s="1" t="s">
        <v>730</v>
      </c>
      <c r="O268" s="1">
        <v>350.0</v>
      </c>
    </row>
    <row r="269">
      <c r="C269" s="18"/>
      <c r="D269" s="19"/>
      <c r="E269" s="11" t="s">
        <v>731</v>
      </c>
      <c r="H269" s="18"/>
      <c r="N269" s="1" t="s">
        <v>732</v>
      </c>
      <c r="O269" s="1">
        <v>350.0</v>
      </c>
    </row>
    <row r="270">
      <c r="C270" s="18"/>
      <c r="D270" s="42" t="s">
        <v>733</v>
      </c>
      <c r="E270" s="11" t="s">
        <v>734</v>
      </c>
      <c r="H270" s="18"/>
    </row>
    <row r="271">
      <c r="C271" s="18"/>
      <c r="D271" s="19" t="s">
        <v>735</v>
      </c>
      <c r="E271" s="11" t="s">
        <v>736</v>
      </c>
      <c r="H271" s="18"/>
      <c r="N271" s="1" t="s">
        <v>737</v>
      </c>
      <c r="O271" s="1">
        <v>450.0</v>
      </c>
    </row>
    <row r="272">
      <c r="C272" s="18"/>
      <c r="D272" s="1" t="s">
        <v>738</v>
      </c>
      <c r="E272" s="11" t="s">
        <v>738</v>
      </c>
      <c r="H272" s="18"/>
      <c r="N272" s="1" t="s">
        <v>739</v>
      </c>
      <c r="O272" s="1">
        <v>400.0</v>
      </c>
    </row>
    <row r="273">
      <c r="C273" s="18"/>
      <c r="D273" s="19"/>
      <c r="E273" s="11" t="s">
        <v>740</v>
      </c>
      <c r="H273" s="18"/>
      <c r="N273" s="1" t="s">
        <v>741</v>
      </c>
      <c r="O273" s="1">
        <v>350.0</v>
      </c>
    </row>
    <row r="274">
      <c r="C274" s="18"/>
      <c r="D274" s="19"/>
      <c r="E274" s="11" t="s">
        <v>742</v>
      </c>
      <c r="H274" s="18"/>
      <c r="N274" s="1" t="s">
        <v>743</v>
      </c>
      <c r="O274" s="1">
        <v>350.0</v>
      </c>
    </row>
    <row r="275">
      <c r="C275" s="18"/>
      <c r="D275" s="19"/>
      <c r="E275" s="11" t="s">
        <v>744</v>
      </c>
      <c r="H275" s="18"/>
      <c r="N275" s="1" t="s">
        <v>745</v>
      </c>
      <c r="O275" s="1">
        <v>400.0</v>
      </c>
    </row>
    <row r="276">
      <c r="C276" s="18"/>
      <c r="D276" s="19"/>
      <c r="E276" s="11" t="s">
        <v>746</v>
      </c>
      <c r="H276" s="18"/>
    </row>
    <row r="277">
      <c r="C277" s="18"/>
      <c r="D277" s="19" t="s">
        <v>747</v>
      </c>
      <c r="E277" s="11" t="s">
        <v>748</v>
      </c>
      <c r="H277" s="18"/>
    </row>
    <row r="278">
      <c r="C278" s="18"/>
      <c r="D278" s="19"/>
      <c r="E278" s="11" t="s">
        <v>749</v>
      </c>
      <c r="F278" s="1"/>
      <c r="H278" s="18"/>
      <c r="I278" s="1"/>
      <c r="J278" s="1"/>
      <c r="K278" s="1"/>
      <c r="N278" s="1" t="s">
        <v>750</v>
      </c>
      <c r="O278" s="1">
        <v>200.0</v>
      </c>
    </row>
    <row r="279">
      <c r="C279" s="18"/>
      <c r="D279" s="19"/>
      <c r="E279" s="11" t="s">
        <v>751</v>
      </c>
      <c r="F279" s="1"/>
      <c r="H279" s="18"/>
      <c r="I279" s="1"/>
      <c r="J279" s="1"/>
      <c r="K279" s="1"/>
      <c r="N279" s="1" t="s">
        <v>752</v>
      </c>
      <c r="O279" s="1">
        <v>200.0</v>
      </c>
    </row>
    <row r="280">
      <c r="C280" s="18"/>
      <c r="D280" s="19"/>
      <c r="E280" s="11" t="s">
        <v>753</v>
      </c>
      <c r="F280" s="1"/>
      <c r="H280" s="18"/>
      <c r="I280" s="1"/>
      <c r="J280" s="1"/>
      <c r="K280" s="1"/>
      <c r="N280" s="1" t="s">
        <v>754</v>
      </c>
      <c r="O280" s="1">
        <v>200.0</v>
      </c>
    </row>
    <row r="281">
      <c r="C281" s="18"/>
      <c r="D281" s="19" t="s">
        <v>755</v>
      </c>
      <c r="E281" s="11" t="s">
        <v>756</v>
      </c>
      <c r="F281" s="1"/>
      <c r="H281" s="18"/>
      <c r="I281" s="1"/>
      <c r="J281" s="1"/>
      <c r="K281" s="1"/>
    </row>
    <row r="282">
      <c r="C282" s="18"/>
      <c r="D282" s="19"/>
      <c r="E282" s="11" t="s">
        <v>757</v>
      </c>
      <c r="F282" s="1"/>
      <c r="H282" s="18"/>
      <c r="I282" s="1"/>
      <c r="J282" s="1"/>
      <c r="K282" s="1"/>
      <c r="N282" s="1" t="s">
        <v>758</v>
      </c>
      <c r="O282" s="1">
        <v>200.0</v>
      </c>
    </row>
    <row r="283">
      <c r="C283" s="18"/>
      <c r="D283" s="19" t="s">
        <v>759</v>
      </c>
      <c r="E283" s="11" t="s">
        <v>760</v>
      </c>
      <c r="H283" s="18"/>
      <c r="N283" s="1" t="s">
        <v>761</v>
      </c>
      <c r="O283" s="1">
        <v>1000.0</v>
      </c>
    </row>
    <row r="284">
      <c r="C284" s="18"/>
      <c r="D284" s="19"/>
      <c r="E284" s="11" t="s">
        <v>760</v>
      </c>
      <c r="H284" s="18"/>
      <c r="N284" s="1" t="s">
        <v>762</v>
      </c>
      <c r="O284" s="1">
        <v>500.0</v>
      </c>
    </row>
    <row r="285">
      <c r="C285" s="18"/>
      <c r="D285" s="19" t="s">
        <v>763</v>
      </c>
      <c r="E285" s="11" t="s">
        <v>764</v>
      </c>
      <c r="H285" s="18"/>
      <c r="N285" s="1" t="s">
        <v>765</v>
      </c>
      <c r="O285" s="1">
        <v>1000.0</v>
      </c>
    </row>
    <row r="286">
      <c r="C286" s="18"/>
      <c r="D286" s="19" t="s">
        <v>766</v>
      </c>
      <c r="E286" s="11" t="s">
        <v>767</v>
      </c>
      <c r="H286" s="18"/>
      <c r="N286" s="1" t="s">
        <v>768</v>
      </c>
      <c r="O286" s="1">
        <v>200.0</v>
      </c>
    </row>
    <row r="287">
      <c r="C287" s="18"/>
      <c r="D287" s="19"/>
      <c r="E287" s="11" t="s">
        <v>769</v>
      </c>
      <c r="H287" s="18"/>
      <c r="N287" s="1" t="s">
        <v>770</v>
      </c>
      <c r="O287" s="1">
        <v>200.0</v>
      </c>
    </row>
    <row r="288">
      <c r="C288" s="18"/>
      <c r="D288" s="19"/>
      <c r="E288" s="11" t="s">
        <v>771</v>
      </c>
      <c r="H288" s="18"/>
      <c r="N288" s="1" t="s">
        <v>772</v>
      </c>
      <c r="O288" s="1">
        <v>200.0</v>
      </c>
    </row>
    <row r="289">
      <c r="C289" s="18"/>
      <c r="D289" s="19"/>
      <c r="E289" s="11" t="s">
        <v>773</v>
      </c>
      <c r="H289" s="18"/>
      <c r="N289" s="1" t="s">
        <v>774</v>
      </c>
      <c r="O289" s="1">
        <v>200.0</v>
      </c>
    </row>
    <row r="290">
      <c r="C290" s="18"/>
      <c r="D290" s="19" t="s">
        <v>775</v>
      </c>
      <c r="E290" s="11" t="s">
        <v>776</v>
      </c>
      <c r="H290" s="18"/>
      <c r="N290" s="1" t="s">
        <v>777</v>
      </c>
      <c r="O290" s="1">
        <v>200.0</v>
      </c>
    </row>
    <row r="291">
      <c r="C291" s="18"/>
      <c r="D291" s="19" t="s">
        <v>778</v>
      </c>
      <c r="E291" s="11" t="s">
        <v>779</v>
      </c>
      <c r="H291" s="18"/>
      <c r="N291" s="1" t="s">
        <v>780</v>
      </c>
      <c r="O291" s="1">
        <v>200.0</v>
      </c>
    </row>
    <row r="292">
      <c r="C292" s="18"/>
      <c r="D292" s="19" t="s">
        <v>781</v>
      </c>
      <c r="E292" s="11" t="s">
        <v>782</v>
      </c>
      <c r="H292" s="18"/>
      <c r="N292" s="1" t="s">
        <v>783</v>
      </c>
      <c r="O292" s="1">
        <v>200.0</v>
      </c>
    </row>
    <row r="293">
      <c r="C293" s="18"/>
      <c r="D293" s="19"/>
      <c r="E293" s="11" t="s">
        <v>784</v>
      </c>
      <c r="H293" s="18"/>
      <c r="N293" s="1" t="s">
        <v>785</v>
      </c>
      <c r="O293" s="1">
        <v>200.0</v>
      </c>
    </row>
    <row r="294">
      <c r="C294" s="18"/>
      <c r="D294" s="19"/>
      <c r="E294" s="11" t="s">
        <v>786</v>
      </c>
      <c r="H294" s="18"/>
      <c r="N294" s="1" t="s">
        <v>787</v>
      </c>
      <c r="O294" s="1">
        <v>200.0</v>
      </c>
    </row>
    <row r="295">
      <c r="C295" s="18"/>
      <c r="D295" s="19"/>
      <c r="E295" s="11" t="s">
        <v>788</v>
      </c>
      <c r="H295" s="18"/>
      <c r="N295" s="1" t="s">
        <v>789</v>
      </c>
      <c r="O295" s="1">
        <v>150.0</v>
      </c>
    </row>
    <row r="296">
      <c r="C296" s="18"/>
      <c r="D296" s="19"/>
      <c r="E296" s="11" t="s">
        <v>790</v>
      </c>
      <c r="H296" s="18"/>
      <c r="N296" s="1" t="s">
        <v>791</v>
      </c>
      <c r="O296" s="1">
        <v>200.0</v>
      </c>
    </row>
    <row r="297">
      <c r="C297" s="18"/>
      <c r="D297" s="19"/>
      <c r="E297" s="11" t="s">
        <v>792</v>
      </c>
      <c r="H297" s="18"/>
      <c r="N297" s="1" t="s">
        <v>793</v>
      </c>
      <c r="O297" s="1">
        <v>150.0</v>
      </c>
    </row>
    <row r="298">
      <c r="C298" s="18"/>
      <c r="D298" s="19" t="s">
        <v>794</v>
      </c>
      <c r="E298" s="11" t="s">
        <v>795</v>
      </c>
      <c r="H298" s="18"/>
      <c r="N298" s="1" t="s">
        <v>796</v>
      </c>
      <c r="O298" s="1">
        <v>150.0</v>
      </c>
    </row>
    <row r="299">
      <c r="C299" s="18"/>
      <c r="D299" s="19"/>
      <c r="E299" s="11" t="s">
        <v>797</v>
      </c>
      <c r="H299" s="18"/>
      <c r="N299" s="1" t="s">
        <v>798</v>
      </c>
      <c r="O299" s="1">
        <v>150.0</v>
      </c>
    </row>
    <row r="300">
      <c r="C300" s="18"/>
      <c r="D300" s="19"/>
      <c r="E300" s="11" t="s">
        <v>799</v>
      </c>
      <c r="H300" s="18"/>
      <c r="N300" s="1" t="s">
        <v>800</v>
      </c>
      <c r="O300" s="1">
        <v>150.0</v>
      </c>
    </row>
    <row r="301">
      <c r="C301" s="18"/>
      <c r="D301" s="19"/>
      <c r="E301" s="11" t="s">
        <v>801</v>
      </c>
      <c r="H301" s="18"/>
      <c r="N301" s="1" t="s">
        <v>802</v>
      </c>
      <c r="O301" s="1">
        <v>150.0</v>
      </c>
    </row>
    <row r="302">
      <c r="C302" s="18"/>
      <c r="D302" s="19" t="s">
        <v>803</v>
      </c>
      <c r="E302" s="11" t="s">
        <v>804</v>
      </c>
      <c r="H302" s="18"/>
      <c r="N302" s="1" t="s">
        <v>805</v>
      </c>
      <c r="O302" s="1">
        <v>150.0</v>
      </c>
    </row>
    <row r="303">
      <c r="C303" s="18"/>
      <c r="D303" s="19"/>
      <c r="E303" s="11" t="s">
        <v>806</v>
      </c>
      <c r="H303" s="18"/>
      <c r="N303" s="1" t="s">
        <v>807</v>
      </c>
      <c r="O303" s="1">
        <v>150.0</v>
      </c>
    </row>
    <row r="304">
      <c r="C304" s="18"/>
      <c r="D304" s="19" t="s">
        <v>808</v>
      </c>
      <c r="E304" s="41" t="s">
        <v>809</v>
      </c>
      <c r="H304" s="18"/>
      <c r="N304" s="1" t="s">
        <v>810</v>
      </c>
      <c r="O304" s="1">
        <v>200.0</v>
      </c>
    </row>
    <row r="305">
      <c r="C305" s="18"/>
      <c r="D305" s="19"/>
      <c r="E305" s="11" t="s">
        <v>811</v>
      </c>
      <c r="H305" s="18"/>
      <c r="N305" s="1" t="s">
        <v>812</v>
      </c>
      <c r="O305" s="1">
        <v>200.0</v>
      </c>
    </row>
    <row r="306">
      <c r="C306" s="18"/>
      <c r="D306" s="19"/>
      <c r="E306" s="11" t="s">
        <v>813</v>
      </c>
      <c r="H306" s="18"/>
      <c r="N306" s="1" t="s">
        <v>814</v>
      </c>
      <c r="O306" s="1">
        <v>200.0</v>
      </c>
    </row>
    <row r="307">
      <c r="C307" s="18"/>
      <c r="D307" s="19"/>
      <c r="E307" s="11" t="s">
        <v>815</v>
      </c>
      <c r="H307" s="18"/>
      <c r="N307" s="1" t="s">
        <v>816</v>
      </c>
      <c r="O307" s="1">
        <v>200.0</v>
      </c>
    </row>
    <row r="308">
      <c r="C308" s="18"/>
      <c r="D308" s="19"/>
      <c r="E308" s="11" t="s">
        <v>817</v>
      </c>
      <c r="H308" s="18"/>
      <c r="N308" s="1" t="s">
        <v>818</v>
      </c>
      <c r="O308" s="1">
        <v>200.0</v>
      </c>
    </row>
    <row r="309">
      <c r="C309" s="18"/>
      <c r="D309" s="19"/>
      <c r="E309" s="11" t="s">
        <v>819</v>
      </c>
      <c r="H309" s="18"/>
      <c r="N309" s="1" t="s">
        <v>820</v>
      </c>
      <c r="O309" s="1">
        <v>200.0</v>
      </c>
    </row>
    <row r="310">
      <c r="C310" s="18"/>
      <c r="D310" s="16" t="s">
        <v>821</v>
      </c>
      <c r="E310" s="11" t="s">
        <v>822</v>
      </c>
      <c r="H310" s="18"/>
      <c r="N310" s="1" t="s">
        <v>823</v>
      </c>
      <c r="O310" s="1">
        <v>350.0</v>
      </c>
    </row>
    <row r="311">
      <c r="C311" s="18"/>
      <c r="D311" s="19"/>
      <c r="E311" s="11" t="s">
        <v>824</v>
      </c>
      <c r="H311" s="18"/>
      <c r="N311" s="1" t="s">
        <v>825</v>
      </c>
      <c r="O311" s="1">
        <v>350.0</v>
      </c>
    </row>
    <row r="312">
      <c r="C312" s="18"/>
      <c r="D312" s="19"/>
      <c r="E312" s="11" t="s">
        <v>826</v>
      </c>
      <c r="H312" s="18"/>
      <c r="N312" s="1" t="s">
        <v>827</v>
      </c>
      <c r="O312" s="1">
        <v>300.0</v>
      </c>
    </row>
    <row r="313">
      <c r="C313" s="18"/>
      <c r="D313" s="19"/>
      <c r="E313" s="11" t="s">
        <v>828</v>
      </c>
      <c r="H313" s="18"/>
      <c r="N313" s="1" t="s">
        <v>829</v>
      </c>
      <c r="O313" s="1">
        <v>300.0</v>
      </c>
    </row>
    <row r="314">
      <c r="C314" s="18"/>
      <c r="D314" s="19"/>
      <c r="E314" s="11" t="s">
        <v>830</v>
      </c>
      <c r="H314" s="18"/>
      <c r="N314" s="1" t="s">
        <v>831</v>
      </c>
      <c r="O314" s="1">
        <v>300.0</v>
      </c>
    </row>
    <row r="315">
      <c r="C315" s="18"/>
      <c r="D315" s="16" t="s">
        <v>832</v>
      </c>
      <c r="E315" s="11" t="s">
        <v>833</v>
      </c>
      <c r="H315" s="18"/>
      <c r="N315" s="1" t="s">
        <v>834</v>
      </c>
      <c r="O315" s="1">
        <v>300.0</v>
      </c>
    </row>
    <row r="316">
      <c r="C316" s="18"/>
      <c r="D316" s="19" t="s">
        <v>835</v>
      </c>
      <c r="E316" s="11" t="s">
        <v>836</v>
      </c>
      <c r="H316" s="18"/>
      <c r="N316" s="1" t="s">
        <v>837</v>
      </c>
      <c r="O316" s="1">
        <v>1100.0</v>
      </c>
    </row>
    <row r="317">
      <c r="C317" s="18"/>
      <c r="D317" s="16" t="s">
        <v>838</v>
      </c>
      <c r="E317" s="11" t="s">
        <v>839</v>
      </c>
      <c r="H317" s="18"/>
      <c r="N317" s="1" t="s">
        <v>840</v>
      </c>
      <c r="O317" s="1">
        <v>450.0</v>
      </c>
    </row>
    <row r="318">
      <c r="C318" s="18"/>
      <c r="D318" s="19"/>
      <c r="E318" s="11" t="s">
        <v>841</v>
      </c>
      <c r="H318" s="18"/>
      <c r="N318" s="1" t="s">
        <v>842</v>
      </c>
      <c r="O318" s="1">
        <v>350.0</v>
      </c>
    </row>
    <row r="319">
      <c r="C319" s="18"/>
      <c r="D319" s="19" t="s">
        <v>843</v>
      </c>
      <c r="E319" s="11" t="s">
        <v>844</v>
      </c>
      <c r="H319" s="18"/>
      <c r="N319" s="1" t="s">
        <v>845</v>
      </c>
      <c r="O319" s="1">
        <v>250.0</v>
      </c>
    </row>
    <row r="320">
      <c r="C320" s="18"/>
      <c r="D320" s="1" t="s">
        <v>846</v>
      </c>
      <c r="E320" s="11" t="s">
        <v>846</v>
      </c>
      <c r="H320" s="18"/>
      <c r="N320" s="1" t="s">
        <v>847</v>
      </c>
      <c r="O320" s="1">
        <v>250.0</v>
      </c>
    </row>
    <row r="321">
      <c r="C321" s="18"/>
      <c r="D321" s="19"/>
      <c r="E321" s="11" t="s">
        <v>848</v>
      </c>
      <c r="H321" s="18"/>
      <c r="N321" s="1" t="s">
        <v>849</v>
      </c>
      <c r="O321" s="1">
        <v>250.0</v>
      </c>
    </row>
    <row r="322">
      <c r="C322" s="18"/>
      <c r="D322" s="19"/>
      <c r="E322" s="11" t="s">
        <v>850</v>
      </c>
      <c r="H322" s="18"/>
      <c r="N322" s="1" t="s">
        <v>851</v>
      </c>
      <c r="O322" s="1">
        <v>250.0</v>
      </c>
    </row>
    <row r="323">
      <c r="C323" s="18"/>
      <c r="D323" s="19"/>
      <c r="E323" s="11" t="s">
        <v>852</v>
      </c>
      <c r="H323" s="18"/>
      <c r="N323" s="1" t="s">
        <v>853</v>
      </c>
      <c r="O323" s="1">
        <v>250.0</v>
      </c>
    </row>
    <row r="324">
      <c r="C324" s="18"/>
      <c r="D324" s="19"/>
      <c r="E324" s="11" t="s">
        <v>854</v>
      </c>
      <c r="H324" s="18"/>
      <c r="N324" s="1" t="s">
        <v>855</v>
      </c>
      <c r="O324" s="1">
        <v>250.0</v>
      </c>
    </row>
    <row r="325">
      <c r="C325" s="18"/>
      <c r="D325" s="19" t="s">
        <v>856</v>
      </c>
      <c r="E325" s="11" t="s">
        <v>857</v>
      </c>
      <c r="H325" s="18"/>
      <c r="N325" s="1" t="s">
        <v>858</v>
      </c>
      <c r="O325" s="1">
        <v>150.0</v>
      </c>
    </row>
    <row r="326">
      <c r="C326" s="9" t="s">
        <v>859</v>
      </c>
      <c r="D326" s="10"/>
      <c r="E326" s="11" t="s">
        <v>860</v>
      </c>
      <c r="H326" s="12"/>
      <c r="N326" s="1" t="s">
        <v>861</v>
      </c>
    </row>
    <row r="327">
      <c r="A327" s="13"/>
      <c r="B327" s="14"/>
      <c r="C327" s="15"/>
      <c r="D327" s="17"/>
      <c r="E327" s="13" t="s">
        <v>862</v>
      </c>
      <c r="F327" s="13"/>
      <c r="G327" s="13"/>
      <c r="H327" s="15"/>
      <c r="I327" s="13"/>
      <c r="J327" s="13"/>
      <c r="K327" s="13"/>
      <c r="N327" s="1" t="s">
        <v>863</v>
      </c>
      <c r="O327" s="1">
        <v>70.0</v>
      </c>
    </row>
    <row r="328">
      <c r="C328" s="18"/>
      <c r="D328" s="29" t="s">
        <v>864</v>
      </c>
      <c r="E328" s="11" t="s">
        <v>865</v>
      </c>
      <c r="H328" s="18"/>
      <c r="N328" s="1" t="s">
        <v>866</v>
      </c>
      <c r="O328" s="1">
        <v>10.0</v>
      </c>
    </row>
    <row r="329">
      <c r="D329" s="36" t="s">
        <v>867</v>
      </c>
      <c r="E329" s="11" t="s">
        <v>868</v>
      </c>
      <c r="N329" s="1" t="s">
        <v>869</v>
      </c>
      <c r="O329" s="1">
        <v>10.0</v>
      </c>
    </row>
    <row r="330">
      <c r="C330" s="18"/>
      <c r="D330" s="22" t="s">
        <v>870</v>
      </c>
      <c r="E330" s="11" t="s">
        <v>871</v>
      </c>
      <c r="H330" s="18"/>
      <c r="N330" s="1" t="s">
        <v>872</v>
      </c>
      <c r="O330" s="1">
        <v>10.0</v>
      </c>
    </row>
    <row r="331">
      <c r="C331" s="18"/>
      <c r="D331" s="22" t="s">
        <v>873</v>
      </c>
      <c r="E331" s="11" t="s">
        <v>874</v>
      </c>
      <c r="H331" s="18"/>
      <c r="N331" s="1" t="s">
        <v>875</v>
      </c>
      <c r="O331" s="1">
        <v>10.0</v>
      </c>
    </row>
    <row r="332">
      <c r="C332" s="18"/>
      <c r="D332" s="22" t="s">
        <v>876</v>
      </c>
      <c r="E332" s="13" t="s">
        <v>877</v>
      </c>
      <c r="H332" s="18"/>
      <c r="N332" s="1" t="s">
        <v>878</v>
      </c>
      <c r="O332" s="1">
        <v>60.0</v>
      </c>
    </row>
    <row r="333">
      <c r="C333" s="18"/>
      <c r="D333" s="21" t="s">
        <v>879</v>
      </c>
      <c r="E333" s="11" t="s">
        <v>880</v>
      </c>
      <c r="H333" s="18"/>
      <c r="N333" s="1" t="s">
        <v>881</v>
      </c>
      <c r="O333" s="1">
        <v>60.0</v>
      </c>
    </row>
    <row r="334">
      <c r="C334" s="18"/>
      <c r="D334" s="19" t="s">
        <v>882</v>
      </c>
      <c r="E334" s="11" t="s">
        <v>883</v>
      </c>
      <c r="H334" s="18"/>
      <c r="N334" s="1" t="s">
        <v>884</v>
      </c>
      <c r="O334" s="1">
        <v>150.0</v>
      </c>
    </row>
    <row r="335">
      <c r="C335" s="18"/>
      <c r="D335" s="19" t="s">
        <v>885</v>
      </c>
      <c r="E335" s="11" t="s">
        <v>886</v>
      </c>
      <c r="H335" s="18"/>
      <c r="N335" s="1" t="s">
        <v>887</v>
      </c>
      <c r="O335" s="1">
        <v>150.0</v>
      </c>
    </row>
    <row r="336">
      <c r="C336" s="18"/>
      <c r="D336" s="21" t="s">
        <v>888</v>
      </c>
      <c r="E336" s="11" t="s">
        <v>889</v>
      </c>
      <c r="H336" s="18"/>
      <c r="N336" s="1" t="s">
        <v>890</v>
      </c>
      <c r="O336" s="1">
        <v>10.0</v>
      </c>
    </row>
    <row r="337">
      <c r="C337" s="9" t="s">
        <v>891</v>
      </c>
      <c r="D337" s="25" t="s">
        <v>892</v>
      </c>
      <c r="E337" s="11" t="s">
        <v>893</v>
      </c>
      <c r="H337" s="12"/>
      <c r="N337" s="1" t="s">
        <v>894</v>
      </c>
    </row>
    <row r="338">
      <c r="D338" s="22" t="s">
        <v>895</v>
      </c>
      <c r="E338" s="11" t="s">
        <v>896</v>
      </c>
      <c r="N338" s="1" t="s">
        <v>897</v>
      </c>
    </row>
    <row r="339">
      <c r="D339" s="22" t="s">
        <v>898</v>
      </c>
      <c r="E339" s="11" t="s">
        <v>896</v>
      </c>
      <c r="N339" s="1" t="s">
        <v>899</v>
      </c>
    </row>
    <row r="340">
      <c r="D340" s="22" t="s">
        <v>900</v>
      </c>
      <c r="E340" s="11" t="s">
        <v>901</v>
      </c>
      <c r="N340" s="1" t="s">
        <v>902</v>
      </c>
    </row>
    <row r="341">
      <c r="C341" s="18"/>
      <c r="D341" s="22" t="s">
        <v>903</v>
      </c>
      <c r="E341" s="11" t="s">
        <v>904</v>
      </c>
      <c r="H341" s="18"/>
      <c r="N341" s="1" t="s">
        <v>905</v>
      </c>
      <c r="O341" s="1">
        <v>60.0</v>
      </c>
    </row>
    <row r="342">
      <c r="C342" s="18"/>
      <c r="D342" s="16" t="s">
        <v>906</v>
      </c>
      <c r="E342" s="11" t="s">
        <v>907</v>
      </c>
      <c r="H342" s="18"/>
      <c r="N342" s="1"/>
      <c r="O342" s="1"/>
    </row>
    <row r="343">
      <c r="C343" s="18"/>
      <c r="D343" s="16" t="s">
        <v>70</v>
      </c>
      <c r="E343" s="11" t="s">
        <v>908</v>
      </c>
      <c r="H343" s="18"/>
      <c r="N343" s="1"/>
      <c r="O343" s="1"/>
    </row>
    <row r="344">
      <c r="C344" s="18"/>
      <c r="D344" s="1" t="s">
        <v>906</v>
      </c>
      <c r="E344" s="11" t="s">
        <v>909</v>
      </c>
      <c r="H344" s="18"/>
      <c r="N344" s="1"/>
      <c r="O344" s="1"/>
    </row>
    <row r="345">
      <c r="C345" s="18"/>
      <c r="D345" s="16" t="s">
        <v>335</v>
      </c>
      <c r="E345" s="11" t="s">
        <v>909</v>
      </c>
      <c r="H345" s="18"/>
      <c r="N345" s="1"/>
      <c r="O345" s="1"/>
    </row>
    <row r="346">
      <c r="C346" s="18"/>
      <c r="E346" s="11" t="s">
        <v>910</v>
      </c>
      <c r="H346" s="18"/>
      <c r="N346" s="1"/>
      <c r="O346" s="1"/>
    </row>
    <row r="347">
      <c r="C347" s="18"/>
      <c r="D347" s="16"/>
      <c r="E347" s="11" t="s">
        <v>911</v>
      </c>
      <c r="H347" s="18"/>
      <c r="N347" s="1"/>
      <c r="O347" s="1"/>
    </row>
    <row r="348">
      <c r="C348" s="18"/>
      <c r="D348" s="16" t="s">
        <v>393</v>
      </c>
      <c r="E348" s="11" t="s">
        <v>912</v>
      </c>
      <c r="H348" s="18"/>
      <c r="N348" s="1"/>
      <c r="O348" s="1"/>
    </row>
    <row r="349">
      <c r="C349" s="18"/>
      <c r="D349" s="1" t="s">
        <v>906</v>
      </c>
      <c r="E349" s="11" t="s">
        <v>913</v>
      </c>
      <c r="H349" s="18"/>
      <c r="N349" s="1"/>
      <c r="O349" s="1"/>
    </row>
    <row r="350">
      <c r="C350" s="18"/>
      <c r="D350" s="16" t="s">
        <v>407</v>
      </c>
      <c r="E350" s="11" t="s">
        <v>914</v>
      </c>
      <c r="H350" s="18"/>
      <c r="N350" s="1"/>
      <c r="O350" s="1"/>
    </row>
    <row r="351">
      <c r="C351" s="18"/>
      <c r="D351" s="16" t="s">
        <v>906</v>
      </c>
      <c r="E351" s="11" t="s">
        <v>915</v>
      </c>
      <c r="H351" s="18"/>
      <c r="N351" s="1"/>
      <c r="O351" s="1"/>
    </row>
    <row r="352">
      <c r="C352" s="18"/>
      <c r="D352" s="16" t="s">
        <v>427</v>
      </c>
      <c r="E352" s="11" t="s">
        <v>916</v>
      </c>
      <c r="H352" s="18"/>
      <c r="N352" s="1"/>
      <c r="O352" s="1"/>
    </row>
    <row r="353">
      <c r="C353" s="18"/>
      <c r="E353" s="11" t="s">
        <v>917</v>
      </c>
      <c r="H353" s="18"/>
      <c r="N353" s="1"/>
      <c r="O353" s="1"/>
    </row>
    <row r="354">
      <c r="C354" s="18"/>
      <c r="D354" s="16" t="s">
        <v>454</v>
      </c>
      <c r="E354" s="11" t="s">
        <v>918</v>
      </c>
      <c r="H354" s="18"/>
      <c r="N354" s="1"/>
      <c r="O354" s="1"/>
    </row>
    <row r="355">
      <c r="C355" s="18"/>
      <c r="D355" s="16" t="s">
        <v>919</v>
      </c>
      <c r="E355" s="11" t="s">
        <v>919</v>
      </c>
      <c r="F355" s="1" t="s">
        <v>920</v>
      </c>
      <c r="H355" s="18"/>
      <c r="N355" s="1" t="s">
        <v>921</v>
      </c>
      <c r="O355" s="1">
        <v>40.0</v>
      </c>
    </row>
    <row r="356">
      <c r="C356" s="18"/>
      <c r="D356" s="16"/>
      <c r="E356" s="11" t="s">
        <v>922</v>
      </c>
      <c r="H356" s="18"/>
      <c r="N356" s="1" t="s">
        <v>923</v>
      </c>
      <c r="O356" s="1">
        <v>40.0</v>
      </c>
    </row>
    <row r="357">
      <c r="C357" s="18"/>
      <c r="D357" s="16" t="s">
        <v>924</v>
      </c>
      <c r="E357" s="11" t="s">
        <v>924</v>
      </c>
      <c r="H357" s="18"/>
      <c r="N357" s="1" t="s">
        <v>925</v>
      </c>
      <c r="O357" s="1">
        <v>40.0</v>
      </c>
    </row>
    <row r="358">
      <c r="C358" s="18"/>
      <c r="D358" s="16"/>
      <c r="E358" s="11" t="s">
        <v>926</v>
      </c>
      <c r="H358" s="18"/>
      <c r="N358" s="1" t="s">
        <v>927</v>
      </c>
      <c r="O358" s="1">
        <v>40.0</v>
      </c>
    </row>
    <row r="359">
      <c r="C359" s="18"/>
      <c r="D359" s="16"/>
      <c r="E359" s="11" t="s">
        <v>928</v>
      </c>
      <c r="H359" s="18"/>
      <c r="N359" s="1" t="s">
        <v>929</v>
      </c>
      <c r="O359" s="1">
        <v>40.0</v>
      </c>
    </row>
    <row r="360">
      <c r="C360" s="18"/>
      <c r="D360" s="16"/>
      <c r="E360" s="11" t="s">
        <v>930</v>
      </c>
      <c r="H360" s="18"/>
      <c r="N360" s="1" t="s">
        <v>931</v>
      </c>
      <c r="O360" s="1">
        <v>40.0</v>
      </c>
    </row>
    <row r="361">
      <c r="C361" s="18"/>
      <c r="D361" s="16"/>
      <c r="E361" s="11" t="s">
        <v>932</v>
      </c>
      <c r="H361" s="18"/>
      <c r="N361" s="1" t="s">
        <v>933</v>
      </c>
      <c r="O361" s="1">
        <v>40.0</v>
      </c>
    </row>
    <row r="362">
      <c r="C362" s="18"/>
      <c r="D362" s="16"/>
      <c r="E362" s="11" t="s">
        <v>934</v>
      </c>
      <c r="H362" s="18"/>
      <c r="N362" s="1" t="s">
        <v>935</v>
      </c>
      <c r="O362" s="1">
        <v>40.0</v>
      </c>
    </row>
    <row r="363">
      <c r="C363" s="18"/>
      <c r="D363" s="16"/>
      <c r="E363" s="11" t="s">
        <v>936</v>
      </c>
      <c r="H363" s="18"/>
      <c r="N363" s="1" t="s">
        <v>937</v>
      </c>
      <c r="O363" s="1">
        <v>40.0</v>
      </c>
    </row>
    <row r="364">
      <c r="C364" s="18"/>
      <c r="D364" s="16"/>
      <c r="E364" s="11" t="s">
        <v>938</v>
      </c>
      <c r="H364" s="18"/>
      <c r="N364" s="1" t="s">
        <v>939</v>
      </c>
      <c r="O364" s="1">
        <v>40.0</v>
      </c>
    </row>
    <row r="365">
      <c r="C365" s="18"/>
      <c r="D365" s="16" t="s">
        <v>940</v>
      </c>
      <c r="E365" s="11" t="s">
        <v>940</v>
      </c>
      <c r="F365" s="1" t="s">
        <v>906</v>
      </c>
      <c r="H365" s="18"/>
      <c r="N365" s="1" t="s">
        <v>941</v>
      </c>
      <c r="O365" s="1">
        <v>30.0</v>
      </c>
    </row>
    <row r="366">
      <c r="C366" s="18"/>
      <c r="D366" s="16"/>
      <c r="E366" s="11" t="s">
        <v>942</v>
      </c>
      <c r="H366" s="18"/>
      <c r="N366" s="1" t="s">
        <v>943</v>
      </c>
      <c r="O366" s="1">
        <v>30.0</v>
      </c>
    </row>
    <row r="367">
      <c r="C367" s="18"/>
      <c r="D367" s="16"/>
      <c r="E367" s="11" t="s">
        <v>944</v>
      </c>
      <c r="H367" s="18"/>
      <c r="N367" s="1" t="s">
        <v>945</v>
      </c>
      <c r="O367" s="1">
        <v>30.0</v>
      </c>
    </row>
    <row r="368">
      <c r="C368" s="18"/>
      <c r="D368" s="16"/>
      <c r="E368" s="11" t="s">
        <v>946</v>
      </c>
      <c r="H368" s="18"/>
      <c r="N368" s="1" t="s">
        <v>947</v>
      </c>
      <c r="O368" s="1">
        <v>30.0</v>
      </c>
    </row>
    <row r="369">
      <c r="C369" s="18"/>
      <c r="D369" s="16"/>
      <c r="E369" s="11" t="s">
        <v>948</v>
      </c>
      <c r="H369" s="18"/>
      <c r="N369" s="1" t="s">
        <v>949</v>
      </c>
      <c r="O369" s="1">
        <v>30.0</v>
      </c>
    </row>
    <row r="370">
      <c r="C370" s="18"/>
      <c r="D370" s="16"/>
      <c r="E370" s="11" t="s">
        <v>950</v>
      </c>
      <c r="H370" s="18"/>
      <c r="N370" s="1" t="s">
        <v>951</v>
      </c>
      <c r="O370" s="1">
        <v>30.0</v>
      </c>
    </row>
    <row r="371">
      <c r="C371" s="18"/>
      <c r="D371" s="16"/>
      <c r="E371" s="11" t="s">
        <v>952</v>
      </c>
      <c r="H371" s="18"/>
      <c r="N371" s="1" t="s">
        <v>953</v>
      </c>
      <c r="O371" s="1">
        <v>30.0</v>
      </c>
    </row>
    <row r="372">
      <c r="C372" s="18"/>
      <c r="D372" s="16"/>
      <c r="E372" s="11" t="s">
        <v>954</v>
      </c>
      <c r="H372" s="18"/>
      <c r="N372" s="1" t="s">
        <v>955</v>
      </c>
      <c r="O372" s="1">
        <v>30.0</v>
      </c>
    </row>
    <row r="373">
      <c r="C373" s="18"/>
      <c r="D373" s="16"/>
      <c r="E373" s="11" t="s">
        <v>956</v>
      </c>
      <c r="H373" s="18"/>
      <c r="N373" s="1" t="s">
        <v>957</v>
      </c>
      <c r="O373" s="1">
        <v>30.0</v>
      </c>
    </row>
    <row r="374">
      <c r="C374" s="18"/>
      <c r="D374" s="16"/>
      <c r="E374" s="11" t="s">
        <v>958</v>
      </c>
      <c r="H374" s="18"/>
      <c r="N374" s="1" t="s">
        <v>959</v>
      </c>
      <c r="O374" s="1">
        <v>30.0</v>
      </c>
    </row>
    <row r="375">
      <c r="C375" s="18"/>
      <c r="D375" s="16"/>
      <c r="E375" s="11" t="s">
        <v>960</v>
      </c>
      <c r="H375" s="18"/>
      <c r="N375" s="1" t="s">
        <v>961</v>
      </c>
      <c r="O375" s="1">
        <v>30.0</v>
      </c>
    </row>
    <row r="376">
      <c r="C376" s="18"/>
      <c r="D376" s="16" t="s">
        <v>962</v>
      </c>
      <c r="E376" s="11" t="s">
        <v>962</v>
      </c>
      <c r="F376" s="1" t="s">
        <v>906</v>
      </c>
      <c r="H376" s="18"/>
      <c r="N376" s="1" t="s">
        <v>963</v>
      </c>
      <c r="O376" s="1">
        <v>30.0</v>
      </c>
    </row>
    <row r="377">
      <c r="C377" s="18"/>
      <c r="D377" s="16"/>
      <c r="E377" s="11" t="s">
        <v>964</v>
      </c>
      <c r="H377" s="18"/>
      <c r="N377" s="1" t="s">
        <v>965</v>
      </c>
      <c r="O377" s="1">
        <v>30.0</v>
      </c>
    </row>
    <row r="378">
      <c r="C378" s="18"/>
      <c r="D378" s="16"/>
      <c r="E378" s="11" t="s">
        <v>966</v>
      </c>
      <c r="H378" s="18"/>
      <c r="N378" s="1" t="s">
        <v>967</v>
      </c>
      <c r="O378" s="1">
        <v>30.0</v>
      </c>
    </row>
    <row r="379">
      <c r="C379" s="18"/>
      <c r="D379" s="16"/>
      <c r="E379" s="11" t="s">
        <v>968</v>
      </c>
      <c r="H379" s="18"/>
      <c r="N379" s="1" t="s">
        <v>969</v>
      </c>
      <c r="O379" s="1">
        <v>30.0</v>
      </c>
    </row>
    <row r="380">
      <c r="C380" s="18"/>
      <c r="D380" s="16" t="s">
        <v>970</v>
      </c>
      <c r="E380" s="11" t="s">
        <v>970</v>
      </c>
      <c r="H380" s="18"/>
      <c r="N380" s="1" t="s">
        <v>971</v>
      </c>
      <c r="O380" s="1">
        <v>30.0</v>
      </c>
    </row>
    <row r="381">
      <c r="C381" s="18"/>
      <c r="D381" s="16"/>
      <c r="E381" s="11" t="s">
        <v>972</v>
      </c>
      <c r="H381" s="18"/>
      <c r="N381" s="1" t="s">
        <v>973</v>
      </c>
      <c r="O381" s="1">
        <v>30.0</v>
      </c>
    </row>
    <row r="382">
      <c r="C382" s="18"/>
      <c r="D382" s="16" t="s">
        <v>974</v>
      </c>
      <c r="E382" s="11" t="s">
        <v>974</v>
      </c>
      <c r="H382" s="18"/>
      <c r="N382" s="1" t="s">
        <v>975</v>
      </c>
      <c r="O382" s="1">
        <v>30.0</v>
      </c>
    </row>
    <row r="383">
      <c r="C383" s="18"/>
      <c r="D383" s="16"/>
      <c r="E383" s="11" t="s">
        <v>976</v>
      </c>
      <c r="H383" s="18"/>
      <c r="N383" s="1" t="s">
        <v>977</v>
      </c>
      <c r="O383" s="1">
        <v>30.0</v>
      </c>
    </row>
    <row r="384">
      <c r="C384" s="18"/>
      <c r="D384" s="16"/>
      <c r="E384" s="11" t="s">
        <v>978</v>
      </c>
      <c r="H384" s="18"/>
      <c r="N384" s="1" t="s">
        <v>979</v>
      </c>
      <c r="O384" s="1">
        <v>30.0</v>
      </c>
    </row>
    <row r="385">
      <c r="C385" s="18"/>
      <c r="D385" s="16" t="s">
        <v>980</v>
      </c>
      <c r="E385" s="11" t="s">
        <v>980</v>
      </c>
      <c r="H385" s="18"/>
      <c r="N385" s="1" t="s">
        <v>981</v>
      </c>
      <c r="O385" s="1">
        <v>30.0</v>
      </c>
    </row>
    <row r="386">
      <c r="C386" s="18"/>
      <c r="D386" s="16" t="s">
        <v>982</v>
      </c>
      <c r="E386" s="11" t="s">
        <v>982</v>
      </c>
      <c r="H386" s="18"/>
      <c r="N386" s="1" t="s">
        <v>983</v>
      </c>
      <c r="O386" s="1">
        <v>20.0</v>
      </c>
    </row>
    <row r="387">
      <c r="C387" s="18"/>
      <c r="D387" s="16"/>
      <c r="E387" s="11" t="s">
        <v>984</v>
      </c>
      <c r="H387" s="18"/>
      <c r="N387" s="1" t="s">
        <v>985</v>
      </c>
      <c r="O387" s="1">
        <v>20.0</v>
      </c>
    </row>
    <row r="388">
      <c r="C388" s="18"/>
      <c r="D388" s="16"/>
      <c r="E388" s="11" t="s">
        <v>986</v>
      </c>
      <c r="H388" s="18"/>
      <c r="N388" s="1" t="s">
        <v>987</v>
      </c>
      <c r="O388" s="1">
        <v>20.0</v>
      </c>
    </row>
    <row r="389">
      <c r="C389" s="18"/>
      <c r="D389" s="16"/>
      <c r="E389" s="11" t="s">
        <v>988</v>
      </c>
      <c r="H389" s="18"/>
      <c r="N389" s="1" t="s">
        <v>989</v>
      </c>
      <c r="O389" s="1">
        <v>20.0</v>
      </c>
    </row>
    <row r="390">
      <c r="C390" s="18"/>
      <c r="D390" s="21" t="s">
        <v>990</v>
      </c>
      <c r="E390" s="11" t="s">
        <v>991</v>
      </c>
      <c r="F390" s="1" t="s">
        <v>906</v>
      </c>
      <c r="H390" s="18"/>
      <c r="N390" s="1" t="s">
        <v>992</v>
      </c>
      <c r="O390" s="1">
        <v>60.0</v>
      </c>
    </row>
    <row r="391">
      <c r="C391" s="18"/>
      <c r="D391" s="46"/>
      <c r="E391" s="11" t="s">
        <v>993</v>
      </c>
      <c r="H391" s="18"/>
      <c r="N391" s="1" t="s">
        <v>994</v>
      </c>
      <c r="O391" s="1">
        <v>60.0</v>
      </c>
    </row>
    <row r="392">
      <c r="C392" s="18"/>
      <c r="D392" s="47" t="s">
        <v>995</v>
      </c>
      <c r="E392" s="11" t="s">
        <v>996</v>
      </c>
      <c r="F392" s="1" t="s">
        <v>906</v>
      </c>
      <c r="H392" s="18"/>
      <c r="N392" s="1" t="s">
        <v>997</v>
      </c>
      <c r="O392" s="1">
        <v>60.0</v>
      </c>
    </row>
    <row r="393">
      <c r="C393" s="18"/>
      <c r="D393" s="47" t="s">
        <v>998</v>
      </c>
      <c r="E393" s="11" t="s">
        <v>999</v>
      </c>
      <c r="F393" s="1" t="s">
        <v>906</v>
      </c>
      <c r="H393" s="18"/>
      <c r="N393" s="1" t="s">
        <v>1000</v>
      </c>
      <c r="O393" s="1">
        <v>60.0</v>
      </c>
    </row>
    <row r="394">
      <c r="C394" s="18"/>
      <c r="D394" s="48" t="s">
        <v>1001</v>
      </c>
      <c r="E394" s="11" t="s">
        <v>1001</v>
      </c>
      <c r="H394" s="18"/>
      <c r="N394" s="1" t="s">
        <v>1002</v>
      </c>
      <c r="O394" s="1">
        <v>60.0</v>
      </c>
    </row>
    <row r="395">
      <c r="C395" s="18"/>
      <c r="D395" s="49" t="s">
        <v>1003</v>
      </c>
      <c r="E395" s="11" t="s">
        <v>1004</v>
      </c>
      <c r="F395" s="1" t="s">
        <v>906</v>
      </c>
      <c r="H395" s="18"/>
      <c r="N395" s="1" t="s">
        <v>1005</v>
      </c>
      <c r="O395" s="1">
        <v>60.0</v>
      </c>
    </row>
    <row r="396">
      <c r="C396" s="18"/>
      <c r="D396" s="21" t="s">
        <v>1006</v>
      </c>
      <c r="E396" s="11" t="s">
        <v>1007</v>
      </c>
      <c r="F396" s="1" t="s">
        <v>906</v>
      </c>
      <c r="H396" s="18"/>
      <c r="N396" s="1" t="s">
        <v>1008</v>
      </c>
      <c r="O396" s="1">
        <v>60.0</v>
      </c>
    </row>
    <row r="397">
      <c r="C397" s="18"/>
      <c r="D397" s="21" t="s">
        <v>1009</v>
      </c>
      <c r="E397" s="11" t="s">
        <v>1010</v>
      </c>
      <c r="F397" s="1" t="s">
        <v>906</v>
      </c>
      <c r="H397" s="18"/>
      <c r="N397" s="1" t="s">
        <v>1011</v>
      </c>
      <c r="O397" s="1">
        <v>60.0</v>
      </c>
    </row>
    <row r="398">
      <c r="C398" s="18"/>
      <c r="D398" s="21" t="s">
        <v>1012</v>
      </c>
      <c r="E398" s="11" t="s">
        <v>1013</v>
      </c>
      <c r="F398" s="1" t="s">
        <v>906</v>
      </c>
      <c r="H398" s="18"/>
      <c r="N398" s="1" t="s">
        <v>1014</v>
      </c>
      <c r="O398" s="1">
        <v>60.0</v>
      </c>
    </row>
    <row r="399">
      <c r="C399" s="18"/>
      <c r="D399" s="21" t="s">
        <v>1015</v>
      </c>
      <c r="E399" s="11" t="s">
        <v>1016</v>
      </c>
      <c r="F399" s="1" t="s">
        <v>906</v>
      </c>
      <c r="H399" s="18"/>
      <c r="N399" s="1" t="s">
        <v>1017</v>
      </c>
      <c r="O399" s="1">
        <v>60.0</v>
      </c>
    </row>
    <row r="400">
      <c r="C400" s="18"/>
      <c r="D400" s="46" t="s">
        <v>1018</v>
      </c>
      <c r="E400" s="11" t="s">
        <v>1019</v>
      </c>
      <c r="F400" s="1" t="s">
        <v>906</v>
      </c>
      <c r="H400" s="18"/>
      <c r="N400" s="1" t="s">
        <v>1020</v>
      </c>
      <c r="O400" s="1">
        <v>60.0</v>
      </c>
    </row>
    <row r="401">
      <c r="C401" s="18"/>
      <c r="D401" s="21" t="s">
        <v>70</v>
      </c>
      <c r="E401" s="11" t="s">
        <v>908</v>
      </c>
      <c r="H401" s="18"/>
      <c r="N401" s="1" t="s">
        <v>1021</v>
      </c>
      <c r="O401" s="1">
        <v>60.0</v>
      </c>
    </row>
    <row r="402">
      <c r="C402" s="18"/>
      <c r="D402" s="21" t="s">
        <v>1022</v>
      </c>
      <c r="E402" s="11" t="s">
        <v>1023</v>
      </c>
      <c r="H402" s="18"/>
      <c r="N402" s="1" t="s">
        <v>1024</v>
      </c>
      <c r="O402" s="1">
        <v>60.0</v>
      </c>
    </row>
    <row r="403">
      <c r="C403" s="18"/>
      <c r="D403" s="16" t="s">
        <v>1025</v>
      </c>
      <c r="E403" s="11" t="s">
        <v>1025</v>
      </c>
      <c r="F403" s="1" t="s">
        <v>920</v>
      </c>
      <c r="H403" s="18"/>
      <c r="N403" s="1" t="s">
        <v>1026</v>
      </c>
      <c r="O403" s="1">
        <v>40.0</v>
      </c>
    </row>
    <row r="404">
      <c r="C404" s="18"/>
      <c r="D404" s="16"/>
      <c r="E404" s="11" t="s">
        <v>1027</v>
      </c>
      <c r="H404" s="18"/>
      <c r="N404" s="1" t="s">
        <v>1028</v>
      </c>
      <c r="O404" s="1">
        <v>40.0</v>
      </c>
    </row>
    <row r="405">
      <c r="C405" s="18"/>
      <c r="D405" s="16" t="s">
        <v>1029</v>
      </c>
      <c r="E405" s="11" t="s">
        <v>1029</v>
      </c>
      <c r="H405" s="18"/>
      <c r="N405" s="1" t="s">
        <v>1030</v>
      </c>
      <c r="O405" s="1">
        <v>40.0</v>
      </c>
    </row>
    <row r="406">
      <c r="C406" s="18"/>
      <c r="D406" s="16" t="s">
        <v>1031</v>
      </c>
      <c r="E406" s="11" t="s">
        <v>1031</v>
      </c>
      <c r="H406" s="18"/>
      <c r="N406" s="1" t="s">
        <v>1032</v>
      </c>
      <c r="O406" s="1">
        <v>40.0</v>
      </c>
    </row>
    <row r="407">
      <c r="C407" s="18"/>
      <c r="D407" s="16" t="s">
        <v>1033</v>
      </c>
      <c r="E407" s="11" t="s">
        <v>1033</v>
      </c>
      <c r="H407" s="18"/>
      <c r="N407" s="1" t="s">
        <v>1034</v>
      </c>
      <c r="O407" s="1">
        <v>40.0</v>
      </c>
    </row>
    <row r="408">
      <c r="C408" s="18"/>
      <c r="D408" s="16"/>
      <c r="E408" s="11" t="s">
        <v>1035</v>
      </c>
      <c r="H408" s="18"/>
      <c r="N408" s="1" t="s">
        <v>1036</v>
      </c>
      <c r="O408" s="1">
        <v>40.0</v>
      </c>
    </row>
    <row r="409">
      <c r="C409" s="18"/>
      <c r="D409" s="16"/>
      <c r="E409" s="11" t="s">
        <v>1037</v>
      </c>
      <c r="H409" s="18"/>
      <c r="N409" s="1" t="s">
        <v>1038</v>
      </c>
      <c r="O409" s="1">
        <v>40.0</v>
      </c>
    </row>
    <row r="410">
      <c r="C410" s="18"/>
      <c r="D410" s="16"/>
      <c r="E410" s="11" t="s">
        <v>1039</v>
      </c>
      <c r="H410" s="18"/>
      <c r="N410" s="1" t="s">
        <v>1040</v>
      </c>
      <c r="O410" s="1">
        <v>40.0</v>
      </c>
    </row>
    <row r="411">
      <c r="C411" s="18"/>
      <c r="D411" s="16"/>
      <c r="E411" s="11" t="s">
        <v>1041</v>
      </c>
      <c r="H411" s="18"/>
      <c r="N411" s="1" t="s">
        <v>1042</v>
      </c>
      <c r="O411" s="1">
        <v>40.0</v>
      </c>
    </row>
    <row r="412">
      <c r="C412" s="18"/>
      <c r="D412" s="16"/>
      <c r="E412" s="11" t="s">
        <v>1043</v>
      </c>
      <c r="H412" s="18"/>
      <c r="N412" s="1" t="s">
        <v>1044</v>
      </c>
      <c r="O412" s="1">
        <v>40.0</v>
      </c>
    </row>
    <row r="413">
      <c r="C413" s="18"/>
      <c r="D413" s="16" t="s">
        <v>1045</v>
      </c>
      <c r="E413" s="11" t="s">
        <v>1045</v>
      </c>
      <c r="H413" s="18"/>
      <c r="N413" s="1" t="s">
        <v>1046</v>
      </c>
      <c r="O413" s="1">
        <v>10.0</v>
      </c>
    </row>
    <row r="414">
      <c r="C414" s="18"/>
      <c r="D414" s="29" t="s">
        <v>1047</v>
      </c>
      <c r="E414" s="11" t="s">
        <v>1048</v>
      </c>
      <c r="H414" s="18"/>
      <c r="N414" s="1" t="s">
        <v>1049</v>
      </c>
      <c r="O414" s="1">
        <v>60.0</v>
      </c>
    </row>
    <row r="415">
      <c r="C415" s="18"/>
      <c r="D415" s="16" t="s">
        <v>1050</v>
      </c>
      <c r="E415" s="11" t="s">
        <v>1050</v>
      </c>
      <c r="F415" s="1" t="s">
        <v>906</v>
      </c>
      <c r="H415" s="18"/>
      <c r="N415" s="1" t="s">
        <v>1051</v>
      </c>
      <c r="O415" s="1">
        <v>40.0</v>
      </c>
    </row>
    <row r="416">
      <c r="C416" s="18"/>
      <c r="D416" s="16"/>
      <c r="E416" s="11" t="s">
        <v>1052</v>
      </c>
      <c r="H416" s="18"/>
      <c r="N416" s="1" t="s">
        <v>1053</v>
      </c>
      <c r="O416" s="1">
        <v>40.0</v>
      </c>
    </row>
    <row r="417">
      <c r="C417" s="18"/>
      <c r="D417" s="16" t="s">
        <v>1054</v>
      </c>
      <c r="E417" s="11" t="s">
        <v>1054</v>
      </c>
      <c r="H417" s="18"/>
      <c r="N417" s="1" t="s">
        <v>1055</v>
      </c>
      <c r="O417" s="1">
        <v>40.0</v>
      </c>
    </row>
    <row r="418">
      <c r="C418" s="18"/>
      <c r="D418" s="16"/>
      <c r="E418" s="11" t="s">
        <v>1056</v>
      </c>
      <c r="H418" s="18"/>
      <c r="N418" s="1" t="s">
        <v>1057</v>
      </c>
      <c r="O418" s="1">
        <v>40.0</v>
      </c>
    </row>
    <row r="419">
      <c r="C419" s="18"/>
      <c r="D419" s="16" t="s">
        <v>1058</v>
      </c>
      <c r="E419" s="11" t="s">
        <v>1058</v>
      </c>
      <c r="H419" s="18"/>
      <c r="N419" s="1" t="s">
        <v>1059</v>
      </c>
      <c r="O419" s="1">
        <v>40.0</v>
      </c>
    </row>
    <row r="420">
      <c r="C420" s="18"/>
      <c r="D420" s="16"/>
      <c r="E420" s="11" t="s">
        <v>1060</v>
      </c>
      <c r="H420" s="18"/>
      <c r="N420" s="1" t="s">
        <v>1061</v>
      </c>
      <c r="O420" s="1">
        <v>40.0</v>
      </c>
    </row>
    <row r="421">
      <c r="C421" s="18"/>
      <c r="D421" s="16" t="s">
        <v>1062</v>
      </c>
      <c r="E421" s="11" t="s">
        <v>1062</v>
      </c>
      <c r="H421" s="18"/>
      <c r="N421" s="1" t="s">
        <v>1063</v>
      </c>
      <c r="O421" s="1">
        <v>40.0</v>
      </c>
    </row>
    <row r="422">
      <c r="C422" s="18"/>
      <c r="D422" s="16" t="s">
        <v>1064</v>
      </c>
      <c r="E422" s="11" t="s">
        <v>1064</v>
      </c>
      <c r="H422" s="18"/>
      <c r="N422" s="1" t="s">
        <v>1065</v>
      </c>
      <c r="O422" s="1">
        <v>40.0</v>
      </c>
    </row>
    <row r="423">
      <c r="C423" s="18"/>
      <c r="D423" s="16" t="s">
        <v>1066</v>
      </c>
      <c r="E423" s="11" t="s">
        <v>1066</v>
      </c>
      <c r="H423" s="18"/>
      <c r="N423" s="1" t="s">
        <v>1067</v>
      </c>
      <c r="O423" s="1">
        <v>40.0</v>
      </c>
    </row>
    <row r="424">
      <c r="C424" s="18"/>
      <c r="D424" s="16" t="s">
        <v>1068</v>
      </c>
      <c r="E424" s="11" t="s">
        <v>1068</v>
      </c>
      <c r="H424" s="18"/>
      <c r="N424" s="1" t="s">
        <v>1069</v>
      </c>
      <c r="O424" s="1">
        <v>40.0</v>
      </c>
    </row>
    <row r="425">
      <c r="C425" s="18"/>
      <c r="D425" s="21" t="s">
        <v>1070</v>
      </c>
      <c r="E425" s="11" t="s">
        <v>1071</v>
      </c>
      <c r="H425" s="18"/>
      <c r="N425" s="1" t="s">
        <v>1072</v>
      </c>
      <c r="O425" s="1">
        <v>30.0</v>
      </c>
    </row>
    <row r="426">
      <c r="C426" s="18"/>
      <c r="E426" s="11" t="s">
        <v>1073</v>
      </c>
      <c r="H426" s="18"/>
      <c r="N426" s="1" t="s">
        <v>1074</v>
      </c>
      <c r="O426" s="1">
        <v>50.0</v>
      </c>
    </row>
    <row r="427">
      <c r="C427" s="18"/>
      <c r="D427" s="1" t="s">
        <v>1075</v>
      </c>
      <c r="E427" s="11" t="s">
        <v>1075</v>
      </c>
      <c r="F427" s="1" t="s">
        <v>906</v>
      </c>
      <c r="H427" s="18"/>
      <c r="N427" s="1" t="s">
        <v>1076</v>
      </c>
      <c r="O427" s="1">
        <v>50.0</v>
      </c>
    </row>
    <row r="428">
      <c r="C428" s="18"/>
      <c r="D428" s="16"/>
      <c r="E428" s="11" t="s">
        <v>1077</v>
      </c>
      <c r="H428" s="18"/>
      <c r="N428" s="1" t="s">
        <v>1078</v>
      </c>
      <c r="O428" s="1">
        <v>50.0</v>
      </c>
    </row>
    <row r="429">
      <c r="C429" s="18"/>
      <c r="D429" s="21" t="s">
        <v>1079</v>
      </c>
      <c r="E429" s="11" t="s">
        <v>1080</v>
      </c>
      <c r="H429" s="18"/>
      <c r="N429" s="1" t="s">
        <v>1081</v>
      </c>
      <c r="O429" s="1">
        <v>50.0</v>
      </c>
    </row>
    <row r="430">
      <c r="C430" s="18"/>
      <c r="D430" s="21" t="s">
        <v>1082</v>
      </c>
      <c r="E430" s="11" t="s">
        <v>1083</v>
      </c>
      <c r="H430" s="18"/>
      <c r="N430" s="1" t="s">
        <v>1084</v>
      </c>
      <c r="O430" s="1">
        <v>50.0</v>
      </c>
    </row>
    <row r="431">
      <c r="C431" s="18"/>
      <c r="D431" s="16" t="s">
        <v>1073</v>
      </c>
      <c r="E431" s="11" t="s">
        <v>1085</v>
      </c>
      <c r="F431" s="1" t="s">
        <v>906</v>
      </c>
      <c r="H431" s="18"/>
      <c r="N431" s="1" t="s">
        <v>1086</v>
      </c>
      <c r="O431" s="1">
        <v>50.0</v>
      </c>
    </row>
    <row r="432">
      <c r="C432" s="18"/>
      <c r="D432" s="16" t="s">
        <v>1087</v>
      </c>
      <c r="E432" s="11" t="s">
        <v>1087</v>
      </c>
      <c r="F432" s="1" t="s">
        <v>906</v>
      </c>
      <c r="H432" s="18"/>
      <c r="N432" s="1" t="s">
        <v>1088</v>
      </c>
      <c r="O432" s="1">
        <v>50.0</v>
      </c>
    </row>
    <row r="433">
      <c r="C433" s="18"/>
      <c r="D433" s="16" t="s">
        <v>1089</v>
      </c>
      <c r="E433" s="11" t="s">
        <v>1089</v>
      </c>
      <c r="F433" s="1" t="s">
        <v>906</v>
      </c>
      <c r="H433" s="18"/>
      <c r="N433" s="1" t="s">
        <v>1090</v>
      </c>
      <c r="O433" s="1">
        <v>50.0</v>
      </c>
    </row>
    <row r="434">
      <c r="C434" s="18"/>
      <c r="D434" s="21" t="s">
        <v>1091</v>
      </c>
      <c r="E434" s="11" t="s">
        <v>1092</v>
      </c>
      <c r="H434" s="18"/>
      <c r="N434" s="1" t="s">
        <v>1093</v>
      </c>
      <c r="O434" s="1">
        <v>50.0</v>
      </c>
    </row>
    <row r="435">
      <c r="C435" s="18"/>
      <c r="D435" s="16" t="s">
        <v>1094</v>
      </c>
      <c r="E435" s="11" t="s">
        <v>1094</v>
      </c>
      <c r="F435" s="1" t="s">
        <v>906</v>
      </c>
      <c r="H435" s="18"/>
      <c r="N435" s="1" t="s">
        <v>1095</v>
      </c>
      <c r="O435" s="1">
        <v>30.0</v>
      </c>
    </row>
    <row r="436">
      <c r="C436" s="18"/>
      <c r="D436" s="16"/>
      <c r="E436" s="11" t="s">
        <v>1096</v>
      </c>
      <c r="H436" s="18"/>
      <c r="N436" s="1" t="s">
        <v>1097</v>
      </c>
      <c r="O436" s="1">
        <v>30.0</v>
      </c>
    </row>
    <row r="437">
      <c r="C437" s="18"/>
      <c r="D437" s="16" t="s">
        <v>1098</v>
      </c>
      <c r="E437" s="11" t="s">
        <v>1098</v>
      </c>
      <c r="H437" s="18"/>
      <c r="N437" s="1" t="s">
        <v>1099</v>
      </c>
      <c r="O437" s="1">
        <v>30.0</v>
      </c>
    </row>
    <row r="438">
      <c r="C438" s="18"/>
      <c r="D438" s="16" t="s">
        <v>1100</v>
      </c>
      <c r="E438" s="11" t="s">
        <v>1100</v>
      </c>
      <c r="H438" s="18"/>
      <c r="N438" s="1" t="s">
        <v>1101</v>
      </c>
      <c r="O438" s="1">
        <v>30.0</v>
      </c>
    </row>
    <row r="439">
      <c r="C439" s="18"/>
      <c r="D439" s="16"/>
      <c r="E439" s="11" t="s">
        <v>1102</v>
      </c>
      <c r="H439" s="18"/>
      <c r="N439" s="1" t="s">
        <v>1103</v>
      </c>
      <c r="O439" s="1">
        <v>30.0</v>
      </c>
    </row>
    <row r="440">
      <c r="C440" s="18"/>
      <c r="D440" s="16"/>
      <c r="E440" s="11" t="s">
        <v>1104</v>
      </c>
      <c r="H440" s="18"/>
      <c r="N440" s="1" t="s">
        <v>1105</v>
      </c>
      <c r="O440" s="1">
        <v>30.0</v>
      </c>
    </row>
    <row r="441">
      <c r="C441" s="18"/>
      <c r="D441" s="16"/>
      <c r="E441" s="11" t="s">
        <v>1106</v>
      </c>
      <c r="H441" s="18"/>
      <c r="N441" s="1" t="s">
        <v>1107</v>
      </c>
      <c r="O441" s="1">
        <v>30.0</v>
      </c>
    </row>
    <row r="442">
      <c r="C442" s="18"/>
      <c r="D442" s="16"/>
      <c r="E442" s="11" t="s">
        <v>1108</v>
      </c>
      <c r="H442" s="18"/>
      <c r="N442" s="1" t="s">
        <v>1109</v>
      </c>
      <c r="O442" s="1">
        <v>30.0</v>
      </c>
    </row>
    <row r="443">
      <c r="C443" s="18"/>
      <c r="D443" s="16" t="s">
        <v>1110</v>
      </c>
      <c r="E443" s="11" t="s">
        <v>1110</v>
      </c>
      <c r="H443" s="18"/>
      <c r="N443" s="1" t="s">
        <v>1111</v>
      </c>
      <c r="O443" s="1">
        <v>30.0</v>
      </c>
    </row>
    <row r="444">
      <c r="C444" s="18"/>
      <c r="D444" s="16"/>
      <c r="E444" s="11" t="s">
        <v>1112</v>
      </c>
      <c r="H444" s="18"/>
      <c r="N444" s="1" t="s">
        <v>1113</v>
      </c>
      <c r="O444" s="1">
        <v>30.0</v>
      </c>
    </row>
    <row r="445">
      <c r="C445" s="18"/>
      <c r="D445" s="16" t="s">
        <v>1114</v>
      </c>
      <c r="E445" s="11" t="s">
        <v>1114</v>
      </c>
      <c r="H445" s="18"/>
      <c r="N445" s="1" t="s">
        <v>1115</v>
      </c>
      <c r="O445" s="1">
        <v>20.0</v>
      </c>
    </row>
    <row r="446">
      <c r="C446" s="18"/>
      <c r="D446" s="16"/>
      <c r="E446" s="11" t="s">
        <v>1116</v>
      </c>
      <c r="H446" s="18"/>
      <c r="N446" s="1" t="s">
        <v>1117</v>
      </c>
      <c r="O446" s="1">
        <v>20.0</v>
      </c>
    </row>
    <row r="447">
      <c r="C447" s="18"/>
      <c r="D447" s="16"/>
      <c r="E447" s="11" t="s">
        <v>1118</v>
      </c>
      <c r="H447" s="18"/>
      <c r="N447" s="1" t="s">
        <v>1119</v>
      </c>
      <c r="O447" s="1">
        <v>20.0</v>
      </c>
    </row>
    <row r="448">
      <c r="C448" s="18"/>
      <c r="D448" s="16"/>
      <c r="E448" s="11" t="s">
        <v>1120</v>
      </c>
      <c r="H448" s="18"/>
      <c r="N448" s="1" t="s">
        <v>1121</v>
      </c>
      <c r="O448" s="1">
        <v>20.0</v>
      </c>
    </row>
    <row r="449">
      <c r="C449" s="18"/>
      <c r="D449" s="16" t="s">
        <v>1122</v>
      </c>
      <c r="E449" s="11" t="s">
        <v>1122</v>
      </c>
      <c r="H449" s="18"/>
      <c r="N449" s="1" t="s">
        <v>1123</v>
      </c>
      <c r="O449" s="1">
        <v>20.0</v>
      </c>
    </row>
    <row r="450">
      <c r="C450" s="18"/>
      <c r="D450" s="16"/>
      <c r="E450" s="11" t="s">
        <v>1124</v>
      </c>
      <c r="H450" s="18"/>
      <c r="N450" s="1" t="s">
        <v>1125</v>
      </c>
      <c r="O450" s="1">
        <v>20.0</v>
      </c>
    </row>
    <row r="451">
      <c r="C451" s="18"/>
      <c r="D451" s="16"/>
      <c r="E451" s="11" t="s">
        <v>1126</v>
      </c>
      <c r="H451" s="18"/>
      <c r="N451" s="1" t="s">
        <v>1127</v>
      </c>
      <c r="O451" s="1">
        <v>20.0</v>
      </c>
    </row>
    <row r="452">
      <c r="C452" s="18"/>
      <c r="D452" s="16"/>
      <c r="E452" s="11" t="s">
        <v>1128</v>
      </c>
      <c r="H452" s="18"/>
      <c r="N452" s="1" t="s">
        <v>1129</v>
      </c>
      <c r="O452" s="1">
        <v>20.0</v>
      </c>
    </row>
    <row r="453">
      <c r="C453" s="18"/>
      <c r="D453" s="29" t="s">
        <v>1130</v>
      </c>
      <c r="E453" s="11" t="s">
        <v>1131</v>
      </c>
      <c r="H453" s="18"/>
      <c r="N453" s="1" t="s">
        <v>1132</v>
      </c>
      <c r="O453" s="1">
        <v>60.0</v>
      </c>
    </row>
    <row r="454">
      <c r="C454" s="18"/>
      <c r="D454" s="29" t="s">
        <v>1130</v>
      </c>
      <c r="E454" s="11" t="s">
        <v>1133</v>
      </c>
      <c r="H454" s="18"/>
      <c r="N454" s="1" t="s">
        <v>1134</v>
      </c>
      <c r="O454" s="1">
        <v>30.0</v>
      </c>
    </row>
    <row r="455">
      <c r="C455" s="18"/>
      <c r="D455" s="16" t="s">
        <v>1135</v>
      </c>
      <c r="E455" s="11" t="s">
        <v>1135</v>
      </c>
      <c r="H455" s="18"/>
      <c r="N455" s="1" t="s">
        <v>1136</v>
      </c>
      <c r="O455" s="1">
        <v>30.0</v>
      </c>
    </row>
    <row r="456">
      <c r="C456" s="18"/>
      <c r="D456" s="16" t="s">
        <v>1137</v>
      </c>
      <c r="E456" s="11" t="s">
        <v>1137</v>
      </c>
      <c r="H456" s="18"/>
      <c r="N456" s="1" t="s">
        <v>1138</v>
      </c>
      <c r="O456" s="1">
        <v>30.0</v>
      </c>
    </row>
    <row r="457">
      <c r="C457" s="18"/>
      <c r="D457" s="16" t="s">
        <v>1139</v>
      </c>
      <c r="E457" s="11" t="s">
        <v>1139</v>
      </c>
      <c r="H457" s="18"/>
      <c r="N457" s="1" t="s">
        <v>1140</v>
      </c>
      <c r="O457" s="1">
        <v>30.0</v>
      </c>
    </row>
    <row r="458">
      <c r="C458" s="18"/>
      <c r="D458" s="16" t="s">
        <v>1141</v>
      </c>
      <c r="E458" s="11" t="s">
        <v>1141</v>
      </c>
      <c r="H458" s="18"/>
      <c r="N458" s="1" t="s">
        <v>1142</v>
      </c>
      <c r="O458" s="1">
        <v>20.0</v>
      </c>
    </row>
    <row r="459">
      <c r="C459" s="18"/>
      <c r="D459" s="16" t="s">
        <v>1143</v>
      </c>
      <c r="E459" s="11" t="s">
        <v>1143</v>
      </c>
      <c r="H459" s="18"/>
      <c r="N459" s="1" t="s">
        <v>1144</v>
      </c>
      <c r="O459" s="1">
        <v>20.0</v>
      </c>
    </row>
    <row r="460">
      <c r="C460" s="18"/>
      <c r="D460" s="16"/>
      <c r="E460" s="11" t="s">
        <v>1145</v>
      </c>
      <c r="H460" s="18"/>
      <c r="N460" s="1" t="s">
        <v>1146</v>
      </c>
      <c r="O460" s="1">
        <v>20.0</v>
      </c>
    </row>
    <row r="461">
      <c r="C461" s="18"/>
      <c r="D461" s="16"/>
      <c r="E461" s="11" t="s">
        <v>1147</v>
      </c>
      <c r="H461" s="18"/>
      <c r="N461" s="1" t="s">
        <v>1148</v>
      </c>
      <c r="O461" s="1">
        <v>20.0</v>
      </c>
    </row>
    <row r="462">
      <c r="C462" s="18"/>
      <c r="D462" s="16"/>
      <c r="E462" s="11" t="s">
        <v>1149</v>
      </c>
      <c r="H462" s="18"/>
      <c r="N462" s="1" t="s">
        <v>1150</v>
      </c>
      <c r="O462" s="1">
        <v>20.0</v>
      </c>
    </row>
    <row r="463">
      <c r="C463" s="18"/>
      <c r="D463" s="16" t="s">
        <v>1151</v>
      </c>
      <c r="E463" s="11" t="s">
        <v>1151</v>
      </c>
      <c r="H463" s="18"/>
      <c r="N463" s="1" t="s">
        <v>1152</v>
      </c>
      <c r="O463" s="1">
        <v>10.0</v>
      </c>
    </row>
    <row r="464">
      <c r="C464" s="18"/>
      <c r="D464" s="16" t="s">
        <v>1153</v>
      </c>
      <c r="E464" s="11" t="s">
        <v>1153</v>
      </c>
      <c r="H464" s="18"/>
      <c r="N464" s="1" t="s">
        <v>1154</v>
      </c>
      <c r="O464" s="1">
        <v>20.0</v>
      </c>
    </row>
    <row r="465">
      <c r="C465" s="18"/>
      <c r="D465" s="16" t="s">
        <v>1155</v>
      </c>
      <c r="E465" s="11" t="s">
        <v>1155</v>
      </c>
      <c r="H465" s="18"/>
      <c r="N465" s="1" t="s">
        <v>1156</v>
      </c>
      <c r="O465" s="1">
        <v>20.0</v>
      </c>
    </row>
    <row r="466">
      <c r="C466" s="18"/>
      <c r="D466" s="16" t="s">
        <v>1157</v>
      </c>
      <c r="E466" s="11" t="s">
        <v>1157</v>
      </c>
      <c r="H466" s="18"/>
      <c r="N466" s="1" t="s">
        <v>1158</v>
      </c>
      <c r="O466" s="1">
        <v>20.0</v>
      </c>
    </row>
    <row r="467">
      <c r="C467" s="18"/>
      <c r="D467" s="16"/>
      <c r="E467" s="11" t="s">
        <v>1159</v>
      </c>
      <c r="H467" s="18"/>
      <c r="N467" s="1" t="s">
        <v>1160</v>
      </c>
      <c r="O467" s="1">
        <v>20.0</v>
      </c>
    </row>
    <row r="468">
      <c r="C468" s="18"/>
      <c r="D468" s="16"/>
      <c r="E468" s="11" t="s">
        <v>1161</v>
      </c>
      <c r="H468" s="18"/>
      <c r="N468" s="1" t="s">
        <v>1162</v>
      </c>
      <c r="O468" s="1">
        <v>20.0</v>
      </c>
    </row>
    <row r="469">
      <c r="C469" s="18"/>
      <c r="D469" s="16"/>
      <c r="E469" s="11" t="s">
        <v>1163</v>
      </c>
      <c r="H469" s="18"/>
      <c r="N469" s="1" t="s">
        <v>1164</v>
      </c>
      <c r="O469" s="1">
        <v>20.0</v>
      </c>
    </row>
    <row r="470">
      <c r="C470" s="18"/>
      <c r="D470" s="16" t="s">
        <v>1165</v>
      </c>
      <c r="E470" s="11" t="s">
        <v>1165</v>
      </c>
      <c r="F470" s="1" t="s">
        <v>906</v>
      </c>
      <c r="H470" s="18"/>
      <c r="N470" s="1" t="s">
        <v>1166</v>
      </c>
      <c r="O470" s="1">
        <v>30.0</v>
      </c>
    </row>
    <row r="471">
      <c r="C471" s="18"/>
      <c r="D471" s="16" t="s">
        <v>1167</v>
      </c>
      <c r="E471" s="11" t="s">
        <v>1167</v>
      </c>
      <c r="H471" s="18"/>
      <c r="N471" s="1" t="s">
        <v>1168</v>
      </c>
      <c r="O471" s="1">
        <v>30.0</v>
      </c>
    </row>
    <row r="472">
      <c r="C472" s="18"/>
      <c r="D472" s="16"/>
      <c r="E472" s="11" t="s">
        <v>1169</v>
      </c>
      <c r="H472" s="18"/>
      <c r="N472" s="1" t="s">
        <v>1170</v>
      </c>
      <c r="O472" s="1">
        <v>30.0</v>
      </c>
    </row>
    <row r="473">
      <c r="C473" s="18"/>
      <c r="D473" s="16"/>
      <c r="E473" s="11" t="s">
        <v>1171</v>
      </c>
      <c r="H473" s="18"/>
      <c r="N473" s="1" t="s">
        <v>1172</v>
      </c>
      <c r="O473" s="1">
        <v>30.0</v>
      </c>
    </row>
    <row r="474">
      <c r="C474" s="18"/>
      <c r="D474" s="16"/>
      <c r="E474" s="11" t="s">
        <v>1173</v>
      </c>
      <c r="H474" s="18"/>
      <c r="N474" s="1" t="s">
        <v>1174</v>
      </c>
      <c r="O474" s="1">
        <v>30.0</v>
      </c>
    </row>
    <row r="475">
      <c r="C475" s="18"/>
      <c r="D475" s="29" t="s">
        <v>1175</v>
      </c>
      <c r="E475" s="11" t="s">
        <v>1176</v>
      </c>
      <c r="F475" s="1" t="s">
        <v>920</v>
      </c>
      <c r="H475" s="18"/>
      <c r="N475" s="1" t="s">
        <v>1177</v>
      </c>
      <c r="O475" s="1">
        <v>50.0</v>
      </c>
    </row>
    <row r="476">
      <c r="C476" s="18"/>
      <c r="D476" s="21" t="s">
        <v>1178</v>
      </c>
      <c r="E476" s="11" t="s">
        <v>1179</v>
      </c>
      <c r="H476" s="18"/>
      <c r="N476" s="1" t="s">
        <v>1180</v>
      </c>
      <c r="O476" s="1">
        <v>50.0</v>
      </c>
    </row>
    <row r="477">
      <c r="C477" s="18"/>
      <c r="D477" s="16" t="s">
        <v>1181</v>
      </c>
      <c r="E477" s="11" t="s">
        <v>1181</v>
      </c>
      <c r="H477" s="18"/>
      <c r="N477" s="1" t="s">
        <v>1182</v>
      </c>
      <c r="O477" s="1">
        <v>50.0</v>
      </c>
    </row>
    <row r="478">
      <c r="B478" s="1" t="s">
        <v>0</v>
      </c>
      <c r="C478" s="18"/>
      <c r="D478" s="16" t="s">
        <v>1183</v>
      </c>
      <c r="E478" s="11" t="s">
        <v>1183</v>
      </c>
      <c r="H478" s="18"/>
      <c r="N478" s="1" t="s">
        <v>1184</v>
      </c>
      <c r="O478" s="1">
        <v>50.0</v>
      </c>
    </row>
    <row r="479">
      <c r="C479" s="18"/>
      <c r="D479" s="16" t="s">
        <v>1185</v>
      </c>
      <c r="E479" s="11" t="s">
        <v>1185</v>
      </c>
      <c r="H479" s="18"/>
      <c r="N479" s="1" t="s">
        <v>1186</v>
      </c>
      <c r="O479" s="1">
        <v>50.0</v>
      </c>
    </row>
    <row r="480">
      <c r="C480" s="18"/>
      <c r="D480" s="16" t="s">
        <v>1187</v>
      </c>
      <c r="E480" s="11" t="s">
        <v>1187</v>
      </c>
      <c r="H480" s="18"/>
      <c r="N480" s="1" t="s">
        <v>1188</v>
      </c>
      <c r="O480" s="1">
        <v>50.0</v>
      </c>
    </row>
    <row r="481">
      <c r="C481" s="18"/>
      <c r="D481" s="16" t="s">
        <v>1189</v>
      </c>
      <c r="E481" s="11" t="s">
        <v>1189</v>
      </c>
      <c r="H481" s="18"/>
      <c r="N481" s="1" t="s">
        <v>1190</v>
      </c>
      <c r="O481" s="1">
        <v>50.0</v>
      </c>
    </row>
    <row r="482">
      <c r="C482" s="18"/>
      <c r="D482" s="16" t="s">
        <v>1191</v>
      </c>
      <c r="E482" s="11" t="s">
        <v>1191</v>
      </c>
      <c r="H482" s="18"/>
      <c r="N482" s="1" t="s">
        <v>1192</v>
      </c>
      <c r="O482" s="1">
        <v>50.0</v>
      </c>
    </row>
    <row r="483">
      <c r="C483" s="18"/>
      <c r="D483" s="16" t="s">
        <v>0</v>
      </c>
      <c r="E483" s="11" t="s">
        <v>1193</v>
      </c>
      <c r="H483" s="18"/>
      <c r="N483" s="1" t="s">
        <v>1194</v>
      </c>
      <c r="O483" s="1">
        <v>50.0</v>
      </c>
    </row>
    <row r="484">
      <c r="C484" s="18"/>
      <c r="D484" s="16" t="s">
        <v>1195</v>
      </c>
      <c r="E484" s="11" t="s">
        <v>1195</v>
      </c>
      <c r="F484" s="1" t="s">
        <v>906</v>
      </c>
      <c r="H484" s="18"/>
      <c r="N484" s="1" t="s">
        <v>1196</v>
      </c>
      <c r="O484" s="1">
        <v>30.0</v>
      </c>
    </row>
    <row r="485">
      <c r="C485" s="18"/>
      <c r="D485" s="16"/>
      <c r="E485" s="11" t="s">
        <v>1197</v>
      </c>
      <c r="H485" s="18"/>
      <c r="N485" s="1" t="s">
        <v>1198</v>
      </c>
      <c r="O485" s="1">
        <v>30.0</v>
      </c>
    </row>
    <row r="486">
      <c r="C486" s="18"/>
      <c r="D486" s="16"/>
      <c r="E486" s="11" t="s">
        <v>1199</v>
      </c>
      <c r="H486" s="18"/>
      <c r="N486" s="1" t="s">
        <v>1200</v>
      </c>
      <c r="O486" s="1">
        <v>30.0</v>
      </c>
    </row>
    <row r="487">
      <c r="C487" s="18"/>
      <c r="D487" s="16" t="s">
        <v>1201</v>
      </c>
      <c r="E487" s="11" t="s">
        <v>1201</v>
      </c>
      <c r="H487" s="18"/>
      <c r="N487" s="1" t="s">
        <v>1202</v>
      </c>
      <c r="O487" s="1">
        <v>30.0</v>
      </c>
    </row>
    <row r="488">
      <c r="C488" s="18"/>
      <c r="D488" s="16"/>
      <c r="E488" s="11" t="s">
        <v>1203</v>
      </c>
      <c r="H488" s="18"/>
      <c r="N488" s="1" t="s">
        <v>1204</v>
      </c>
      <c r="O488" s="1">
        <v>30.0</v>
      </c>
    </row>
    <row r="489">
      <c r="C489" s="18"/>
      <c r="D489" s="16"/>
      <c r="E489" s="11" t="s">
        <v>1205</v>
      </c>
      <c r="H489" s="18"/>
      <c r="N489" s="1" t="s">
        <v>1206</v>
      </c>
      <c r="O489" s="1">
        <v>30.0</v>
      </c>
    </row>
    <row r="490">
      <c r="C490" s="18"/>
      <c r="D490" s="16"/>
      <c r="E490" s="11" t="s">
        <v>1207</v>
      </c>
      <c r="H490" s="18"/>
      <c r="N490" s="1" t="s">
        <v>1208</v>
      </c>
      <c r="O490" s="1">
        <v>30.0</v>
      </c>
    </row>
    <row r="491">
      <c r="C491" s="18"/>
      <c r="D491" s="16"/>
      <c r="E491" s="11" t="s">
        <v>1209</v>
      </c>
      <c r="H491" s="18"/>
      <c r="N491" s="1" t="s">
        <v>1210</v>
      </c>
      <c r="O491" s="1">
        <v>30.0</v>
      </c>
    </row>
    <row r="492">
      <c r="C492" s="18"/>
      <c r="D492" s="16"/>
      <c r="E492" s="11" t="s">
        <v>1211</v>
      </c>
      <c r="H492" s="18"/>
      <c r="N492" s="1" t="s">
        <v>1212</v>
      </c>
      <c r="O492" s="1">
        <v>30.0</v>
      </c>
    </row>
    <row r="493">
      <c r="C493" s="18"/>
      <c r="D493" s="16"/>
      <c r="E493" s="11" t="s">
        <v>1213</v>
      </c>
      <c r="H493" s="18"/>
      <c r="N493" s="1" t="s">
        <v>1214</v>
      </c>
      <c r="O493" s="1">
        <v>30.0</v>
      </c>
    </row>
    <row r="494">
      <c r="C494" s="18"/>
      <c r="D494" s="16" t="s">
        <v>1215</v>
      </c>
      <c r="E494" s="11" t="s">
        <v>1215</v>
      </c>
      <c r="F494" s="1" t="s">
        <v>920</v>
      </c>
      <c r="H494" s="18"/>
      <c r="N494" s="1" t="s">
        <v>1216</v>
      </c>
      <c r="O494" s="1">
        <v>40.0</v>
      </c>
    </row>
    <row r="495">
      <c r="C495" s="18"/>
      <c r="D495" s="16" t="s">
        <v>1217</v>
      </c>
      <c r="E495" s="11" t="s">
        <v>1217</v>
      </c>
      <c r="H495" s="18"/>
      <c r="N495" s="1" t="s">
        <v>1218</v>
      </c>
      <c r="O495" s="1">
        <v>40.0</v>
      </c>
    </row>
    <row r="496">
      <c r="C496" s="18"/>
      <c r="D496" s="16"/>
      <c r="E496" s="11" t="s">
        <v>1219</v>
      </c>
      <c r="H496" s="18"/>
      <c r="N496" s="1" t="s">
        <v>1220</v>
      </c>
      <c r="O496" s="1">
        <v>40.0</v>
      </c>
    </row>
    <row r="497">
      <c r="C497" s="18"/>
      <c r="D497" s="16"/>
      <c r="E497" s="11" t="s">
        <v>1221</v>
      </c>
      <c r="H497" s="18"/>
      <c r="N497" s="1" t="s">
        <v>1222</v>
      </c>
      <c r="O497" s="1">
        <v>40.0</v>
      </c>
    </row>
    <row r="498" ht="17.25" customHeight="1">
      <c r="C498" s="18"/>
      <c r="D498" s="16"/>
      <c r="E498" s="11" t="s">
        <v>1223</v>
      </c>
      <c r="H498" s="18"/>
      <c r="N498" s="1" t="s">
        <v>1224</v>
      </c>
      <c r="O498" s="1">
        <v>40.0</v>
      </c>
    </row>
    <row r="499">
      <c r="C499" s="18"/>
      <c r="D499" s="16"/>
      <c r="E499" s="11" t="s">
        <v>1225</v>
      </c>
      <c r="H499" s="18"/>
      <c r="N499" s="1" t="s">
        <v>1226</v>
      </c>
      <c r="O499" s="1">
        <v>40.0</v>
      </c>
    </row>
    <row r="500">
      <c r="C500" s="18"/>
      <c r="D500" s="16" t="s">
        <v>1227</v>
      </c>
      <c r="E500" s="11" t="s">
        <v>1227</v>
      </c>
      <c r="H500" s="18"/>
      <c r="I500" s="1"/>
      <c r="J500" s="1"/>
      <c r="K500" s="1"/>
      <c r="N500" s="1" t="s">
        <v>1228</v>
      </c>
      <c r="O500" s="1">
        <v>40.0</v>
      </c>
    </row>
    <row r="501">
      <c r="C501" s="18"/>
      <c r="D501" s="16" t="s">
        <v>1229</v>
      </c>
      <c r="E501" s="11" t="s">
        <v>1229</v>
      </c>
      <c r="H501" s="18"/>
      <c r="N501" s="1" t="s">
        <v>1230</v>
      </c>
      <c r="O501" s="1">
        <v>40.0</v>
      </c>
    </row>
    <row r="502">
      <c r="C502" s="18"/>
      <c r="D502" s="16"/>
      <c r="E502" s="11" t="s">
        <v>1231</v>
      </c>
      <c r="H502" s="18"/>
      <c r="N502" s="1" t="s">
        <v>1232</v>
      </c>
      <c r="O502" s="1">
        <v>40.0</v>
      </c>
    </row>
    <row r="503">
      <c r="C503" s="18"/>
      <c r="D503" s="16" t="s">
        <v>1233</v>
      </c>
      <c r="E503" s="11" t="s">
        <v>1233</v>
      </c>
      <c r="H503" s="18"/>
      <c r="N503" s="1" t="s">
        <v>1234</v>
      </c>
      <c r="O503" s="1">
        <v>10.0</v>
      </c>
    </row>
    <row r="504">
      <c r="C504" s="18"/>
      <c r="D504" s="16" t="s">
        <v>1235</v>
      </c>
      <c r="E504" s="11" t="s">
        <v>1235</v>
      </c>
      <c r="F504" s="1" t="s">
        <v>906</v>
      </c>
      <c r="H504" s="18"/>
      <c r="N504" s="1" t="s">
        <v>1236</v>
      </c>
      <c r="O504" s="1">
        <v>30.0</v>
      </c>
    </row>
    <row r="505">
      <c r="C505" s="18"/>
      <c r="D505" s="16" t="s">
        <v>1237</v>
      </c>
      <c r="E505" s="11" t="s">
        <v>1237</v>
      </c>
      <c r="H505" s="18"/>
      <c r="N505" s="1" t="s">
        <v>1238</v>
      </c>
      <c r="O505" s="1">
        <v>30.0</v>
      </c>
    </row>
    <row r="506">
      <c r="C506" s="18"/>
      <c r="D506" s="16"/>
      <c r="E506" s="11" t="s">
        <v>1239</v>
      </c>
      <c r="H506" s="18"/>
      <c r="N506" s="1" t="s">
        <v>1240</v>
      </c>
      <c r="O506" s="1">
        <v>30.0</v>
      </c>
    </row>
    <row r="507">
      <c r="C507" s="18"/>
      <c r="D507" s="16" t="s">
        <v>1241</v>
      </c>
      <c r="E507" s="11" t="s">
        <v>1241</v>
      </c>
      <c r="H507" s="18"/>
      <c r="N507" s="1" t="s">
        <v>1242</v>
      </c>
      <c r="O507" s="1">
        <v>30.0</v>
      </c>
    </row>
    <row r="508">
      <c r="C508" s="18"/>
      <c r="D508" s="16" t="s">
        <v>1243</v>
      </c>
      <c r="E508" s="11" t="s">
        <v>1243</v>
      </c>
      <c r="H508" s="18"/>
      <c r="N508" s="1" t="s">
        <v>1244</v>
      </c>
      <c r="O508" s="1">
        <v>20.0</v>
      </c>
    </row>
    <row r="509">
      <c r="C509" s="18"/>
      <c r="D509" s="16"/>
      <c r="E509" s="11" t="s">
        <v>1245</v>
      </c>
      <c r="H509" s="18"/>
      <c r="N509" s="1" t="s">
        <v>1246</v>
      </c>
      <c r="O509" s="1">
        <v>20.0</v>
      </c>
    </row>
    <row r="510">
      <c r="C510" s="18"/>
      <c r="D510" s="16"/>
      <c r="E510" s="11" t="s">
        <v>1247</v>
      </c>
      <c r="H510" s="18"/>
      <c r="N510" s="1" t="s">
        <v>1248</v>
      </c>
      <c r="O510" s="1">
        <v>20.0</v>
      </c>
    </row>
    <row r="511">
      <c r="C511" s="18"/>
      <c r="D511" s="16"/>
      <c r="E511" s="11" t="s">
        <v>1249</v>
      </c>
      <c r="H511" s="18"/>
      <c r="N511" s="1" t="s">
        <v>1250</v>
      </c>
      <c r="O511" s="1">
        <v>20.0</v>
      </c>
    </row>
    <row r="512">
      <c r="C512" s="18"/>
      <c r="D512" s="16" t="s">
        <v>1251</v>
      </c>
      <c r="E512" s="11" t="s">
        <v>1251</v>
      </c>
      <c r="H512" s="18"/>
      <c r="N512" s="1" t="s">
        <v>1252</v>
      </c>
      <c r="O512" s="1">
        <v>20.0</v>
      </c>
    </row>
    <row r="513">
      <c r="C513" s="18"/>
      <c r="D513" s="16"/>
      <c r="E513" s="11" t="s">
        <v>1253</v>
      </c>
      <c r="H513" s="18"/>
      <c r="N513" s="1" t="s">
        <v>1254</v>
      </c>
      <c r="O513" s="1">
        <v>20.0</v>
      </c>
    </row>
    <row r="514">
      <c r="C514" s="18"/>
      <c r="D514" s="16"/>
      <c r="E514" s="11" t="s">
        <v>1255</v>
      </c>
      <c r="H514" s="18"/>
      <c r="N514" s="1" t="s">
        <v>1256</v>
      </c>
      <c r="O514" s="1">
        <v>20.0</v>
      </c>
    </row>
    <row r="515">
      <c r="C515" s="18"/>
      <c r="D515" s="16"/>
      <c r="E515" s="11" t="s">
        <v>1257</v>
      </c>
      <c r="H515" s="18"/>
      <c r="N515" s="1" t="s">
        <v>1258</v>
      </c>
      <c r="O515" s="1">
        <v>20.0</v>
      </c>
    </row>
    <row r="516">
      <c r="C516" s="18"/>
      <c r="D516" s="21" t="s">
        <v>393</v>
      </c>
      <c r="E516" s="11" t="s">
        <v>1259</v>
      </c>
      <c r="H516" s="18"/>
      <c r="N516" s="1" t="s">
        <v>1260</v>
      </c>
      <c r="O516" s="1">
        <v>60.0</v>
      </c>
    </row>
    <row r="517">
      <c r="C517" s="18"/>
      <c r="D517" s="29" t="s">
        <v>1261</v>
      </c>
      <c r="E517" s="11" t="s">
        <v>1262</v>
      </c>
      <c r="H517" s="18"/>
      <c r="N517" s="1" t="s">
        <v>1263</v>
      </c>
      <c r="O517" s="1">
        <v>30.0</v>
      </c>
    </row>
    <row r="518">
      <c r="C518" s="18"/>
      <c r="D518" s="21" t="s">
        <v>1264</v>
      </c>
      <c r="E518" s="11" t="s">
        <v>1265</v>
      </c>
      <c r="H518" s="18"/>
      <c r="N518" s="1" t="s">
        <v>1266</v>
      </c>
      <c r="O518" s="1">
        <v>30.0</v>
      </c>
    </row>
    <row r="519">
      <c r="C519" s="18"/>
      <c r="D519" s="16" t="s">
        <v>1267</v>
      </c>
      <c r="E519" s="11" t="s">
        <v>1267</v>
      </c>
      <c r="H519" s="18"/>
      <c r="N519" s="1" t="s">
        <v>1268</v>
      </c>
      <c r="O519" s="1">
        <v>10.0</v>
      </c>
    </row>
    <row r="520">
      <c r="C520" s="18"/>
      <c r="D520" s="21" t="s">
        <v>1269</v>
      </c>
      <c r="E520" s="11" t="s">
        <v>1270</v>
      </c>
      <c r="H520" s="18"/>
      <c r="N520" s="1" t="s">
        <v>1271</v>
      </c>
      <c r="O520" s="1">
        <v>50.0</v>
      </c>
    </row>
    <row r="521">
      <c r="C521" s="18"/>
      <c r="D521" s="16" t="s">
        <v>1272</v>
      </c>
      <c r="E521" s="11" t="s">
        <v>1272</v>
      </c>
      <c r="F521" s="1" t="s">
        <v>906</v>
      </c>
      <c r="H521" s="18"/>
      <c r="N521" s="1" t="s">
        <v>1273</v>
      </c>
      <c r="O521" s="1">
        <v>50.0</v>
      </c>
    </row>
    <row r="522">
      <c r="C522" s="18"/>
      <c r="D522" s="16" t="s">
        <v>1274</v>
      </c>
      <c r="E522" s="11" t="s">
        <v>1274</v>
      </c>
      <c r="F522" s="1" t="s">
        <v>906</v>
      </c>
      <c r="H522" s="18"/>
      <c r="N522" s="1" t="s">
        <v>1275</v>
      </c>
      <c r="O522" s="1">
        <v>50.0</v>
      </c>
    </row>
    <row r="523">
      <c r="C523" s="18"/>
      <c r="E523" s="11" t="s">
        <v>1276</v>
      </c>
      <c r="H523" s="18"/>
      <c r="N523" s="1" t="s">
        <v>1277</v>
      </c>
      <c r="O523" s="1">
        <v>50.0</v>
      </c>
    </row>
    <row r="524">
      <c r="C524" s="18"/>
      <c r="D524" s="16" t="s">
        <v>1278</v>
      </c>
      <c r="E524" s="11" t="s">
        <v>1278</v>
      </c>
      <c r="F524" s="1" t="s">
        <v>906</v>
      </c>
      <c r="H524" s="18"/>
      <c r="N524" s="1" t="s">
        <v>1279</v>
      </c>
      <c r="O524" s="1">
        <v>50.0</v>
      </c>
    </row>
    <row r="525">
      <c r="C525" s="18"/>
      <c r="D525" s="16" t="s">
        <v>1280</v>
      </c>
      <c r="E525" s="11" t="s">
        <v>1280</v>
      </c>
      <c r="F525" s="1" t="s">
        <v>906</v>
      </c>
      <c r="H525" s="18"/>
      <c r="N525" s="1" t="s">
        <v>1281</v>
      </c>
      <c r="O525" s="1">
        <v>50.0</v>
      </c>
    </row>
    <row r="526">
      <c r="C526" s="18"/>
      <c r="D526" s="1" t="s">
        <v>1282</v>
      </c>
      <c r="E526" s="11" t="s">
        <v>1282</v>
      </c>
      <c r="F526" s="1" t="s">
        <v>906</v>
      </c>
      <c r="H526" s="18"/>
      <c r="N526" s="1" t="s">
        <v>1283</v>
      </c>
      <c r="O526" s="1">
        <v>50.0</v>
      </c>
    </row>
    <row r="527">
      <c r="C527" s="18"/>
      <c r="D527" s="16" t="s">
        <v>1284</v>
      </c>
      <c r="E527" s="11" t="s">
        <v>1284</v>
      </c>
      <c r="F527" s="1" t="s">
        <v>906</v>
      </c>
      <c r="H527" s="18"/>
      <c r="N527" s="1" t="s">
        <v>1285</v>
      </c>
      <c r="O527" s="1">
        <v>50.0</v>
      </c>
    </row>
    <row r="528">
      <c r="C528" s="18"/>
      <c r="D528" s="16" t="s">
        <v>1286</v>
      </c>
      <c r="E528" s="11" t="s">
        <v>1286</v>
      </c>
      <c r="F528" s="1" t="s">
        <v>906</v>
      </c>
      <c r="H528" s="18"/>
      <c r="N528" s="1" t="s">
        <v>1287</v>
      </c>
      <c r="O528" s="1">
        <v>50.0</v>
      </c>
    </row>
    <row r="529">
      <c r="C529" s="18"/>
      <c r="D529" s="16" t="s">
        <v>1288</v>
      </c>
      <c r="E529" s="11" t="s">
        <v>1288</v>
      </c>
      <c r="H529" s="18"/>
      <c r="N529" s="1" t="s">
        <v>1289</v>
      </c>
      <c r="O529" s="1">
        <v>20.0</v>
      </c>
    </row>
    <row r="530">
      <c r="C530" s="18"/>
      <c r="D530" s="21" t="s">
        <v>1290</v>
      </c>
      <c r="E530" s="11" t="s">
        <v>1291</v>
      </c>
      <c r="F530" s="1" t="s">
        <v>906</v>
      </c>
      <c r="H530" s="18"/>
      <c r="N530" s="1" t="s">
        <v>1292</v>
      </c>
      <c r="O530" s="1">
        <v>60.0</v>
      </c>
    </row>
    <row r="531">
      <c r="C531" s="18"/>
      <c r="D531" s="50" t="s">
        <v>1293</v>
      </c>
      <c r="E531" s="11" t="s">
        <v>1294</v>
      </c>
      <c r="H531" s="18"/>
      <c r="N531" s="1" t="s">
        <v>1295</v>
      </c>
      <c r="O531" s="1">
        <v>50.0</v>
      </c>
    </row>
    <row r="532">
      <c r="C532" s="18"/>
      <c r="D532" s="47" t="s">
        <v>1296</v>
      </c>
      <c r="E532" s="11" t="s">
        <v>1297</v>
      </c>
      <c r="H532" s="18"/>
      <c r="N532" s="1" t="s">
        <v>1298</v>
      </c>
      <c r="O532" s="1">
        <v>50.0</v>
      </c>
    </row>
    <row r="533">
      <c r="C533" s="18"/>
      <c r="D533" s="16" t="s">
        <v>1299</v>
      </c>
      <c r="E533" s="11" t="s">
        <v>1299</v>
      </c>
      <c r="H533" s="18"/>
      <c r="N533" s="1" t="s">
        <v>1300</v>
      </c>
      <c r="O533" s="1">
        <v>50.0</v>
      </c>
    </row>
    <row r="534">
      <c r="C534" s="18"/>
      <c r="D534" s="16" t="s">
        <v>1301</v>
      </c>
      <c r="E534" s="11" t="s">
        <v>1301</v>
      </c>
      <c r="H534" s="18"/>
      <c r="N534" s="1" t="s">
        <v>1302</v>
      </c>
      <c r="O534" s="1">
        <v>50.0</v>
      </c>
    </row>
    <row r="535">
      <c r="C535" s="18"/>
      <c r="D535" s="16" t="s">
        <v>1303</v>
      </c>
      <c r="E535" s="11" t="s">
        <v>1304</v>
      </c>
      <c r="H535" s="18"/>
      <c r="N535" s="1" t="s">
        <v>1305</v>
      </c>
      <c r="O535" s="1">
        <v>50.0</v>
      </c>
    </row>
    <row r="536">
      <c r="C536" s="18"/>
      <c r="D536" s="16" t="s">
        <v>1306</v>
      </c>
      <c r="E536" s="11" t="s">
        <v>1307</v>
      </c>
      <c r="H536" s="18"/>
      <c r="N536" s="1" t="s">
        <v>1308</v>
      </c>
      <c r="O536" s="1">
        <v>50.0</v>
      </c>
    </row>
    <row r="537">
      <c r="C537" s="18"/>
      <c r="D537" s="16" t="s">
        <v>1309</v>
      </c>
      <c r="E537" s="11" t="s">
        <v>1310</v>
      </c>
      <c r="H537" s="18"/>
      <c r="N537" s="1" t="s">
        <v>1311</v>
      </c>
      <c r="O537" s="1">
        <v>50.0</v>
      </c>
    </row>
    <row r="538">
      <c r="C538" s="18"/>
      <c r="D538" s="16" t="s">
        <v>1312</v>
      </c>
      <c r="E538" s="11" t="s">
        <v>1312</v>
      </c>
      <c r="H538" s="18"/>
      <c r="N538" s="1" t="s">
        <v>1313</v>
      </c>
      <c r="O538" s="1">
        <v>20.0</v>
      </c>
    </row>
    <row r="539">
      <c r="C539" s="18"/>
      <c r="D539" s="16" t="s">
        <v>1314</v>
      </c>
      <c r="E539" s="11" t="s">
        <v>1314</v>
      </c>
      <c r="H539" s="18"/>
      <c r="N539" s="1"/>
      <c r="O539" s="1"/>
    </row>
    <row r="540">
      <c r="C540" s="18"/>
      <c r="D540" s="16" t="s">
        <v>1315</v>
      </c>
      <c r="E540" s="11" t="s">
        <v>1315</v>
      </c>
      <c r="H540" s="18"/>
      <c r="N540" s="1"/>
      <c r="O540" s="1"/>
    </row>
    <row r="541">
      <c r="C541" s="18"/>
      <c r="D541" s="16" t="s">
        <v>1316</v>
      </c>
      <c r="E541" s="11" t="s">
        <v>1316</v>
      </c>
      <c r="H541" s="18"/>
      <c r="N541" s="1" t="s">
        <v>1317</v>
      </c>
      <c r="O541" s="1">
        <v>20.0</v>
      </c>
    </row>
    <row r="542">
      <c r="C542" s="18"/>
      <c r="D542" s="16"/>
      <c r="E542" s="11" t="s">
        <v>1318</v>
      </c>
      <c r="H542" s="18"/>
      <c r="N542" s="1" t="s">
        <v>1319</v>
      </c>
      <c r="O542" s="1">
        <v>20.0</v>
      </c>
    </row>
    <row r="543">
      <c r="C543" s="18"/>
      <c r="D543" s="16"/>
      <c r="E543" s="11" t="s">
        <v>1320</v>
      </c>
      <c r="H543" s="18"/>
      <c r="N543" s="1" t="s">
        <v>1321</v>
      </c>
      <c r="O543" s="1">
        <v>20.0</v>
      </c>
    </row>
    <row r="544">
      <c r="C544" s="18"/>
      <c r="D544" s="16"/>
      <c r="E544" s="11" t="s">
        <v>1322</v>
      </c>
      <c r="H544" s="18"/>
      <c r="N544" s="1" t="s">
        <v>1323</v>
      </c>
      <c r="O544" s="1">
        <v>20.0</v>
      </c>
    </row>
    <row r="545">
      <c r="C545" s="18"/>
      <c r="D545" s="16" t="s">
        <v>1324</v>
      </c>
      <c r="E545" s="11" t="s">
        <v>1324</v>
      </c>
      <c r="F545" s="1" t="s">
        <v>906</v>
      </c>
      <c r="H545" s="18"/>
      <c r="N545" s="1" t="s">
        <v>1325</v>
      </c>
      <c r="O545" s="1">
        <v>30.0</v>
      </c>
    </row>
    <row r="546">
      <c r="C546" s="18"/>
      <c r="D546" s="16" t="s">
        <v>1326</v>
      </c>
      <c r="E546" s="11" t="s">
        <v>1326</v>
      </c>
      <c r="H546" s="18"/>
      <c r="N546" s="1" t="s">
        <v>1327</v>
      </c>
      <c r="O546" s="1">
        <v>30.0</v>
      </c>
    </row>
    <row r="547">
      <c r="C547" s="18"/>
      <c r="D547" s="16" t="s">
        <v>1328</v>
      </c>
      <c r="E547" s="11" t="s">
        <v>1328</v>
      </c>
      <c r="H547" s="18"/>
      <c r="N547" s="1" t="s">
        <v>1329</v>
      </c>
      <c r="O547" s="1">
        <v>30.0</v>
      </c>
    </row>
    <row r="548">
      <c r="C548" s="18"/>
      <c r="D548" s="16"/>
      <c r="E548" s="11" t="s">
        <v>1328</v>
      </c>
      <c r="H548" s="18"/>
      <c r="N548" s="1" t="s">
        <v>1330</v>
      </c>
      <c r="O548" s="1">
        <v>30.0</v>
      </c>
    </row>
    <row r="549">
      <c r="C549" s="18"/>
      <c r="D549" s="16" t="s">
        <v>1331</v>
      </c>
      <c r="E549" s="11" t="s">
        <v>1331</v>
      </c>
      <c r="H549" s="18"/>
      <c r="N549" s="1" t="s">
        <v>1332</v>
      </c>
      <c r="O549" s="1">
        <v>30.0</v>
      </c>
    </row>
    <row r="550">
      <c r="C550" s="18"/>
      <c r="D550" s="16" t="s">
        <v>1333</v>
      </c>
      <c r="E550" s="11" t="s">
        <v>1333</v>
      </c>
      <c r="H550" s="18"/>
      <c r="N550" s="1" t="s">
        <v>1334</v>
      </c>
      <c r="O550" s="1">
        <v>20.0</v>
      </c>
    </row>
    <row r="551">
      <c r="C551" s="18"/>
      <c r="D551" s="16"/>
      <c r="E551" s="11" t="s">
        <v>1335</v>
      </c>
      <c r="H551" s="18"/>
      <c r="N551" s="1" t="s">
        <v>1336</v>
      </c>
      <c r="O551" s="1">
        <v>20.0</v>
      </c>
    </row>
    <row r="552">
      <c r="C552" s="18"/>
      <c r="D552" s="16"/>
      <c r="E552" s="11" t="s">
        <v>1337</v>
      </c>
      <c r="H552" s="18"/>
      <c r="N552" s="1" t="s">
        <v>1338</v>
      </c>
      <c r="O552" s="1">
        <v>20.0</v>
      </c>
    </row>
    <row r="553">
      <c r="C553" s="18"/>
      <c r="D553" s="16"/>
      <c r="E553" s="11" t="s">
        <v>1339</v>
      </c>
      <c r="H553" s="18"/>
      <c r="N553" s="1" t="s">
        <v>1340</v>
      </c>
      <c r="O553" s="1">
        <v>20.0</v>
      </c>
    </row>
    <row r="554">
      <c r="C554" s="18"/>
      <c r="D554" s="21" t="s">
        <v>407</v>
      </c>
      <c r="E554" s="11" t="s">
        <v>1341</v>
      </c>
      <c r="H554" s="18"/>
      <c r="N554" s="1" t="s">
        <v>1342</v>
      </c>
      <c r="O554" s="1">
        <v>30.0</v>
      </c>
    </row>
    <row r="555">
      <c r="C555" s="18"/>
      <c r="D555" s="16" t="s">
        <v>1343</v>
      </c>
      <c r="E555" s="11" t="s">
        <v>1344</v>
      </c>
      <c r="H555" s="18"/>
      <c r="N555" s="1" t="s">
        <v>1345</v>
      </c>
      <c r="O555" s="1">
        <v>10.0</v>
      </c>
    </row>
    <row r="556">
      <c r="C556" s="18"/>
      <c r="D556" s="21" t="s">
        <v>427</v>
      </c>
      <c r="E556" s="11" t="s">
        <v>1346</v>
      </c>
      <c r="H556" s="18"/>
      <c r="N556" s="1" t="s">
        <v>1347</v>
      </c>
      <c r="O556" s="1">
        <v>60.0</v>
      </c>
    </row>
    <row r="557">
      <c r="C557" s="18"/>
      <c r="D557" s="29" t="s">
        <v>1348</v>
      </c>
      <c r="E557" s="11" t="s">
        <v>1349</v>
      </c>
      <c r="F557" s="1" t="s">
        <v>920</v>
      </c>
      <c r="H557" s="18"/>
      <c r="N557" s="1" t="s">
        <v>1350</v>
      </c>
      <c r="O557" s="1">
        <v>50.0</v>
      </c>
    </row>
    <row r="558">
      <c r="C558" s="18"/>
      <c r="D558" s="16" t="s">
        <v>1351</v>
      </c>
      <c r="E558" s="11" t="s">
        <v>1351</v>
      </c>
      <c r="H558" s="18"/>
      <c r="N558" s="1" t="s">
        <v>1352</v>
      </c>
      <c r="O558" s="1">
        <v>50.0</v>
      </c>
    </row>
    <row r="559">
      <c r="C559" s="18"/>
      <c r="D559" s="16" t="s">
        <v>1353</v>
      </c>
      <c r="E559" s="11" t="s">
        <v>1353</v>
      </c>
      <c r="H559" s="18"/>
      <c r="N559" s="1" t="s">
        <v>1354</v>
      </c>
      <c r="O559" s="1">
        <v>50.0</v>
      </c>
    </row>
    <row r="560">
      <c r="C560" s="18"/>
      <c r="D560" s="16" t="s">
        <v>1355</v>
      </c>
      <c r="E560" s="11" t="s">
        <v>1355</v>
      </c>
      <c r="H560" s="18"/>
      <c r="N560" s="1" t="s">
        <v>1356</v>
      </c>
      <c r="O560" s="1">
        <v>50.0</v>
      </c>
    </row>
    <row r="561">
      <c r="C561" s="18"/>
      <c r="D561" s="16" t="s">
        <v>1357</v>
      </c>
      <c r="E561" s="11" t="s">
        <v>1357</v>
      </c>
      <c r="H561" s="18"/>
      <c r="N561" s="1" t="s">
        <v>1358</v>
      </c>
      <c r="O561" s="1">
        <v>50.0</v>
      </c>
    </row>
    <row r="562">
      <c r="C562" s="18"/>
      <c r="D562" s="16" t="s">
        <v>1359</v>
      </c>
      <c r="E562" s="11" t="s">
        <v>1359</v>
      </c>
      <c r="H562" s="18"/>
      <c r="N562" s="1" t="s">
        <v>1360</v>
      </c>
      <c r="O562" s="1">
        <v>50.0</v>
      </c>
    </row>
    <row r="563">
      <c r="C563" s="18"/>
      <c r="D563" s="21" t="s">
        <v>1361</v>
      </c>
      <c r="E563" s="11" t="s">
        <v>1362</v>
      </c>
      <c r="H563" s="18"/>
      <c r="N563" s="1" t="s">
        <v>1363</v>
      </c>
      <c r="O563" s="1">
        <v>50.0</v>
      </c>
    </row>
    <row r="564">
      <c r="C564" s="18"/>
      <c r="D564" s="21" t="s">
        <v>1364</v>
      </c>
      <c r="E564" s="11" t="s">
        <v>1365</v>
      </c>
      <c r="H564" s="18"/>
      <c r="N564" s="1" t="s">
        <v>1366</v>
      </c>
      <c r="O564" s="1">
        <v>50.0</v>
      </c>
    </row>
    <row r="565">
      <c r="C565" s="18"/>
      <c r="D565" s="16" t="s">
        <v>1367</v>
      </c>
      <c r="E565" s="11" t="s">
        <v>1367</v>
      </c>
      <c r="H565" s="18"/>
      <c r="N565" s="1" t="s">
        <v>1368</v>
      </c>
      <c r="O565" s="1">
        <v>50.0</v>
      </c>
    </row>
    <row r="566">
      <c r="C566" s="18"/>
      <c r="D566" s="21" t="s">
        <v>454</v>
      </c>
      <c r="E566" s="11" t="s">
        <v>1369</v>
      </c>
      <c r="H566" s="18"/>
      <c r="N566" s="1" t="s">
        <v>1370</v>
      </c>
      <c r="O566" s="1">
        <v>60.0</v>
      </c>
    </row>
    <row r="567">
      <c r="C567" s="18"/>
      <c r="D567" s="16" t="s">
        <v>1371</v>
      </c>
      <c r="E567" s="11" t="s">
        <v>1371</v>
      </c>
      <c r="H567" s="18"/>
      <c r="N567" s="1" t="s">
        <v>1372</v>
      </c>
      <c r="O567" s="1">
        <v>10.0</v>
      </c>
    </row>
    <row r="568">
      <c r="C568" s="18"/>
      <c r="D568" s="16" t="s">
        <v>1373</v>
      </c>
      <c r="E568" s="11" t="s">
        <v>1373</v>
      </c>
      <c r="H568" s="18"/>
      <c r="N568" s="1" t="s">
        <v>1374</v>
      </c>
      <c r="O568" s="1">
        <v>20.0</v>
      </c>
    </row>
    <row r="569">
      <c r="C569" s="18"/>
      <c r="D569" s="16"/>
      <c r="E569" s="11" t="s">
        <v>1375</v>
      </c>
      <c r="H569" s="18"/>
      <c r="N569" s="1" t="s">
        <v>1376</v>
      </c>
      <c r="O569" s="1">
        <v>20.0</v>
      </c>
    </row>
    <row r="570">
      <c r="C570" s="18"/>
      <c r="D570" s="16"/>
      <c r="E570" s="11" t="s">
        <v>1377</v>
      </c>
      <c r="H570" s="18"/>
      <c r="N570" s="1" t="s">
        <v>1378</v>
      </c>
      <c r="O570" s="1">
        <v>20.0</v>
      </c>
    </row>
    <row r="571">
      <c r="C571" s="18"/>
      <c r="D571" s="16"/>
      <c r="E571" s="11" t="s">
        <v>1379</v>
      </c>
      <c r="H571" s="18"/>
      <c r="N571" s="1" t="s">
        <v>1380</v>
      </c>
      <c r="O571" s="1">
        <v>20.0</v>
      </c>
    </row>
    <row r="572">
      <c r="C572" s="18"/>
      <c r="D572" s="16" t="s">
        <v>1381</v>
      </c>
      <c r="E572" s="11" t="s">
        <v>1381</v>
      </c>
      <c r="F572" s="1" t="s">
        <v>906</v>
      </c>
      <c r="H572" s="18"/>
      <c r="N572" s="1" t="s">
        <v>1382</v>
      </c>
      <c r="O572" s="1">
        <v>30.0</v>
      </c>
    </row>
    <row r="573">
      <c r="C573" s="18"/>
      <c r="D573" s="16" t="s">
        <v>1383</v>
      </c>
      <c r="E573" s="11" t="s">
        <v>1383</v>
      </c>
      <c r="H573" s="18"/>
      <c r="N573" s="1" t="s">
        <v>1384</v>
      </c>
      <c r="O573" s="1">
        <v>30.0</v>
      </c>
    </row>
    <row r="574">
      <c r="C574" s="18"/>
      <c r="D574" s="16" t="s">
        <v>1385</v>
      </c>
      <c r="E574" s="11" t="s">
        <v>1385</v>
      </c>
      <c r="H574" s="18"/>
      <c r="N574" s="1" t="s">
        <v>1386</v>
      </c>
      <c r="O574" s="1">
        <v>30.0</v>
      </c>
    </row>
    <row r="575">
      <c r="C575" s="18"/>
      <c r="D575" s="16"/>
      <c r="E575" s="11" t="s">
        <v>1387</v>
      </c>
      <c r="H575" s="18"/>
      <c r="N575" s="1" t="s">
        <v>1388</v>
      </c>
      <c r="O575" s="1">
        <v>30.0</v>
      </c>
    </row>
    <row r="576">
      <c r="C576" s="18"/>
      <c r="D576" s="16" t="s">
        <v>1389</v>
      </c>
      <c r="E576" s="11" t="s">
        <v>1389</v>
      </c>
      <c r="H576" s="18"/>
      <c r="N576" s="1" t="s">
        <v>1390</v>
      </c>
      <c r="O576" s="1">
        <v>20.0</v>
      </c>
    </row>
    <row r="577">
      <c r="C577" s="18"/>
      <c r="D577" s="16"/>
      <c r="E577" s="11" t="s">
        <v>1391</v>
      </c>
      <c r="H577" s="18"/>
      <c r="N577" s="1" t="s">
        <v>1392</v>
      </c>
      <c r="O577" s="1">
        <v>20.0</v>
      </c>
    </row>
    <row r="578">
      <c r="C578" s="18"/>
      <c r="D578" s="16"/>
      <c r="E578" s="11" t="s">
        <v>1393</v>
      </c>
      <c r="H578" s="18"/>
      <c r="N578" s="1" t="s">
        <v>1394</v>
      </c>
      <c r="O578" s="1">
        <v>20.0</v>
      </c>
    </row>
    <row r="579">
      <c r="C579" s="18"/>
      <c r="D579" s="16" t="s">
        <v>1395</v>
      </c>
      <c r="E579" s="11" t="s">
        <v>1395</v>
      </c>
      <c r="H579" s="18"/>
      <c r="N579" s="1" t="s">
        <v>1396</v>
      </c>
      <c r="O579" s="1">
        <v>20.0</v>
      </c>
    </row>
    <row r="580">
      <c r="C580" s="18"/>
      <c r="D580" s="16" t="s">
        <v>1397</v>
      </c>
      <c r="E580" s="11" t="s">
        <v>1397</v>
      </c>
      <c r="F580" s="1" t="s">
        <v>920</v>
      </c>
      <c r="H580" s="18"/>
      <c r="N580" s="1" t="s">
        <v>1398</v>
      </c>
      <c r="O580" s="1">
        <v>40.0</v>
      </c>
    </row>
    <row r="581">
      <c r="C581" s="18"/>
      <c r="D581" s="16"/>
      <c r="E581" s="11" t="s">
        <v>1399</v>
      </c>
      <c r="H581" s="18"/>
      <c r="N581" s="1" t="s">
        <v>1400</v>
      </c>
      <c r="O581" s="1">
        <v>40.0</v>
      </c>
    </row>
    <row r="582">
      <c r="C582" s="18"/>
      <c r="D582" s="16"/>
      <c r="E582" s="11" t="s">
        <v>1401</v>
      </c>
      <c r="H582" s="18"/>
      <c r="N582" s="1" t="s">
        <v>1402</v>
      </c>
      <c r="O582" s="1">
        <v>40.0</v>
      </c>
    </row>
    <row r="583">
      <c r="C583" s="18"/>
      <c r="D583" s="16"/>
      <c r="E583" s="11" t="s">
        <v>1403</v>
      </c>
      <c r="H583" s="18"/>
      <c r="N583" s="1" t="s">
        <v>1404</v>
      </c>
      <c r="O583" s="1">
        <v>40.0</v>
      </c>
    </row>
    <row r="584">
      <c r="C584" s="18"/>
      <c r="D584" s="16"/>
      <c r="E584" s="11" t="s">
        <v>1405</v>
      </c>
      <c r="H584" s="18"/>
      <c r="N584" s="1" t="s">
        <v>1406</v>
      </c>
      <c r="O584" s="1">
        <v>40.0</v>
      </c>
    </row>
    <row r="585">
      <c r="C585" s="18"/>
      <c r="D585" s="16"/>
      <c r="E585" s="11" t="s">
        <v>1407</v>
      </c>
      <c r="H585" s="18"/>
      <c r="N585" s="1" t="s">
        <v>1408</v>
      </c>
      <c r="O585" s="1">
        <v>40.0</v>
      </c>
    </row>
    <row r="586">
      <c r="C586" s="18"/>
      <c r="D586" s="16" t="s">
        <v>1409</v>
      </c>
      <c r="E586" s="11" t="s">
        <v>1409</v>
      </c>
      <c r="H586" s="18"/>
      <c r="N586" s="1" t="s">
        <v>1410</v>
      </c>
      <c r="O586" s="1">
        <v>40.0</v>
      </c>
    </row>
    <row r="587">
      <c r="C587" s="18"/>
      <c r="D587" s="16" t="s">
        <v>1411</v>
      </c>
      <c r="E587" s="11" t="s">
        <v>1411</v>
      </c>
      <c r="F587" s="1" t="s">
        <v>920</v>
      </c>
      <c r="H587" s="18"/>
      <c r="N587" s="1" t="s">
        <v>1412</v>
      </c>
      <c r="O587" s="1">
        <v>40.0</v>
      </c>
    </row>
    <row r="588">
      <c r="C588" s="18"/>
      <c r="D588" s="16"/>
      <c r="E588" s="11" t="s">
        <v>1413</v>
      </c>
      <c r="H588" s="18"/>
      <c r="N588" s="1" t="s">
        <v>1414</v>
      </c>
      <c r="O588" s="1">
        <v>40.0</v>
      </c>
    </row>
    <row r="589">
      <c r="C589" s="18"/>
      <c r="D589" s="16" t="s">
        <v>1415</v>
      </c>
      <c r="E589" s="11" t="s">
        <v>1415</v>
      </c>
      <c r="F589" s="1" t="s">
        <v>920</v>
      </c>
      <c r="H589" s="18"/>
      <c r="N589" s="1" t="s">
        <v>1416</v>
      </c>
      <c r="O589" s="1">
        <v>40.0</v>
      </c>
    </row>
    <row r="590">
      <c r="C590" s="18"/>
      <c r="D590" s="21" t="s">
        <v>1417</v>
      </c>
      <c r="E590" s="11" t="s">
        <v>1418</v>
      </c>
      <c r="H590" s="18"/>
      <c r="N590" s="1" t="s">
        <v>1419</v>
      </c>
      <c r="O590" s="1">
        <v>50.0</v>
      </c>
    </row>
    <row r="591">
      <c r="C591" s="18"/>
      <c r="D591" s="16" t="s">
        <v>1420</v>
      </c>
      <c r="E591" s="11" t="s">
        <v>1420</v>
      </c>
      <c r="F591" s="1" t="s">
        <v>906</v>
      </c>
      <c r="H591" s="18"/>
      <c r="N591" s="1" t="s">
        <v>1421</v>
      </c>
      <c r="O591" s="1">
        <v>50.0</v>
      </c>
    </row>
    <row r="592">
      <c r="C592" s="18"/>
      <c r="D592" s="21" t="s">
        <v>1422</v>
      </c>
      <c r="E592" s="11" t="s">
        <v>1423</v>
      </c>
      <c r="H592" s="18"/>
      <c r="N592" s="1" t="s">
        <v>1424</v>
      </c>
      <c r="O592" s="1">
        <v>50.0</v>
      </c>
    </row>
    <row r="593">
      <c r="C593" s="18"/>
      <c r="D593" s="16" t="s">
        <v>1425</v>
      </c>
      <c r="E593" s="11" t="s">
        <v>1425</v>
      </c>
      <c r="F593" s="1" t="s">
        <v>906</v>
      </c>
      <c r="H593" s="18"/>
      <c r="N593" s="1" t="s">
        <v>1426</v>
      </c>
      <c r="O593" s="1">
        <v>50.0</v>
      </c>
    </row>
    <row r="594">
      <c r="C594" s="18"/>
      <c r="D594" s="21" t="s">
        <v>1427</v>
      </c>
      <c r="E594" s="11" t="s">
        <v>1428</v>
      </c>
      <c r="H594" s="18"/>
      <c r="N594" s="1" t="s">
        <v>1429</v>
      </c>
      <c r="O594" s="1">
        <v>50.0</v>
      </c>
    </row>
    <row r="595">
      <c r="C595" s="18"/>
      <c r="D595" s="29" t="s">
        <v>1430</v>
      </c>
      <c r="E595" s="11" t="s">
        <v>1431</v>
      </c>
      <c r="H595" s="18"/>
      <c r="N595" s="1" t="s">
        <v>1432</v>
      </c>
      <c r="O595" s="1">
        <v>50.0</v>
      </c>
    </row>
    <row r="596">
      <c r="C596" s="18"/>
      <c r="D596" s="16" t="s">
        <v>1433</v>
      </c>
      <c r="E596" s="11" t="s">
        <v>1434</v>
      </c>
      <c r="F596" s="1" t="s">
        <v>906</v>
      </c>
      <c r="H596" s="18"/>
      <c r="N596" s="1" t="s">
        <v>1435</v>
      </c>
      <c r="O596" s="1">
        <v>50.0</v>
      </c>
    </row>
    <row r="597">
      <c r="C597" s="18"/>
      <c r="D597" s="21" t="s">
        <v>1436</v>
      </c>
      <c r="E597" s="11" t="s">
        <v>1437</v>
      </c>
      <c r="H597" s="18"/>
      <c r="N597" s="1" t="s">
        <v>1438</v>
      </c>
      <c r="O597" s="1">
        <v>50.0</v>
      </c>
    </row>
    <row r="598">
      <c r="C598" s="18"/>
      <c r="D598" s="16" t="s">
        <v>1439</v>
      </c>
      <c r="E598" s="11" t="s">
        <v>1440</v>
      </c>
      <c r="F598" s="1" t="s">
        <v>906</v>
      </c>
      <c r="H598" s="18"/>
      <c r="N598" s="1" t="s">
        <v>1441</v>
      </c>
      <c r="O598" s="1">
        <v>50.0</v>
      </c>
    </row>
    <row r="599">
      <c r="C599" s="18"/>
      <c r="D599" s="21" t="s">
        <v>1442</v>
      </c>
      <c r="E599" s="11" t="s">
        <v>1443</v>
      </c>
      <c r="H599" s="18"/>
      <c r="N599" s="1" t="s">
        <v>1444</v>
      </c>
      <c r="O599" s="1">
        <v>50.0</v>
      </c>
    </row>
    <row r="600">
      <c r="C600" s="18"/>
      <c r="D600" s="16" t="s">
        <v>1445</v>
      </c>
      <c r="E600" s="11" t="s">
        <v>1445</v>
      </c>
      <c r="H600" s="18"/>
      <c r="N600" s="1" t="s">
        <v>1446</v>
      </c>
      <c r="O600" s="1">
        <v>30.0</v>
      </c>
    </row>
    <row r="601">
      <c r="C601" s="18"/>
      <c r="D601" s="16"/>
      <c r="E601" s="11" t="s">
        <v>1447</v>
      </c>
      <c r="H601" s="18"/>
      <c r="N601" s="1" t="s">
        <v>1448</v>
      </c>
      <c r="O601" s="1">
        <v>30.0</v>
      </c>
    </row>
    <row r="602">
      <c r="C602" s="18"/>
      <c r="D602" s="16" t="s">
        <v>1449</v>
      </c>
      <c r="E602" s="11" t="s">
        <v>1449</v>
      </c>
      <c r="H602" s="18"/>
      <c r="N602" s="1" t="s">
        <v>1450</v>
      </c>
      <c r="O602" s="1">
        <v>30.0</v>
      </c>
    </row>
    <row r="603">
      <c r="C603" s="18"/>
      <c r="D603" s="16"/>
      <c r="E603" s="11" t="s">
        <v>1451</v>
      </c>
      <c r="H603" s="18"/>
      <c r="N603" s="1" t="s">
        <v>1452</v>
      </c>
      <c r="O603" s="1">
        <v>30.0</v>
      </c>
    </row>
    <row r="604">
      <c r="C604" s="18"/>
      <c r="D604" s="16" t="s">
        <v>1453</v>
      </c>
      <c r="E604" s="11" t="s">
        <v>1453</v>
      </c>
      <c r="H604" s="18"/>
      <c r="N604" s="1" t="s">
        <v>1454</v>
      </c>
      <c r="O604" s="1">
        <v>20.0</v>
      </c>
    </row>
    <row r="605">
      <c r="C605" s="18"/>
      <c r="D605" s="16"/>
      <c r="E605" s="11" t="s">
        <v>1455</v>
      </c>
      <c r="H605" s="18"/>
      <c r="N605" s="1" t="s">
        <v>1456</v>
      </c>
      <c r="O605" s="1">
        <v>20.0</v>
      </c>
    </row>
    <row r="606">
      <c r="C606" s="18"/>
      <c r="D606" s="16"/>
      <c r="E606" s="11" t="s">
        <v>1457</v>
      </c>
      <c r="H606" s="18"/>
      <c r="N606" s="1" t="s">
        <v>1458</v>
      </c>
      <c r="O606" s="1">
        <v>20.0</v>
      </c>
    </row>
    <row r="607">
      <c r="C607" s="18"/>
      <c r="D607" s="16"/>
      <c r="E607" s="11" t="s">
        <v>1459</v>
      </c>
      <c r="H607" s="18"/>
      <c r="N607" s="1" t="s">
        <v>1460</v>
      </c>
      <c r="O607" s="1">
        <v>20.0</v>
      </c>
    </row>
    <row r="608">
      <c r="C608" s="18"/>
      <c r="D608" s="16" t="s">
        <v>1461</v>
      </c>
      <c r="E608" s="11" t="s">
        <v>1461</v>
      </c>
      <c r="F608" s="1" t="s">
        <v>920</v>
      </c>
      <c r="H608" s="18"/>
      <c r="N608" s="1" t="s">
        <v>1462</v>
      </c>
      <c r="O608" s="1">
        <v>40.0</v>
      </c>
    </row>
    <row r="609">
      <c r="C609" s="18"/>
      <c r="D609" s="16" t="s">
        <v>1461</v>
      </c>
      <c r="E609" s="11" t="s">
        <v>1461</v>
      </c>
      <c r="H609" s="18"/>
      <c r="N609" s="1" t="s">
        <v>1463</v>
      </c>
      <c r="O609" s="1">
        <v>30.0</v>
      </c>
    </row>
    <row r="610">
      <c r="C610" s="18"/>
      <c r="D610" s="16" t="s">
        <v>1461</v>
      </c>
      <c r="E610" s="11" t="s">
        <v>1461</v>
      </c>
      <c r="F610" s="1" t="s">
        <v>906</v>
      </c>
      <c r="H610" s="18"/>
      <c r="N610" s="1" t="s">
        <v>1464</v>
      </c>
      <c r="O610" s="1">
        <v>30.0</v>
      </c>
    </row>
    <row r="611">
      <c r="C611" s="18"/>
      <c r="D611" s="16"/>
      <c r="E611" s="11" t="s">
        <v>1465</v>
      </c>
      <c r="H611" s="18"/>
      <c r="N611" s="1" t="s">
        <v>1466</v>
      </c>
      <c r="O611" s="1">
        <v>40.0</v>
      </c>
    </row>
    <row r="612">
      <c r="C612" s="18"/>
      <c r="D612" s="16"/>
      <c r="E612" s="11" t="s">
        <v>1467</v>
      </c>
      <c r="H612" s="18"/>
      <c r="N612" s="1" t="s">
        <v>1468</v>
      </c>
      <c r="O612" s="1">
        <v>40.0</v>
      </c>
    </row>
    <row r="613">
      <c r="C613" s="18"/>
      <c r="D613" s="16"/>
      <c r="E613" s="11" t="s">
        <v>1469</v>
      </c>
      <c r="H613" s="18"/>
      <c r="N613" s="1" t="s">
        <v>1470</v>
      </c>
      <c r="O613" s="1">
        <v>40.0</v>
      </c>
    </row>
    <row r="614">
      <c r="C614" s="18"/>
      <c r="D614" s="16"/>
      <c r="E614" s="11" t="s">
        <v>1469</v>
      </c>
      <c r="H614" s="18"/>
      <c r="N614" s="1" t="s">
        <v>1471</v>
      </c>
      <c r="O614" s="1">
        <v>30.0</v>
      </c>
    </row>
    <row r="615">
      <c r="C615" s="18"/>
      <c r="D615" s="16"/>
      <c r="E615" s="11" t="s">
        <v>1472</v>
      </c>
      <c r="H615" s="18"/>
      <c r="N615" s="1" t="s">
        <v>1473</v>
      </c>
      <c r="O615" s="1">
        <v>40.0</v>
      </c>
    </row>
    <row r="616">
      <c r="C616" s="18"/>
      <c r="D616" s="16"/>
      <c r="E616" s="11" t="s">
        <v>1474</v>
      </c>
      <c r="H616" s="18"/>
      <c r="N616" s="1" t="s">
        <v>1475</v>
      </c>
      <c r="O616" s="1">
        <v>40.0</v>
      </c>
    </row>
    <row r="617">
      <c r="C617" s="18"/>
      <c r="D617" s="16"/>
      <c r="E617" s="11" t="s">
        <v>1476</v>
      </c>
      <c r="H617" s="18"/>
      <c r="N617" s="1" t="s">
        <v>1477</v>
      </c>
      <c r="O617" s="1">
        <v>40.0</v>
      </c>
    </row>
    <row r="618">
      <c r="C618" s="18"/>
      <c r="D618" s="16"/>
      <c r="E618" s="11" t="s">
        <v>1476</v>
      </c>
      <c r="H618" s="18"/>
      <c r="N618" s="1" t="s">
        <v>1478</v>
      </c>
      <c r="O618" s="1">
        <v>30.0</v>
      </c>
    </row>
    <row r="619">
      <c r="C619" s="18"/>
      <c r="D619" s="16"/>
      <c r="E619" s="11" t="s">
        <v>1479</v>
      </c>
      <c r="H619" s="18"/>
      <c r="N619" s="1" t="s">
        <v>1480</v>
      </c>
      <c r="O619" s="1">
        <v>30.0</v>
      </c>
    </row>
    <row r="620">
      <c r="C620" s="18"/>
      <c r="D620" s="16" t="s">
        <v>1481</v>
      </c>
      <c r="E620" s="11" t="s">
        <v>1481</v>
      </c>
      <c r="H620" s="18"/>
      <c r="N620" s="1" t="s">
        <v>1482</v>
      </c>
      <c r="O620" s="1">
        <v>40.0</v>
      </c>
    </row>
    <row r="621">
      <c r="C621" s="18"/>
      <c r="D621" s="16"/>
      <c r="E621" s="11" t="s">
        <v>1483</v>
      </c>
      <c r="H621" s="18"/>
      <c r="N621" s="1" t="s">
        <v>1484</v>
      </c>
      <c r="O621" s="1">
        <v>30.0</v>
      </c>
    </row>
    <row r="622">
      <c r="C622" s="18"/>
      <c r="D622" s="16"/>
      <c r="E622" s="11" t="s">
        <v>1485</v>
      </c>
      <c r="H622" s="18"/>
      <c r="N622" s="1" t="s">
        <v>1486</v>
      </c>
      <c r="O622" s="1">
        <v>30.0</v>
      </c>
    </row>
    <row r="623">
      <c r="C623" s="18"/>
      <c r="D623" s="16" t="s">
        <v>1487</v>
      </c>
      <c r="E623" s="11" t="s">
        <v>1487</v>
      </c>
      <c r="H623" s="18"/>
      <c r="N623" s="1" t="s">
        <v>1488</v>
      </c>
      <c r="O623" s="1">
        <v>20.0</v>
      </c>
    </row>
    <row r="624">
      <c r="C624" s="18"/>
      <c r="D624" s="16" t="s">
        <v>1489</v>
      </c>
      <c r="E624" s="11" t="s">
        <v>1489</v>
      </c>
      <c r="F624" s="1" t="s">
        <v>906</v>
      </c>
      <c r="H624" s="18"/>
      <c r="N624" s="1" t="s">
        <v>1490</v>
      </c>
      <c r="O624" s="1">
        <v>30.0</v>
      </c>
    </row>
    <row r="625">
      <c r="C625" s="18"/>
      <c r="D625" s="16" t="s">
        <v>1491</v>
      </c>
      <c r="E625" s="11" t="s">
        <v>1491</v>
      </c>
      <c r="H625" s="18"/>
      <c r="N625" s="1" t="s">
        <v>1492</v>
      </c>
      <c r="O625" s="1">
        <v>30.0</v>
      </c>
    </row>
    <row r="626">
      <c r="C626" s="18"/>
      <c r="D626" s="16" t="s">
        <v>1493</v>
      </c>
      <c r="E626" s="11" t="s">
        <v>1493</v>
      </c>
      <c r="H626" s="18"/>
      <c r="N626" s="1" t="s">
        <v>1494</v>
      </c>
      <c r="O626" s="1">
        <v>30.0</v>
      </c>
    </row>
    <row r="627">
      <c r="C627" s="18"/>
      <c r="D627" s="16"/>
      <c r="E627" s="11" t="s">
        <v>1495</v>
      </c>
      <c r="H627" s="18"/>
      <c r="N627" s="1" t="s">
        <v>1496</v>
      </c>
      <c r="O627" s="1">
        <v>30.0</v>
      </c>
    </row>
    <row r="628">
      <c r="C628" s="18"/>
      <c r="D628" s="16" t="s">
        <v>1497</v>
      </c>
      <c r="E628" s="11" t="s">
        <v>1497</v>
      </c>
      <c r="H628" s="18"/>
      <c r="N628" s="1" t="s">
        <v>1498</v>
      </c>
      <c r="O628" s="1">
        <v>20.0</v>
      </c>
    </row>
    <row r="629">
      <c r="C629" s="18"/>
      <c r="D629" s="16"/>
      <c r="E629" s="11" t="s">
        <v>1499</v>
      </c>
      <c r="H629" s="18"/>
      <c r="N629" s="1" t="s">
        <v>1500</v>
      </c>
      <c r="O629" s="1">
        <v>20.0</v>
      </c>
    </row>
    <row r="630">
      <c r="C630" s="18"/>
      <c r="D630" s="16"/>
      <c r="E630" s="11" t="s">
        <v>1501</v>
      </c>
      <c r="H630" s="18"/>
      <c r="N630" s="1" t="s">
        <v>1502</v>
      </c>
      <c r="O630" s="1">
        <v>20.0</v>
      </c>
    </row>
    <row r="631">
      <c r="C631" s="18"/>
      <c r="D631" s="16"/>
      <c r="E631" s="11" t="s">
        <v>1503</v>
      </c>
      <c r="H631" s="18"/>
      <c r="N631" s="1" t="s">
        <v>1504</v>
      </c>
      <c r="O631" s="1">
        <v>20.0</v>
      </c>
    </row>
    <row r="632">
      <c r="C632" s="18"/>
      <c r="D632" s="16" t="s">
        <v>1505</v>
      </c>
      <c r="E632" s="11" t="s">
        <v>1505</v>
      </c>
      <c r="F632" s="1" t="s">
        <v>906</v>
      </c>
      <c r="H632" s="18"/>
      <c r="N632" s="1" t="s">
        <v>1506</v>
      </c>
      <c r="O632" s="1">
        <v>30.0</v>
      </c>
    </row>
    <row r="633">
      <c r="C633" s="18"/>
      <c r="D633" s="16" t="s">
        <v>1507</v>
      </c>
      <c r="E633" s="11" t="s">
        <v>1507</v>
      </c>
      <c r="H633" s="18"/>
      <c r="N633" s="1" t="s">
        <v>1508</v>
      </c>
      <c r="O633" s="1">
        <v>30.0</v>
      </c>
    </row>
    <row r="634">
      <c r="C634" s="18"/>
      <c r="D634" s="16"/>
      <c r="E634" s="11" t="s">
        <v>1509</v>
      </c>
      <c r="H634" s="18"/>
      <c r="N634" s="1" t="s">
        <v>1510</v>
      </c>
      <c r="O634" s="1">
        <v>30.0</v>
      </c>
    </row>
    <row r="635">
      <c r="C635" s="18"/>
      <c r="D635" s="16" t="s">
        <v>1511</v>
      </c>
      <c r="E635" s="11" t="s">
        <v>1511</v>
      </c>
      <c r="H635" s="18"/>
      <c r="N635" s="1" t="s">
        <v>1512</v>
      </c>
      <c r="O635" s="1">
        <v>30.0</v>
      </c>
    </row>
    <row r="636">
      <c r="C636" s="18"/>
      <c r="D636" s="16" t="s">
        <v>1513</v>
      </c>
      <c r="E636" s="11" t="s">
        <v>1513</v>
      </c>
      <c r="H636" s="18"/>
      <c r="N636" s="1" t="s">
        <v>1514</v>
      </c>
      <c r="O636" s="1">
        <v>20.0</v>
      </c>
    </row>
    <row r="637">
      <c r="C637" s="18"/>
      <c r="D637" s="16"/>
      <c r="E637" s="11" t="s">
        <v>1515</v>
      </c>
      <c r="H637" s="18"/>
      <c r="N637" s="1" t="s">
        <v>1516</v>
      </c>
      <c r="O637" s="1">
        <v>20.0</v>
      </c>
    </row>
    <row r="638">
      <c r="C638" s="18"/>
      <c r="D638" s="16"/>
      <c r="E638" s="11" t="s">
        <v>1517</v>
      </c>
      <c r="H638" s="18"/>
      <c r="N638" s="1" t="s">
        <v>1518</v>
      </c>
      <c r="O638" s="1">
        <v>20.0</v>
      </c>
    </row>
    <row r="639">
      <c r="C639" s="18"/>
      <c r="D639" s="16"/>
      <c r="E639" s="11" t="s">
        <v>1519</v>
      </c>
      <c r="H639" s="18"/>
      <c r="N639" s="1" t="s">
        <v>1520</v>
      </c>
      <c r="O639" s="1">
        <v>20.0</v>
      </c>
    </row>
    <row r="640">
      <c r="D640" s="22" t="s">
        <v>1521</v>
      </c>
      <c r="E640" s="11" t="s">
        <v>1522</v>
      </c>
      <c r="N640" s="1" t="s">
        <v>1523</v>
      </c>
    </row>
    <row r="641">
      <c r="C641" s="18"/>
      <c r="D641" s="29" t="s">
        <v>1524</v>
      </c>
      <c r="E641" s="11" t="s">
        <v>1525</v>
      </c>
      <c r="H641" s="18"/>
      <c r="N641" s="1" t="s">
        <v>1526</v>
      </c>
      <c r="O641" s="1">
        <v>10.0</v>
      </c>
    </row>
    <row r="642">
      <c r="D642" s="25" t="s">
        <v>1527</v>
      </c>
      <c r="E642" s="11" t="s">
        <v>1528</v>
      </c>
      <c r="N642" s="1" t="s">
        <v>1529</v>
      </c>
    </row>
    <row r="643">
      <c r="C643" s="18"/>
      <c r="D643" s="21" t="s">
        <v>1530</v>
      </c>
      <c r="E643" s="11" t="s">
        <v>1531</v>
      </c>
      <c r="H643" s="18"/>
      <c r="N643" s="1" t="s">
        <v>1532</v>
      </c>
      <c r="O643" s="1">
        <v>60.0</v>
      </c>
    </row>
    <row r="644">
      <c r="C644" s="18"/>
      <c r="D644" s="16" t="s">
        <v>1533</v>
      </c>
      <c r="E644" s="27" t="s">
        <v>1534</v>
      </c>
      <c r="H644" s="18"/>
      <c r="N644" s="1" t="s">
        <v>1535</v>
      </c>
      <c r="O644" s="1">
        <v>10.0</v>
      </c>
    </row>
    <row r="645">
      <c r="C645" s="18"/>
      <c r="D645" s="21" t="s">
        <v>1536</v>
      </c>
      <c r="E645" s="27" t="s">
        <v>1537</v>
      </c>
      <c r="H645" s="18"/>
      <c r="N645" s="1" t="s">
        <v>1538</v>
      </c>
      <c r="O645" s="1">
        <v>10.0</v>
      </c>
    </row>
    <row r="646">
      <c r="C646" s="18"/>
      <c r="D646" s="22" t="s">
        <v>1539</v>
      </c>
      <c r="E646" s="11" t="s">
        <v>1540</v>
      </c>
      <c r="H646" s="18"/>
      <c r="N646" s="1" t="s">
        <v>1541</v>
      </c>
      <c r="O646" s="1">
        <v>10.0</v>
      </c>
    </row>
    <row r="647">
      <c r="C647" s="18"/>
      <c r="D647" s="22" t="s">
        <v>1542</v>
      </c>
      <c r="E647" s="51" t="s">
        <v>1543</v>
      </c>
      <c r="H647" s="18"/>
      <c r="N647" s="1" t="s">
        <v>1544</v>
      </c>
      <c r="O647" s="1">
        <v>60.0</v>
      </c>
    </row>
    <row r="648">
      <c r="D648" s="22" t="s">
        <v>1545</v>
      </c>
      <c r="E648" s="51" t="s">
        <v>1546</v>
      </c>
      <c r="N648" s="1" t="s">
        <v>1547</v>
      </c>
    </row>
    <row r="649">
      <c r="D649" s="22" t="s">
        <v>1548</v>
      </c>
      <c r="E649" s="11" t="s">
        <v>1549</v>
      </c>
      <c r="N649" s="1" t="s">
        <v>1550</v>
      </c>
    </row>
    <row r="650">
      <c r="D650" s="25" t="s">
        <v>1551</v>
      </c>
      <c r="E650" s="11" t="s">
        <v>1552</v>
      </c>
      <c r="N650" s="1" t="s">
        <v>1553</v>
      </c>
    </row>
    <row r="651">
      <c r="D651" s="29" t="s">
        <v>1554</v>
      </c>
      <c r="E651" s="11" t="s">
        <v>1555</v>
      </c>
      <c r="N651" s="1" t="s">
        <v>1556</v>
      </c>
    </row>
    <row r="652">
      <c r="D652" s="22" t="s">
        <v>1557</v>
      </c>
      <c r="E652" s="27" t="s">
        <v>1558</v>
      </c>
      <c r="N652" s="1" t="s">
        <v>1559</v>
      </c>
    </row>
    <row r="653">
      <c r="C653" s="9" t="s">
        <v>1560</v>
      </c>
      <c r="D653" s="22" t="s">
        <v>1561</v>
      </c>
      <c r="E653" s="27" t="s">
        <v>1562</v>
      </c>
      <c r="H653" s="12"/>
      <c r="N653" s="1" t="s">
        <v>1563</v>
      </c>
    </row>
    <row r="654">
      <c r="C654" s="18"/>
      <c r="D654" s="21" t="s">
        <v>1564</v>
      </c>
      <c r="E654" s="11" t="s">
        <v>1565</v>
      </c>
      <c r="H654" s="18"/>
      <c r="N654" s="1" t="s">
        <v>1566</v>
      </c>
      <c r="O654" s="1">
        <v>10.0</v>
      </c>
    </row>
    <row r="655">
      <c r="C655" s="18"/>
      <c r="D655" s="21" t="s">
        <v>1567</v>
      </c>
      <c r="E655" s="11" t="s">
        <v>1568</v>
      </c>
      <c r="H655" s="18"/>
      <c r="N655" s="1" t="s">
        <v>1569</v>
      </c>
      <c r="O655" s="1">
        <v>10.0</v>
      </c>
    </row>
    <row r="656">
      <c r="C656" s="18"/>
      <c r="D656" s="52" t="s">
        <v>1570</v>
      </c>
      <c r="E656" s="51" t="s">
        <v>1571</v>
      </c>
      <c r="H656" s="18"/>
      <c r="N656" s="1" t="s">
        <v>1572</v>
      </c>
      <c r="O656" s="1">
        <v>10.0</v>
      </c>
    </row>
    <row r="657">
      <c r="C657" s="18"/>
      <c r="D657" s="19" t="s">
        <v>1573</v>
      </c>
      <c r="E657" s="11" t="s">
        <v>1574</v>
      </c>
      <c r="H657" s="18"/>
      <c r="N657" s="1" t="s">
        <v>1575</v>
      </c>
      <c r="O657" s="1">
        <v>600.0</v>
      </c>
    </row>
    <row r="658">
      <c r="A658" s="1" t="s">
        <v>832</v>
      </c>
      <c r="C658" s="38"/>
      <c r="D658" s="19" t="s">
        <v>1576</v>
      </c>
      <c r="E658" s="11" t="s">
        <v>1577</v>
      </c>
      <c r="H658" s="38"/>
      <c r="N658" s="1" t="s">
        <v>1578</v>
      </c>
      <c r="O658" s="1">
        <v>700.0</v>
      </c>
    </row>
    <row r="659">
      <c r="C659" s="18"/>
      <c r="D659" s="19" t="s">
        <v>1579</v>
      </c>
      <c r="E659" s="11" t="s">
        <v>1580</v>
      </c>
      <c r="H659" s="18"/>
    </row>
    <row r="660">
      <c r="C660" s="18"/>
      <c r="D660" s="19" t="s">
        <v>1581</v>
      </c>
      <c r="E660" s="11" t="s">
        <v>1582</v>
      </c>
      <c r="H660" s="18"/>
      <c r="N660" s="1" t="s">
        <v>1583</v>
      </c>
      <c r="O660" s="1">
        <v>100.0</v>
      </c>
    </row>
    <row r="661">
      <c r="C661" s="18"/>
      <c r="D661" s="16" t="s">
        <v>0</v>
      </c>
      <c r="E661" s="11" t="s">
        <v>1584</v>
      </c>
      <c r="H661" s="18"/>
      <c r="N661" s="1" t="s">
        <v>1585</v>
      </c>
      <c r="O661" s="1">
        <v>600.0</v>
      </c>
    </row>
    <row r="662">
      <c r="C662" s="18"/>
      <c r="D662" s="19" t="s">
        <v>1586</v>
      </c>
      <c r="E662" s="11" t="s">
        <v>1587</v>
      </c>
      <c r="H662" s="18"/>
    </row>
    <row r="663">
      <c r="C663" s="18"/>
      <c r="D663" s="19" t="s">
        <v>1588</v>
      </c>
      <c r="E663" s="11" t="s">
        <v>1589</v>
      </c>
      <c r="H663" s="18"/>
      <c r="N663" s="1" t="s">
        <v>1590</v>
      </c>
      <c r="O663" s="1">
        <v>150.0</v>
      </c>
    </row>
    <row r="664">
      <c r="C664" s="18"/>
      <c r="D664" s="19" t="s">
        <v>1591</v>
      </c>
      <c r="E664" s="11" t="s">
        <v>1592</v>
      </c>
      <c r="H664" s="18"/>
      <c r="N664" s="1" t="s">
        <v>1593</v>
      </c>
      <c r="O664" s="1">
        <v>150.0</v>
      </c>
    </row>
    <row r="665">
      <c r="C665" s="18"/>
      <c r="D665" s="19" t="s">
        <v>1594</v>
      </c>
      <c r="E665" s="11" t="s">
        <v>1595</v>
      </c>
      <c r="H665" s="18"/>
      <c r="N665" s="1" t="s">
        <v>1596</v>
      </c>
      <c r="O665" s="1">
        <v>150.0</v>
      </c>
    </row>
    <row r="666">
      <c r="C666" s="18"/>
      <c r="D666" s="19" t="s">
        <v>1597</v>
      </c>
      <c r="E666" s="11" t="s">
        <v>1598</v>
      </c>
      <c r="H666" s="18"/>
      <c r="N666" s="1" t="s">
        <v>1599</v>
      </c>
      <c r="O666" s="1">
        <v>150.0</v>
      </c>
    </row>
    <row r="667">
      <c r="C667" s="18"/>
      <c r="D667" s="19" t="s">
        <v>1600</v>
      </c>
      <c r="E667" s="11" t="s">
        <v>1601</v>
      </c>
      <c r="H667" s="18"/>
      <c r="N667" s="1" t="s">
        <v>1602</v>
      </c>
      <c r="O667" s="1">
        <v>150.0</v>
      </c>
    </row>
    <row r="668">
      <c r="C668" s="18"/>
      <c r="D668" s="19" t="s">
        <v>1603</v>
      </c>
      <c r="E668" s="11" t="s">
        <v>1604</v>
      </c>
      <c r="H668" s="18"/>
      <c r="N668" s="1" t="s">
        <v>1605</v>
      </c>
      <c r="O668" s="1">
        <v>150.0</v>
      </c>
    </row>
    <row r="669">
      <c r="C669" s="18"/>
      <c r="D669" s="19" t="s">
        <v>1606</v>
      </c>
      <c r="E669" s="11" t="s">
        <v>1607</v>
      </c>
      <c r="H669" s="18"/>
      <c r="N669" s="1" t="s">
        <v>1608</v>
      </c>
      <c r="O669" s="1">
        <v>150.0</v>
      </c>
    </row>
    <row r="670">
      <c r="C670" s="18"/>
      <c r="D670" s="19" t="s">
        <v>1609</v>
      </c>
      <c r="E670" s="11" t="s">
        <v>1610</v>
      </c>
      <c r="H670" s="18"/>
      <c r="N670" s="1" t="s">
        <v>1611</v>
      </c>
      <c r="O670" s="1">
        <v>150.0</v>
      </c>
    </row>
    <row r="671">
      <c r="C671" s="18"/>
      <c r="D671" s="19" t="s">
        <v>1612</v>
      </c>
      <c r="E671" s="11" t="s">
        <v>1613</v>
      </c>
      <c r="H671" s="18"/>
      <c r="N671" s="1" t="s">
        <v>1614</v>
      </c>
      <c r="O671" s="1">
        <v>100.0</v>
      </c>
    </row>
    <row r="672">
      <c r="D672" s="10"/>
      <c r="E672" s="11" t="s">
        <v>1615</v>
      </c>
      <c r="H672" s="12"/>
      <c r="N672" s="1" t="s">
        <v>1616</v>
      </c>
    </row>
    <row r="673">
      <c r="D673" s="21" t="s">
        <v>1617</v>
      </c>
      <c r="E673" s="11" t="s">
        <v>1618</v>
      </c>
      <c r="H673" s="12"/>
      <c r="N673" s="1" t="s">
        <v>1619</v>
      </c>
    </row>
    <row r="674">
      <c r="E674" s="11" t="s">
        <v>1618</v>
      </c>
      <c r="H674" s="12"/>
      <c r="N674" s="1" t="s">
        <v>1620</v>
      </c>
    </row>
    <row r="675">
      <c r="D675" s="22" t="s">
        <v>1621</v>
      </c>
      <c r="E675" s="11" t="s">
        <v>1622</v>
      </c>
      <c r="H675" s="12"/>
      <c r="N675" s="1" t="s">
        <v>1623</v>
      </c>
    </row>
    <row r="676">
      <c r="E676" s="11" t="s">
        <v>1624</v>
      </c>
      <c r="H676" s="12"/>
      <c r="N676" s="1" t="s">
        <v>1625</v>
      </c>
    </row>
    <row r="677">
      <c r="D677" s="22" t="s">
        <v>1626</v>
      </c>
      <c r="E677" s="11" t="s">
        <v>1627</v>
      </c>
      <c r="H677" s="12"/>
      <c r="N677" s="1" t="s">
        <v>1628</v>
      </c>
    </row>
    <row r="678">
      <c r="D678" s="10"/>
      <c r="E678" s="11" t="s">
        <v>1629</v>
      </c>
      <c r="H678" s="12"/>
      <c r="N678" s="1" t="s">
        <v>1630</v>
      </c>
    </row>
    <row r="679">
      <c r="D679" s="22" t="s">
        <v>1631</v>
      </c>
      <c r="E679" s="11" t="s">
        <v>1632</v>
      </c>
      <c r="H679" s="12"/>
      <c r="N679" s="1" t="s">
        <v>1633</v>
      </c>
    </row>
    <row r="680">
      <c r="D680" s="22" t="s">
        <v>1634</v>
      </c>
      <c r="E680" s="11" t="s">
        <v>1635</v>
      </c>
      <c r="H680" s="12"/>
      <c r="N680" s="1" t="s">
        <v>1636</v>
      </c>
    </row>
    <row r="681">
      <c r="E681" s="11" t="s">
        <v>1637</v>
      </c>
      <c r="H681" s="12"/>
      <c r="N681" s="1"/>
    </row>
    <row r="682">
      <c r="E682" s="11" t="s">
        <v>1638</v>
      </c>
      <c r="H682" s="12"/>
      <c r="N682" s="1"/>
    </row>
    <row r="683">
      <c r="E683" s="11" t="s">
        <v>1639</v>
      </c>
      <c r="H683" s="12"/>
      <c r="N683" s="1"/>
    </row>
    <row r="684">
      <c r="E684" s="11" t="s">
        <v>1640</v>
      </c>
      <c r="H684" s="12"/>
      <c r="N684" s="1" t="s">
        <v>1641</v>
      </c>
    </row>
    <row r="685">
      <c r="E685" s="11" t="s">
        <v>1642</v>
      </c>
      <c r="H685" s="12"/>
      <c r="N685" s="1"/>
    </row>
    <row r="686">
      <c r="E686" s="11" t="s">
        <v>1643</v>
      </c>
      <c r="H686" s="12"/>
      <c r="N686" s="1"/>
    </row>
    <row r="687">
      <c r="E687" s="11" t="s">
        <v>1644</v>
      </c>
      <c r="H687" s="12"/>
      <c r="N687" s="1"/>
    </row>
    <row r="688">
      <c r="E688" s="11" t="s">
        <v>1645</v>
      </c>
      <c r="H688" s="12"/>
      <c r="N688" s="1"/>
    </row>
    <row r="689">
      <c r="E689" s="11" t="s">
        <v>1646</v>
      </c>
      <c r="H689" s="12"/>
      <c r="N689" s="1"/>
    </row>
    <row r="690">
      <c r="E690" s="11" t="s">
        <v>1647</v>
      </c>
      <c r="H690" s="12"/>
      <c r="N690" s="1"/>
    </row>
    <row r="691">
      <c r="E691" s="11" t="s">
        <v>1648</v>
      </c>
      <c r="H691" s="12"/>
      <c r="N691" s="1"/>
    </row>
    <row r="692">
      <c r="D692" s="1" t="s">
        <v>1624</v>
      </c>
      <c r="E692" s="11" t="s">
        <v>1649</v>
      </c>
      <c r="H692" s="12"/>
      <c r="N692" s="1"/>
    </row>
    <row r="693">
      <c r="E693" s="11" t="s">
        <v>1650</v>
      </c>
      <c r="H693" s="12"/>
      <c r="N693" s="1"/>
    </row>
    <row r="694">
      <c r="E694" s="11" t="s">
        <v>1651</v>
      </c>
      <c r="H694" s="12"/>
      <c r="N694" s="1"/>
    </row>
    <row r="695">
      <c r="E695" s="11" t="s">
        <v>1652</v>
      </c>
      <c r="H695" s="12"/>
      <c r="N695" s="1"/>
    </row>
    <row r="696">
      <c r="E696" s="11" t="s">
        <v>1653</v>
      </c>
      <c r="H696" s="12"/>
      <c r="N696" s="1"/>
    </row>
    <row r="697">
      <c r="E697" s="11" t="s">
        <v>1654</v>
      </c>
      <c r="H697" s="12"/>
      <c r="N697" s="1"/>
    </row>
    <row r="698">
      <c r="E698" s="11" t="s">
        <v>1655</v>
      </c>
      <c r="H698" s="12"/>
      <c r="N698" s="1"/>
    </row>
    <row r="699">
      <c r="E699" s="11" t="s">
        <v>1656</v>
      </c>
      <c r="H699" s="12"/>
      <c r="N699" s="1"/>
    </row>
    <row r="700">
      <c r="E700" s="11" t="s">
        <v>1657</v>
      </c>
      <c r="H700" s="12"/>
      <c r="N700" s="1"/>
    </row>
    <row r="701">
      <c r="E701" s="11" t="s">
        <v>1658</v>
      </c>
      <c r="H701" s="12"/>
      <c r="N701" s="1"/>
    </row>
    <row r="702">
      <c r="E702" s="11" t="s">
        <v>1659</v>
      </c>
      <c r="H702" s="12"/>
      <c r="N702" s="1"/>
    </row>
    <row r="703">
      <c r="E703" s="11" t="s">
        <v>1660</v>
      </c>
      <c r="H703" s="12"/>
      <c r="N703" s="1"/>
    </row>
    <row r="704">
      <c r="E704" s="11" t="s">
        <v>1661</v>
      </c>
      <c r="H704" s="12"/>
      <c r="N704" s="1"/>
    </row>
    <row r="705">
      <c r="E705" s="11" t="s">
        <v>1662</v>
      </c>
      <c r="F705" s="1" t="s">
        <v>1663</v>
      </c>
      <c r="H705" s="12"/>
      <c r="N705" s="1"/>
    </row>
    <row r="706">
      <c r="E706" s="11" t="s">
        <v>1664</v>
      </c>
      <c r="H706" s="12"/>
      <c r="N706" s="1" t="s">
        <v>1665</v>
      </c>
    </row>
    <row r="707">
      <c r="E707" s="11" t="s">
        <v>1666</v>
      </c>
      <c r="H707" s="12"/>
      <c r="N707" s="1"/>
    </row>
    <row r="708">
      <c r="E708" s="11" t="s">
        <v>1667</v>
      </c>
      <c r="H708" s="12"/>
      <c r="N708" s="1"/>
    </row>
    <row r="709">
      <c r="E709" s="11" t="s">
        <v>1668</v>
      </c>
      <c r="H709" s="12"/>
      <c r="N709" s="1"/>
    </row>
    <row r="710">
      <c r="E710" s="11" t="s">
        <v>1669</v>
      </c>
      <c r="H710" s="12"/>
      <c r="N710" s="1"/>
    </row>
    <row r="711">
      <c r="E711" s="11" t="s">
        <v>1670</v>
      </c>
      <c r="F711" s="1" t="s">
        <v>1671</v>
      </c>
      <c r="H711" s="12"/>
      <c r="N711" s="1" t="s">
        <v>1672</v>
      </c>
    </row>
    <row r="712">
      <c r="C712" s="53"/>
      <c r="E712" s="11" t="s">
        <v>1673</v>
      </c>
      <c r="H712" s="12"/>
      <c r="N712" s="1"/>
    </row>
    <row r="713">
      <c r="C713" s="53"/>
      <c r="E713" s="11" t="s">
        <v>1674</v>
      </c>
      <c r="H713" s="12"/>
      <c r="N713" s="1"/>
    </row>
    <row r="714">
      <c r="C714" s="53"/>
      <c r="E714" s="11" t="s">
        <v>1675</v>
      </c>
      <c r="H714" s="12"/>
      <c r="N714" s="1"/>
    </row>
    <row r="715">
      <c r="C715" s="53"/>
      <c r="E715" s="11" t="s">
        <v>1676</v>
      </c>
      <c r="H715" s="12"/>
      <c r="N715" s="1"/>
    </row>
    <row r="716">
      <c r="D716" s="10"/>
      <c r="E716" s="11" t="s">
        <v>1677</v>
      </c>
      <c r="H716" s="12"/>
      <c r="N716" s="1" t="s">
        <v>1678</v>
      </c>
    </row>
    <row r="717">
      <c r="D717" s="10"/>
      <c r="E717" s="11" t="s">
        <v>1679</v>
      </c>
      <c r="H717" s="12"/>
      <c r="N717" s="1" t="s">
        <v>1680</v>
      </c>
    </row>
    <row r="718">
      <c r="D718" s="22" t="s">
        <v>1681</v>
      </c>
      <c r="E718" s="11" t="s">
        <v>1682</v>
      </c>
      <c r="H718" s="12"/>
      <c r="N718" s="1" t="s">
        <v>1683</v>
      </c>
    </row>
    <row r="719">
      <c r="D719" s="22" t="s">
        <v>1684</v>
      </c>
      <c r="E719" s="11" t="s">
        <v>1685</v>
      </c>
      <c r="F719" s="1" t="s">
        <v>1686</v>
      </c>
      <c r="H719" s="12"/>
      <c r="N719" s="1" t="s">
        <v>1687</v>
      </c>
    </row>
    <row r="720">
      <c r="D720" s="29" t="s">
        <v>1688</v>
      </c>
      <c r="E720" s="11" t="s">
        <v>1689</v>
      </c>
      <c r="H720" s="12"/>
      <c r="N720" s="1" t="s">
        <v>1690</v>
      </c>
    </row>
    <row r="721">
      <c r="D721" s="22" t="s">
        <v>1691</v>
      </c>
      <c r="E721" s="11" t="s">
        <v>1692</v>
      </c>
      <c r="H721" s="12"/>
      <c r="N721" s="1" t="s">
        <v>1693</v>
      </c>
    </row>
    <row r="722">
      <c r="D722" s="25" t="s">
        <v>1694</v>
      </c>
      <c r="E722" s="11" t="s">
        <v>1695</v>
      </c>
      <c r="H722" s="12"/>
      <c r="N722" s="1" t="s">
        <v>1696</v>
      </c>
    </row>
    <row r="723">
      <c r="D723" s="22" t="s">
        <v>1697</v>
      </c>
      <c r="E723" s="11" t="s">
        <v>1695</v>
      </c>
      <c r="H723" s="12"/>
      <c r="N723" s="1" t="s">
        <v>1698</v>
      </c>
    </row>
    <row r="724">
      <c r="D724" s="22" t="s">
        <v>1699</v>
      </c>
      <c r="E724" s="11" t="s">
        <v>1700</v>
      </c>
      <c r="F724" s="1" t="s">
        <v>1701</v>
      </c>
      <c r="H724" s="12"/>
      <c r="N724" s="1" t="s">
        <v>1702</v>
      </c>
    </row>
    <row r="725">
      <c r="D725" s="10"/>
      <c r="E725" s="11" t="s">
        <v>1703</v>
      </c>
      <c r="H725" s="12"/>
      <c r="N725" s="1" t="s">
        <v>1704</v>
      </c>
    </row>
    <row r="726">
      <c r="D726" s="10"/>
      <c r="E726" s="11" t="s">
        <v>1705</v>
      </c>
      <c r="H726" s="12"/>
      <c r="N726" s="1" t="s">
        <v>1706</v>
      </c>
    </row>
    <row r="727">
      <c r="D727" s="10"/>
      <c r="E727" s="11" t="s">
        <v>1707</v>
      </c>
      <c r="H727" s="12"/>
      <c r="N727" s="1" t="s">
        <v>1708</v>
      </c>
    </row>
    <row r="728">
      <c r="D728" s="22" t="s">
        <v>1709</v>
      </c>
      <c r="E728" s="11" t="s">
        <v>1710</v>
      </c>
      <c r="H728" s="12"/>
      <c r="N728" s="1" t="s">
        <v>1711</v>
      </c>
    </row>
    <row r="729">
      <c r="E729" s="11" t="s">
        <v>1710</v>
      </c>
      <c r="H729" s="12"/>
      <c r="N729" s="1" t="s">
        <v>1712</v>
      </c>
    </row>
    <row r="730">
      <c r="D730" s="10"/>
      <c r="E730" s="11" t="s">
        <v>1713</v>
      </c>
      <c r="H730" s="12"/>
      <c r="N730" s="1" t="s">
        <v>1714</v>
      </c>
    </row>
    <row r="731">
      <c r="D731" s="22" t="s">
        <v>1715</v>
      </c>
      <c r="E731" s="11" t="s">
        <v>1716</v>
      </c>
      <c r="H731" s="12"/>
      <c r="N731" s="1" t="s">
        <v>1717</v>
      </c>
    </row>
    <row r="732">
      <c r="D732" s="29" t="s">
        <v>1718</v>
      </c>
      <c r="E732" s="11" t="s">
        <v>1719</v>
      </c>
      <c r="H732" s="12"/>
      <c r="N732" s="1" t="s">
        <v>1720</v>
      </c>
    </row>
    <row r="733">
      <c r="D733" s="10"/>
      <c r="E733" s="11" t="s">
        <v>1721</v>
      </c>
      <c r="H733" s="12"/>
      <c r="N733" s="1" t="s">
        <v>1722</v>
      </c>
    </row>
    <row r="734">
      <c r="D734" s="1" t="s">
        <v>1723</v>
      </c>
      <c r="E734" s="11" t="s">
        <v>1724</v>
      </c>
      <c r="H734" s="12"/>
      <c r="N734" s="1" t="s">
        <v>1725</v>
      </c>
    </row>
    <row r="735">
      <c r="D735" s="22" t="s">
        <v>1726</v>
      </c>
      <c r="E735" s="11" t="s">
        <v>1727</v>
      </c>
      <c r="H735" s="12"/>
      <c r="N735" s="1" t="s">
        <v>1728</v>
      </c>
    </row>
    <row r="736">
      <c r="D736" s="21" t="s">
        <v>1729</v>
      </c>
      <c r="E736" s="11" t="s">
        <v>1730</v>
      </c>
      <c r="H736" s="18"/>
      <c r="N736" s="1" t="s">
        <v>1731</v>
      </c>
      <c r="O736" s="1">
        <v>10.0</v>
      </c>
    </row>
    <row r="737">
      <c r="D737" s="54" t="s">
        <v>1732</v>
      </c>
      <c r="E737" s="55"/>
      <c r="N737" s="1" t="s">
        <v>1733</v>
      </c>
    </row>
    <row r="738">
      <c r="D738" s="21" t="s">
        <v>1734</v>
      </c>
      <c r="E738" s="11" t="s">
        <v>1735</v>
      </c>
      <c r="H738" s="18"/>
      <c r="N738" s="1" t="s">
        <v>1736</v>
      </c>
      <c r="O738" s="1">
        <v>10.0</v>
      </c>
    </row>
    <row r="739">
      <c r="D739" s="21" t="s">
        <v>1737</v>
      </c>
      <c r="E739" s="11" t="s">
        <v>1738</v>
      </c>
      <c r="H739" s="18"/>
      <c r="N739" s="1" t="s">
        <v>1739</v>
      </c>
      <c r="O739" s="1">
        <v>10.0</v>
      </c>
    </row>
    <row r="740">
      <c r="D740" s="22" t="s">
        <v>1740</v>
      </c>
      <c r="E740" s="11" t="s">
        <v>1741</v>
      </c>
      <c r="N740" s="1" t="s">
        <v>1742</v>
      </c>
    </row>
    <row r="741">
      <c r="D741" s="22" t="s">
        <v>1743</v>
      </c>
      <c r="E741" s="11" t="s">
        <v>1744</v>
      </c>
      <c r="N741" s="1" t="s">
        <v>1745</v>
      </c>
    </row>
    <row r="742">
      <c r="D742" s="22" t="s">
        <v>1746</v>
      </c>
      <c r="E742" s="56" t="s">
        <v>1747</v>
      </c>
      <c r="H742" s="18"/>
      <c r="N742" s="1" t="s">
        <v>1748</v>
      </c>
      <c r="O742" s="1">
        <v>10.0</v>
      </c>
    </row>
    <row r="743">
      <c r="D743" s="42" t="s">
        <v>1749</v>
      </c>
      <c r="E743" s="57"/>
      <c r="H743" s="18"/>
      <c r="I743" s="58" t="s">
        <v>96</v>
      </c>
      <c r="J743" s="59"/>
      <c r="K743" s="59"/>
      <c r="L743" s="59"/>
      <c r="N743" s="1" t="s">
        <v>1750</v>
      </c>
      <c r="O743" s="1">
        <v>3500.0</v>
      </c>
    </row>
    <row r="744">
      <c r="D744" s="42" t="s">
        <v>1751</v>
      </c>
      <c r="H744" s="18"/>
      <c r="N744" s="1" t="s">
        <v>1752</v>
      </c>
      <c r="O744" s="1">
        <v>500.0</v>
      </c>
    </row>
    <row r="745">
      <c r="C745" s="18"/>
      <c r="D745" s="19" t="s">
        <v>1753</v>
      </c>
      <c r="E745" s="11" t="s">
        <v>1754</v>
      </c>
      <c r="H745" s="18"/>
      <c r="N745" s="1" t="s">
        <v>1755</v>
      </c>
      <c r="O745" s="1">
        <v>150.0</v>
      </c>
    </row>
    <row r="746">
      <c r="C746" s="18"/>
      <c r="D746" s="19" t="s">
        <v>1756</v>
      </c>
      <c r="E746" s="11" t="s">
        <v>1757</v>
      </c>
      <c r="H746" s="18"/>
      <c r="N746" s="1" t="s">
        <v>1758</v>
      </c>
      <c r="O746" s="1">
        <v>150.0</v>
      </c>
    </row>
    <row r="747">
      <c r="C747" s="18"/>
      <c r="D747" s="16" t="s">
        <v>1759</v>
      </c>
      <c r="E747" s="11" t="s">
        <v>1760</v>
      </c>
      <c r="H747" s="18"/>
      <c r="N747" s="1" t="s">
        <v>1761</v>
      </c>
      <c r="O747" s="1">
        <v>150.0</v>
      </c>
    </row>
    <row r="748">
      <c r="D748" s="42" t="s">
        <v>1762</v>
      </c>
      <c r="E748" s="57"/>
      <c r="H748" s="18"/>
    </row>
    <row r="749">
      <c r="D749" s="42" t="s">
        <v>1763</v>
      </c>
      <c r="E749" s="57"/>
      <c r="H749" s="18"/>
      <c r="N749" s="1" t="s">
        <v>1764</v>
      </c>
      <c r="O749" s="1">
        <v>250.0</v>
      </c>
    </row>
    <row r="750">
      <c r="D750" s="42" t="s">
        <v>1765</v>
      </c>
      <c r="E750" s="57"/>
      <c r="H750" s="18"/>
      <c r="N750" s="1" t="s">
        <v>1766</v>
      </c>
      <c r="O750" s="1">
        <v>200.0</v>
      </c>
    </row>
    <row r="751">
      <c r="C751" s="18"/>
      <c r="D751" s="19" t="s">
        <v>1767</v>
      </c>
      <c r="E751" s="11" t="s">
        <v>1768</v>
      </c>
      <c r="H751" s="18"/>
      <c r="N751" s="1" t="s">
        <v>1769</v>
      </c>
      <c r="O751" s="1">
        <v>150.0</v>
      </c>
    </row>
    <row r="752">
      <c r="D752" s="42" t="s">
        <v>1770</v>
      </c>
      <c r="E752" s="57"/>
      <c r="H752" s="18"/>
      <c r="N752" s="1" t="s">
        <v>1771</v>
      </c>
      <c r="O752" s="1">
        <v>200.0</v>
      </c>
    </row>
    <row r="753">
      <c r="D753" s="42" t="s">
        <v>1772</v>
      </c>
      <c r="E753" s="57"/>
      <c r="H753" s="18"/>
      <c r="N753" s="1" t="s">
        <v>1773</v>
      </c>
      <c r="O753" s="1">
        <v>200.0</v>
      </c>
    </row>
    <row r="754">
      <c r="D754" s="42" t="s">
        <v>1774</v>
      </c>
      <c r="E754" s="57"/>
      <c r="H754" s="18"/>
      <c r="N754" s="1" t="s">
        <v>1775</v>
      </c>
      <c r="O754" s="1">
        <v>200.0</v>
      </c>
    </row>
    <row r="755">
      <c r="D755" s="42" t="s">
        <v>1776</v>
      </c>
      <c r="E755" s="11"/>
      <c r="H755" s="18"/>
      <c r="N755" s="1" t="s">
        <v>1777</v>
      </c>
      <c r="O755" s="1">
        <v>150.0</v>
      </c>
    </row>
    <row r="756">
      <c r="C756" s="18"/>
      <c r="D756" s="19" t="s">
        <v>1778</v>
      </c>
      <c r="E756" s="11" t="s">
        <v>1779</v>
      </c>
      <c r="H756" s="18"/>
      <c r="N756" s="1" t="s">
        <v>1780</v>
      </c>
      <c r="O756" s="1">
        <v>150.0</v>
      </c>
    </row>
    <row r="757">
      <c r="D757" s="42" t="s">
        <v>1781</v>
      </c>
      <c r="E757" s="11"/>
      <c r="H757" s="18"/>
      <c r="N757" s="1" t="s">
        <v>1782</v>
      </c>
      <c r="O757" s="1">
        <v>150.0</v>
      </c>
    </row>
    <row r="758">
      <c r="D758" s="42" t="s">
        <v>1783</v>
      </c>
      <c r="E758" s="11"/>
      <c r="H758" s="18"/>
      <c r="N758" s="1" t="s">
        <v>1784</v>
      </c>
      <c r="O758" s="1">
        <v>150.0</v>
      </c>
    </row>
    <row r="759">
      <c r="D759" s="42" t="s">
        <v>1785</v>
      </c>
      <c r="E759" s="57"/>
      <c r="H759" s="18"/>
      <c r="N759" s="1" t="s">
        <v>1786</v>
      </c>
      <c r="O759" s="1">
        <v>100.0</v>
      </c>
    </row>
    <row r="760">
      <c r="C760" s="18"/>
      <c r="D760" s="19" t="s">
        <v>1787</v>
      </c>
      <c r="E760" s="11" t="s">
        <v>1788</v>
      </c>
      <c r="H760" s="18"/>
      <c r="N760" s="1" t="s">
        <v>1789</v>
      </c>
      <c r="O760" s="1">
        <v>150.0</v>
      </c>
    </row>
    <row r="761">
      <c r="D761" s="42" t="s">
        <v>1790</v>
      </c>
      <c r="E761" s="57"/>
      <c r="H761" s="18"/>
      <c r="N761" s="1" t="s">
        <v>1791</v>
      </c>
      <c r="O761" s="1">
        <v>150.0</v>
      </c>
    </row>
    <row r="762">
      <c r="D762" s="42" t="s">
        <v>1792</v>
      </c>
      <c r="E762" s="57"/>
      <c r="H762" s="18"/>
      <c r="N762" s="1" t="s">
        <v>1793</v>
      </c>
      <c r="O762" s="1">
        <v>150.0</v>
      </c>
    </row>
    <row r="763">
      <c r="C763" s="18"/>
      <c r="D763" s="19" t="s">
        <v>1794</v>
      </c>
      <c r="E763" s="11" t="s">
        <v>1795</v>
      </c>
      <c r="H763" s="18"/>
      <c r="N763" s="1" t="s">
        <v>1796</v>
      </c>
      <c r="O763" s="1">
        <v>150.0</v>
      </c>
    </row>
    <row r="764">
      <c r="D764" s="42" t="s">
        <v>1797</v>
      </c>
      <c r="E764" s="11"/>
      <c r="H764" s="18"/>
      <c r="N764" s="1" t="s">
        <v>1798</v>
      </c>
      <c r="O764" s="1">
        <v>150.0</v>
      </c>
    </row>
    <row r="765">
      <c r="D765" s="42" t="s">
        <v>1799</v>
      </c>
      <c r="E765" s="57"/>
      <c r="H765" s="18"/>
      <c r="N765" s="1" t="s">
        <v>1800</v>
      </c>
      <c r="O765" s="1">
        <v>150.0</v>
      </c>
    </row>
    <row r="766">
      <c r="C766" s="18"/>
      <c r="D766" s="19" t="s">
        <v>1801</v>
      </c>
      <c r="E766" s="11" t="s">
        <v>1686</v>
      </c>
      <c r="H766" s="18"/>
      <c r="N766" s="1" t="s">
        <v>1802</v>
      </c>
      <c r="O766" s="1">
        <v>150.0</v>
      </c>
    </row>
    <row r="767">
      <c r="D767" s="42" t="s">
        <v>1803</v>
      </c>
      <c r="E767" s="57"/>
      <c r="H767" s="18"/>
      <c r="N767" s="1" t="s">
        <v>1804</v>
      </c>
      <c r="O767" s="1">
        <v>150.0</v>
      </c>
    </row>
    <row r="768">
      <c r="C768" s="18"/>
      <c r="D768" s="19" t="s">
        <v>1805</v>
      </c>
      <c r="E768" s="11" t="s">
        <v>1806</v>
      </c>
      <c r="H768" s="18"/>
      <c r="N768" s="1" t="s">
        <v>1807</v>
      </c>
      <c r="O768" s="1">
        <v>150.0</v>
      </c>
    </row>
    <row r="769">
      <c r="C769" s="18"/>
      <c r="D769" s="19" t="s">
        <v>1808</v>
      </c>
      <c r="E769" s="11" t="s">
        <v>1809</v>
      </c>
      <c r="H769" s="18"/>
      <c r="N769" s="1" t="s">
        <v>1810</v>
      </c>
      <c r="O769" s="1">
        <v>150.0</v>
      </c>
    </row>
    <row r="770">
      <c r="D770" s="42" t="s">
        <v>1811</v>
      </c>
      <c r="E770" s="57"/>
      <c r="H770" s="18"/>
      <c r="N770" s="1" t="s">
        <v>1812</v>
      </c>
      <c r="O770" s="1">
        <v>150.0</v>
      </c>
    </row>
    <row r="771">
      <c r="D771" s="42" t="s">
        <v>1813</v>
      </c>
      <c r="E771" s="57"/>
      <c r="H771" s="18"/>
      <c r="N771" s="1" t="s">
        <v>1814</v>
      </c>
      <c r="O771" s="1">
        <v>150.0</v>
      </c>
    </row>
    <row r="772">
      <c r="C772" s="18"/>
      <c r="D772" s="19" t="s">
        <v>1815</v>
      </c>
      <c r="E772" s="11" t="s">
        <v>1816</v>
      </c>
      <c r="H772" s="18"/>
      <c r="N772" s="1" t="s">
        <v>1817</v>
      </c>
      <c r="O772" s="1">
        <v>150.0</v>
      </c>
    </row>
    <row r="773">
      <c r="D773" s="42" t="s">
        <v>1818</v>
      </c>
      <c r="E773" s="57"/>
      <c r="H773" s="18"/>
      <c r="N773" s="1" t="s">
        <v>1819</v>
      </c>
      <c r="O773" s="1">
        <v>150.0</v>
      </c>
    </row>
    <row r="774" ht="12.75" customHeight="1">
      <c r="D774" s="42" t="s">
        <v>1820</v>
      </c>
      <c r="E774" s="57"/>
      <c r="H774" s="18"/>
      <c r="N774" s="1" t="s">
        <v>1821</v>
      </c>
      <c r="O774" s="1">
        <v>100.0</v>
      </c>
    </row>
    <row r="776">
      <c r="C776" s="18"/>
      <c r="D776" s="19" t="s">
        <v>1822</v>
      </c>
      <c r="E776" s="11" t="s">
        <v>1823</v>
      </c>
      <c r="H776" s="18"/>
      <c r="N776" s="1" t="s">
        <v>1824</v>
      </c>
      <c r="O776" s="1">
        <v>150.0</v>
      </c>
    </row>
    <row r="777">
      <c r="D777" s="42" t="s">
        <v>1825</v>
      </c>
      <c r="E777" s="57"/>
      <c r="H777" s="18"/>
      <c r="N777" s="1" t="s">
        <v>1826</v>
      </c>
      <c r="O777" s="1">
        <v>100.0</v>
      </c>
    </row>
    <row r="778">
      <c r="D778" s="42" t="s">
        <v>1827</v>
      </c>
      <c r="E778" s="57"/>
      <c r="H778" s="18"/>
      <c r="N778" s="1" t="s">
        <v>1828</v>
      </c>
      <c r="O778" s="1">
        <v>100.0</v>
      </c>
    </row>
    <row r="779">
      <c r="D779" s="42" t="s">
        <v>1829</v>
      </c>
      <c r="E779" s="57"/>
      <c r="H779" s="18"/>
      <c r="N779" s="1" t="s">
        <v>1830</v>
      </c>
      <c r="O779" s="1">
        <v>100.0</v>
      </c>
    </row>
    <row r="780">
      <c r="D780" s="42" t="s">
        <v>1831</v>
      </c>
      <c r="E780" s="57"/>
      <c r="H780" s="18"/>
      <c r="N780" s="1" t="s">
        <v>1832</v>
      </c>
      <c r="O780" s="1">
        <v>100.0</v>
      </c>
    </row>
    <row r="781">
      <c r="D781" s="42" t="s">
        <v>1833</v>
      </c>
      <c r="E781" s="57"/>
      <c r="H781" s="18"/>
      <c r="N781" s="1" t="s">
        <v>1834</v>
      </c>
      <c r="O781" s="1">
        <v>100.0</v>
      </c>
    </row>
    <row r="783" ht="18.0" customHeight="1">
      <c r="D783" s="42" t="s">
        <v>1835</v>
      </c>
      <c r="E783" s="57"/>
      <c r="H783" s="18"/>
      <c r="N783" s="1" t="s">
        <v>1836</v>
      </c>
      <c r="O783" s="1">
        <v>100.0</v>
      </c>
    </row>
    <row r="784">
      <c r="D784" s="42" t="s">
        <v>1837</v>
      </c>
      <c r="E784" s="57"/>
      <c r="H784" s="18"/>
      <c r="N784" s="1" t="s">
        <v>1838</v>
      </c>
      <c r="O784" s="1">
        <v>100.0</v>
      </c>
    </row>
    <row r="785">
      <c r="D785" s="42" t="s">
        <v>1839</v>
      </c>
      <c r="E785" s="57"/>
      <c r="H785" s="18"/>
      <c r="N785" s="1" t="s">
        <v>1840</v>
      </c>
      <c r="O785" s="1">
        <v>100.0</v>
      </c>
    </row>
    <row r="786">
      <c r="D786" s="42" t="s">
        <v>1841</v>
      </c>
      <c r="E786" s="57"/>
      <c r="H786" s="18"/>
      <c r="N786" s="1" t="s">
        <v>1842</v>
      </c>
      <c r="O786" s="1">
        <v>100.0</v>
      </c>
    </row>
    <row r="787">
      <c r="D787" s="42" t="s">
        <v>1843</v>
      </c>
      <c r="E787" s="57"/>
      <c r="H787" s="18"/>
      <c r="N787" s="1" t="s">
        <v>1844</v>
      </c>
      <c r="O787" s="1">
        <v>100.0</v>
      </c>
    </row>
    <row r="788">
      <c r="D788" s="42" t="s">
        <v>1845</v>
      </c>
      <c r="E788" s="57"/>
      <c r="H788" s="18"/>
      <c r="N788" s="1" t="s">
        <v>1846</v>
      </c>
      <c r="O788" s="1">
        <v>100.0</v>
      </c>
    </row>
    <row r="789">
      <c r="C789" s="18"/>
      <c r="D789" s="19" t="s">
        <v>1847</v>
      </c>
      <c r="E789" s="11" t="s">
        <v>1848</v>
      </c>
      <c r="H789" s="18"/>
      <c r="N789" s="1" t="s">
        <v>1849</v>
      </c>
      <c r="O789" s="1">
        <v>150.0</v>
      </c>
    </row>
    <row r="790">
      <c r="C790" s="18"/>
      <c r="D790" s="19" t="s">
        <v>1850</v>
      </c>
      <c r="E790" s="11" t="s">
        <v>1851</v>
      </c>
      <c r="H790" s="18"/>
      <c r="N790" s="1" t="s">
        <v>1852</v>
      </c>
      <c r="O790" s="1">
        <v>150.0</v>
      </c>
    </row>
    <row r="791">
      <c r="E791" s="57"/>
      <c r="H791" s="18"/>
      <c r="N791" s="1" t="s">
        <v>1853</v>
      </c>
      <c r="O791" s="1">
        <v>100.0</v>
      </c>
    </row>
    <row r="792">
      <c r="D792" s="42" t="s">
        <v>1854</v>
      </c>
      <c r="E792" s="57"/>
      <c r="H792" s="18"/>
      <c r="N792" s="1" t="s">
        <v>1855</v>
      </c>
      <c r="O792" s="1">
        <v>100.0</v>
      </c>
    </row>
    <row r="793">
      <c r="D793" s="42" t="s">
        <v>1856</v>
      </c>
      <c r="E793" s="57"/>
      <c r="H793" s="18"/>
      <c r="N793" s="1" t="s">
        <v>1857</v>
      </c>
      <c r="O793" s="1">
        <v>100.0</v>
      </c>
    </row>
    <row r="794">
      <c r="D794" s="42" t="s">
        <v>1858</v>
      </c>
      <c r="E794" s="57"/>
      <c r="H794" s="18"/>
      <c r="N794" s="1" t="s">
        <v>1859</v>
      </c>
      <c r="O794" s="1">
        <v>100.0</v>
      </c>
    </row>
    <row r="795">
      <c r="D795" s="42" t="s">
        <v>1860</v>
      </c>
      <c r="E795" s="57"/>
      <c r="H795" s="18"/>
      <c r="N795" s="1" t="s">
        <v>1861</v>
      </c>
      <c r="O795" s="1">
        <v>100.0</v>
      </c>
    </row>
    <row r="796">
      <c r="D796" s="42" t="s">
        <v>1862</v>
      </c>
      <c r="E796" s="57"/>
      <c r="H796" s="18"/>
      <c r="N796" s="1" t="s">
        <v>1863</v>
      </c>
      <c r="O796" s="1">
        <v>100.0</v>
      </c>
    </row>
    <row r="797">
      <c r="C797" s="18"/>
      <c r="D797" s="19" t="s">
        <v>1864</v>
      </c>
      <c r="E797" s="11" t="s">
        <v>1865</v>
      </c>
      <c r="H797" s="18"/>
      <c r="N797" s="1" t="s">
        <v>1866</v>
      </c>
      <c r="O797" s="1">
        <v>150.0</v>
      </c>
    </row>
    <row r="798">
      <c r="D798" s="42" t="s">
        <v>1867</v>
      </c>
      <c r="E798" s="57"/>
      <c r="H798" s="18"/>
      <c r="N798" s="1" t="s">
        <v>1868</v>
      </c>
      <c r="O798" s="1">
        <v>100.0</v>
      </c>
    </row>
    <row r="799">
      <c r="D799" s="42" t="s">
        <v>1869</v>
      </c>
      <c r="E799" s="57"/>
      <c r="H799" s="18"/>
      <c r="N799" s="1" t="s">
        <v>1870</v>
      </c>
      <c r="O799" s="1">
        <v>100.0</v>
      </c>
    </row>
    <row r="800">
      <c r="D800" s="42" t="s">
        <v>1871</v>
      </c>
      <c r="E800" s="57"/>
      <c r="H800" s="18"/>
      <c r="N800" s="1" t="s">
        <v>1872</v>
      </c>
      <c r="O800" s="1">
        <v>100.0</v>
      </c>
    </row>
    <row r="801">
      <c r="D801" s="42" t="s">
        <v>1873</v>
      </c>
      <c r="E801" s="57"/>
      <c r="H801" s="18"/>
      <c r="N801" s="1" t="s">
        <v>1874</v>
      </c>
      <c r="O801" s="1">
        <v>100.0</v>
      </c>
    </row>
    <row r="802">
      <c r="C802" s="18"/>
      <c r="D802" s="19" t="s">
        <v>1875</v>
      </c>
      <c r="E802" s="11" t="s">
        <v>1876</v>
      </c>
      <c r="H802" s="18"/>
      <c r="N802" s="1" t="s">
        <v>1877</v>
      </c>
      <c r="O802" s="1">
        <v>150.0</v>
      </c>
    </row>
    <row r="803">
      <c r="D803" s="42" t="s">
        <v>1878</v>
      </c>
      <c r="E803" s="57"/>
      <c r="H803" s="18"/>
      <c r="N803" s="1" t="s">
        <v>1879</v>
      </c>
      <c r="O803" s="1">
        <v>100.0</v>
      </c>
    </row>
    <row r="804">
      <c r="D804" s="60" t="s">
        <v>1880</v>
      </c>
      <c r="E804" s="57"/>
      <c r="H804" s="18"/>
      <c r="N804" s="1" t="s">
        <v>1881</v>
      </c>
      <c r="O804" s="1">
        <v>100.0</v>
      </c>
    </row>
    <row r="805">
      <c r="D805" s="60" t="s">
        <v>1882</v>
      </c>
      <c r="E805" s="57"/>
      <c r="H805" s="18"/>
      <c r="N805" s="1" t="s">
        <v>1883</v>
      </c>
      <c r="O805" s="1">
        <v>100.0</v>
      </c>
    </row>
    <row r="806">
      <c r="C806" s="18"/>
      <c r="D806" s="19" t="s">
        <v>1884</v>
      </c>
      <c r="E806" s="11" t="s">
        <v>1885</v>
      </c>
      <c r="H806" s="18"/>
      <c r="N806" s="1" t="s">
        <v>1886</v>
      </c>
      <c r="O806" s="1">
        <v>150.0</v>
      </c>
    </row>
    <row r="807">
      <c r="D807" s="42" t="s">
        <v>1887</v>
      </c>
      <c r="E807" s="57"/>
      <c r="H807" s="18"/>
      <c r="N807" s="1" t="s">
        <v>1888</v>
      </c>
      <c r="O807" s="1">
        <v>100.0</v>
      </c>
    </row>
    <row r="808">
      <c r="D808" s="42" t="s">
        <v>1889</v>
      </c>
      <c r="E808" s="57"/>
      <c r="H808" s="18"/>
      <c r="N808" s="1" t="s">
        <v>1890</v>
      </c>
      <c r="O808" s="1">
        <v>100.0</v>
      </c>
    </row>
    <row r="809">
      <c r="D809" s="42" t="s">
        <v>1891</v>
      </c>
      <c r="E809" s="57"/>
      <c r="H809" s="18"/>
      <c r="N809" s="1" t="s">
        <v>1892</v>
      </c>
      <c r="O809" s="1">
        <v>100.0</v>
      </c>
    </row>
    <row r="810">
      <c r="D810" s="42" t="s">
        <v>1893</v>
      </c>
      <c r="E810" s="57"/>
      <c r="H810" s="18"/>
      <c r="N810" s="1" t="s">
        <v>1894</v>
      </c>
      <c r="O810" s="1">
        <v>100.0</v>
      </c>
    </row>
    <row r="811">
      <c r="D811" s="42" t="s">
        <v>1895</v>
      </c>
      <c r="E811" s="57"/>
      <c r="H811" s="18"/>
      <c r="N811" s="1" t="s">
        <v>1896</v>
      </c>
      <c r="O811" s="1">
        <v>100.0</v>
      </c>
    </row>
    <row r="812">
      <c r="D812" s="42" t="s">
        <v>1897</v>
      </c>
      <c r="E812" s="57"/>
      <c r="H812" s="18"/>
      <c r="N812" s="1" t="s">
        <v>1898</v>
      </c>
      <c r="O812" s="1">
        <v>100.0</v>
      </c>
    </row>
    <row r="813">
      <c r="D813" s="42" t="s">
        <v>1899</v>
      </c>
      <c r="E813" s="57"/>
      <c r="H813" s="18"/>
      <c r="N813" s="1" t="s">
        <v>1900</v>
      </c>
      <c r="O813" s="1">
        <v>100.0</v>
      </c>
    </row>
    <row r="814">
      <c r="D814" s="42" t="s">
        <v>1901</v>
      </c>
      <c r="E814" s="57"/>
      <c r="H814" s="18"/>
      <c r="N814" s="1" t="s">
        <v>1902</v>
      </c>
      <c r="O814" s="1">
        <v>100.0</v>
      </c>
    </row>
    <row r="815">
      <c r="D815" s="42" t="s">
        <v>1903</v>
      </c>
      <c r="E815" s="57"/>
      <c r="H815" s="18"/>
      <c r="N815" s="1" t="s">
        <v>1904</v>
      </c>
      <c r="O815" s="1">
        <v>100.0</v>
      </c>
    </row>
    <row r="816">
      <c r="D816" s="42" t="s">
        <v>1905</v>
      </c>
      <c r="E816" s="57"/>
      <c r="H816" s="18"/>
      <c r="N816" s="1" t="s">
        <v>1906</v>
      </c>
      <c r="O816" s="1">
        <v>100.0</v>
      </c>
    </row>
    <row r="817">
      <c r="D817" s="42" t="s">
        <v>1907</v>
      </c>
      <c r="E817" s="57"/>
      <c r="H817" s="18"/>
      <c r="N817" s="1" t="s">
        <v>1908</v>
      </c>
      <c r="O817" s="1">
        <v>100.0</v>
      </c>
    </row>
    <row r="818">
      <c r="D818" s="42" t="s">
        <v>1909</v>
      </c>
      <c r="E818" s="57"/>
      <c r="H818" s="18"/>
      <c r="N818" s="1" t="s">
        <v>1910</v>
      </c>
      <c r="O818" s="1">
        <v>100.0</v>
      </c>
    </row>
    <row r="819">
      <c r="D819" s="42" t="s">
        <v>1911</v>
      </c>
      <c r="E819" s="57"/>
      <c r="H819" s="18"/>
      <c r="N819" s="1" t="s">
        <v>1912</v>
      </c>
      <c r="O819" s="1">
        <v>100.0</v>
      </c>
    </row>
    <row r="820">
      <c r="D820" s="19" t="s">
        <v>1913</v>
      </c>
      <c r="E820" s="57"/>
      <c r="H820" s="18"/>
      <c r="N820" s="1" t="s">
        <v>1914</v>
      </c>
      <c r="O820" s="1">
        <v>100.0</v>
      </c>
    </row>
    <row r="821">
      <c r="D821" s="61" t="s">
        <v>1915</v>
      </c>
      <c r="E821" s="57"/>
      <c r="H821" s="18"/>
      <c r="N821" s="1" t="s">
        <v>1916</v>
      </c>
      <c r="O821" s="1">
        <v>100.0</v>
      </c>
    </row>
    <row r="822">
      <c r="D822" s="19" t="s">
        <v>1917</v>
      </c>
      <c r="E822" s="57"/>
      <c r="H822" s="18"/>
      <c r="N822" s="1" t="s">
        <v>1918</v>
      </c>
      <c r="O822" s="1">
        <v>100.0</v>
      </c>
    </row>
    <row r="823">
      <c r="D823" s="19" t="s">
        <v>1919</v>
      </c>
      <c r="E823" s="57"/>
      <c r="H823" s="18"/>
      <c r="N823" s="1" t="s">
        <v>1920</v>
      </c>
      <c r="O823" s="1">
        <v>100.0</v>
      </c>
    </row>
    <row r="824">
      <c r="D824" s="19" t="s">
        <v>1921</v>
      </c>
      <c r="E824" s="57"/>
      <c r="H824" s="18"/>
      <c r="N824" s="1" t="s">
        <v>1922</v>
      </c>
      <c r="O824" s="1">
        <v>100.0</v>
      </c>
    </row>
    <row r="825">
      <c r="D825" s="19" t="s">
        <v>1923</v>
      </c>
      <c r="E825" s="57"/>
      <c r="H825" s="18"/>
      <c r="N825" s="1" t="s">
        <v>1924</v>
      </c>
      <c r="O825" s="1">
        <v>100.0</v>
      </c>
    </row>
    <row r="826">
      <c r="E826" s="57"/>
      <c r="H826" s="18"/>
      <c r="N826" s="1" t="s">
        <v>1925</v>
      </c>
      <c r="O826" s="1">
        <v>100.0</v>
      </c>
    </row>
    <row r="827">
      <c r="E827" s="57"/>
      <c r="H827" s="18"/>
      <c r="N827" s="1" t="s">
        <v>1926</v>
      </c>
      <c r="O827" s="1">
        <v>100.0</v>
      </c>
    </row>
    <row r="828">
      <c r="E828" s="57"/>
      <c r="H828" s="18"/>
      <c r="N828" s="1" t="s">
        <v>1927</v>
      </c>
      <c r="O828" s="1">
        <v>100.0</v>
      </c>
    </row>
    <row r="829">
      <c r="E829" s="57"/>
      <c r="H829" s="18"/>
      <c r="N829" s="1" t="s">
        <v>1928</v>
      </c>
      <c r="O829" s="1">
        <v>100.0</v>
      </c>
    </row>
    <row r="830">
      <c r="E830" s="57"/>
      <c r="H830" s="18"/>
      <c r="N830" s="1" t="s">
        <v>1929</v>
      </c>
      <c r="O830" s="1">
        <v>100.0</v>
      </c>
    </row>
    <row r="831">
      <c r="E831" s="57"/>
      <c r="H831" s="18"/>
      <c r="N831" s="1" t="s">
        <v>1930</v>
      </c>
      <c r="O831" s="1">
        <v>100.0</v>
      </c>
    </row>
    <row r="832">
      <c r="E832" s="57"/>
      <c r="H832" s="18"/>
      <c r="N832" s="1" t="s">
        <v>1931</v>
      </c>
      <c r="O832" s="1">
        <v>100.0</v>
      </c>
    </row>
    <row r="833">
      <c r="E833" s="57"/>
      <c r="H833" s="18"/>
      <c r="N833" s="1" t="s">
        <v>1932</v>
      </c>
      <c r="O833" s="1">
        <v>100.0</v>
      </c>
    </row>
    <row r="834">
      <c r="E834" s="57"/>
      <c r="H834" s="18"/>
      <c r="N834" s="1" t="s">
        <v>1933</v>
      </c>
      <c r="O834" s="1">
        <v>100.0</v>
      </c>
    </row>
    <row r="835">
      <c r="E835" s="57"/>
      <c r="H835" s="18"/>
      <c r="N835" s="1" t="s">
        <v>1934</v>
      </c>
      <c r="O835" s="1">
        <v>100.0</v>
      </c>
    </row>
    <row r="836">
      <c r="E836" s="57"/>
      <c r="H836" s="18"/>
      <c r="N836" s="1" t="s">
        <v>1935</v>
      </c>
      <c r="O836" s="1">
        <v>100.0</v>
      </c>
    </row>
    <row r="837">
      <c r="E837" s="57"/>
      <c r="H837" s="18"/>
      <c r="N837" s="1" t="s">
        <v>1936</v>
      </c>
      <c r="O837" s="1">
        <v>100.0</v>
      </c>
    </row>
    <row r="838">
      <c r="E838" s="57"/>
      <c r="H838" s="18"/>
      <c r="N838" s="1" t="s">
        <v>1937</v>
      </c>
      <c r="O838" s="1">
        <v>100.0</v>
      </c>
    </row>
    <row r="839">
      <c r="E839" s="57"/>
      <c r="H839" s="18"/>
      <c r="N839" s="1" t="s">
        <v>1938</v>
      </c>
      <c r="O839" s="1">
        <v>100.0</v>
      </c>
    </row>
    <row r="840">
      <c r="E840" s="57"/>
      <c r="H840" s="18"/>
      <c r="N840" s="1" t="s">
        <v>1939</v>
      </c>
      <c r="O840" s="1">
        <v>100.0</v>
      </c>
    </row>
    <row r="841">
      <c r="E841" s="57"/>
      <c r="H841" s="18"/>
      <c r="N841" s="1" t="s">
        <v>1940</v>
      </c>
      <c r="O841" s="1">
        <v>100.0</v>
      </c>
    </row>
    <row r="842">
      <c r="E842" s="57"/>
      <c r="H842" s="18"/>
      <c r="N842" s="1" t="s">
        <v>1941</v>
      </c>
      <c r="O842" s="1">
        <v>100.0</v>
      </c>
    </row>
    <row r="843">
      <c r="E843" s="57"/>
      <c r="H843" s="18"/>
      <c r="N843" s="1" t="s">
        <v>1942</v>
      </c>
      <c r="O843" s="1">
        <v>100.0</v>
      </c>
    </row>
    <row r="844">
      <c r="E844" s="57"/>
      <c r="H844" s="18"/>
      <c r="N844" s="1" t="s">
        <v>1943</v>
      </c>
      <c r="O844" s="1">
        <v>100.0</v>
      </c>
    </row>
    <row r="845">
      <c r="A845" s="13"/>
      <c r="B845" s="14"/>
      <c r="C845" s="53"/>
      <c r="D845" s="17"/>
      <c r="E845" s="13"/>
      <c r="F845" s="13"/>
      <c r="G845" s="13"/>
      <c r="H845" s="15"/>
      <c r="I845" s="13"/>
      <c r="J845" s="13"/>
      <c r="K845" s="13"/>
      <c r="N845" s="1" t="s">
        <v>1944</v>
      </c>
      <c r="O845" s="1">
        <v>90.0</v>
      </c>
    </row>
    <row r="846">
      <c r="C846" s="53"/>
      <c r="D846" s="17"/>
      <c r="E846" s="13"/>
      <c r="F846" s="13"/>
      <c r="G846" s="13"/>
      <c r="H846" s="15"/>
      <c r="I846" s="13"/>
      <c r="J846" s="13"/>
      <c r="K846" s="13"/>
      <c r="N846" s="1"/>
      <c r="O846" s="1"/>
    </row>
    <row r="847">
      <c r="A847" s="13"/>
      <c r="B847" s="14"/>
      <c r="C847" s="53"/>
      <c r="D847" s="16"/>
      <c r="E847" s="13"/>
      <c r="F847" s="13"/>
      <c r="G847" s="13"/>
      <c r="H847" s="15"/>
      <c r="I847" s="13"/>
      <c r="J847" s="13"/>
      <c r="K847" s="13"/>
      <c r="N847" s="1" t="s">
        <v>1945</v>
      </c>
      <c r="O847" s="1">
        <v>90.0</v>
      </c>
    </row>
    <row r="848">
      <c r="A848" s="13"/>
      <c r="B848" s="14"/>
      <c r="C848" s="53"/>
      <c r="D848" s="10"/>
      <c r="E848" s="13"/>
      <c r="F848" s="13"/>
      <c r="G848" s="13"/>
      <c r="H848" s="15"/>
      <c r="I848" s="13"/>
      <c r="J848" s="13"/>
      <c r="K848" s="13"/>
      <c r="N848" s="1" t="s">
        <v>1946</v>
      </c>
      <c r="O848" s="1">
        <v>70.0</v>
      </c>
    </row>
    <row r="849">
      <c r="A849" s="13"/>
      <c r="B849" s="14"/>
      <c r="C849" s="53"/>
      <c r="D849" s="10"/>
      <c r="E849" s="13"/>
      <c r="F849" s="13"/>
      <c r="G849" s="13"/>
      <c r="H849" s="15"/>
      <c r="I849" s="13"/>
      <c r="J849" s="13"/>
      <c r="K849" s="13"/>
      <c r="N849" s="1" t="s">
        <v>1947</v>
      </c>
      <c r="O849" s="1">
        <v>70.0</v>
      </c>
    </row>
    <row r="850">
      <c r="A850" s="13"/>
      <c r="B850" s="14"/>
      <c r="C850" s="53"/>
      <c r="D850" s="10"/>
      <c r="E850" s="13"/>
      <c r="F850" s="13"/>
      <c r="G850" s="13"/>
      <c r="H850" s="15"/>
      <c r="I850" s="13"/>
      <c r="J850" s="13"/>
      <c r="K850" s="13"/>
      <c r="N850" s="1" t="s">
        <v>1948</v>
      </c>
      <c r="O850" s="1">
        <v>70.0</v>
      </c>
    </row>
    <row r="851">
      <c r="A851" s="13"/>
      <c r="B851" s="14"/>
      <c r="C851" s="53"/>
      <c r="D851" s="10"/>
      <c r="E851" s="13"/>
      <c r="F851" s="13"/>
      <c r="G851" s="13"/>
      <c r="H851" s="15"/>
      <c r="I851" s="13"/>
      <c r="J851" s="13"/>
      <c r="K851" s="13"/>
      <c r="N851" s="1" t="s">
        <v>1949</v>
      </c>
      <c r="O851" s="1">
        <v>70.0</v>
      </c>
    </row>
    <row r="852">
      <c r="A852" s="13"/>
      <c r="B852" s="14"/>
      <c r="C852" s="53"/>
      <c r="D852" s="10"/>
      <c r="E852" s="13"/>
      <c r="F852" s="13"/>
      <c r="G852" s="13"/>
      <c r="H852" s="15"/>
      <c r="I852" s="13"/>
      <c r="J852" s="13"/>
      <c r="K852" s="13"/>
      <c r="N852" s="1" t="s">
        <v>1950</v>
      </c>
      <c r="O852" s="1">
        <v>70.0</v>
      </c>
    </row>
    <row r="853">
      <c r="A853" s="13"/>
      <c r="B853" s="14"/>
      <c r="C853" s="53"/>
      <c r="D853" s="10"/>
      <c r="E853" s="13"/>
      <c r="F853" s="13"/>
      <c r="G853" s="13"/>
      <c r="H853" s="15"/>
      <c r="I853" s="13"/>
      <c r="J853" s="13"/>
      <c r="K853" s="13"/>
      <c r="N853" s="1" t="s">
        <v>1951</v>
      </c>
      <c r="O853" s="1">
        <v>70.0</v>
      </c>
    </row>
    <row r="854">
      <c r="A854" s="13"/>
      <c r="B854" s="14"/>
      <c r="C854" s="53"/>
      <c r="D854" s="10"/>
      <c r="E854" s="13"/>
      <c r="F854" s="13"/>
      <c r="G854" s="13"/>
      <c r="H854" s="15"/>
      <c r="I854" s="13"/>
      <c r="J854" s="13"/>
      <c r="K854" s="13"/>
      <c r="N854" s="1" t="s">
        <v>1952</v>
      </c>
      <c r="O854" s="1">
        <v>70.0</v>
      </c>
    </row>
    <row r="855">
      <c r="A855" s="13"/>
      <c r="B855" s="14"/>
      <c r="C855" s="53"/>
      <c r="D855" s="10"/>
      <c r="E855" s="13"/>
      <c r="F855" s="13"/>
      <c r="G855" s="13"/>
      <c r="H855" s="15"/>
      <c r="I855" s="13"/>
      <c r="J855" s="13"/>
      <c r="K855" s="13"/>
      <c r="N855" s="1" t="s">
        <v>1953</v>
      </c>
      <c r="O855" s="1">
        <v>70.0</v>
      </c>
    </row>
    <row r="856">
      <c r="A856" s="13"/>
      <c r="B856" s="14"/>
      <c r="C856" s="53"/>
      <c r="D856" s="10"/>
      <c r="E856" s="13"/>
      <c r="F856" s="13"/>
      <c r="G856" s="13"/>
      <c r="H856" s="15"/>
      <c r="I856" s="13"/>
      <c r="J856" s="13"/>
      <c r="K856" s="13"/>
      <c r="N856" s="1" t="s">
        <v>1954</v>
      </c>
      <c r="O856" s="1">
        <v>70.0</v>
      </c>
    </row>
    <row r="857">
      <c r="A857" s="13"/>
      <c r="B857" s="14"/>
      <c r="C857" s="53"/>
      <c r="D857" s="10"/>
      <c r="E857" s="13"/>
      <c r="F857" s="13"/>
      <c r="G857" s="13"/>
      <c r="H857" s="15"/>
      <c r="I857" s="13"/>
      <c r="J857" s="13"/>
      <c r="K857" s="13"/>
      <c r="N857" s="1" t="s">
        <v>1955</v>
      </c>
      <c r="O857" s="1">
        <v>70.0</v>
      </c>
    </row>
    <row r="858">
      <c r="A858" s="13"/>
      <c r="B858" s="14"/>
      <c r="C858" s="53"/>
      <c r="D858" s="10"/>
      <c r="E858" s="13"/>
      <c r="F858" s="13"/>
      <c r="G858" s="13"/>
      <c r="H858" s="15"/>
      <c r="I858" s="13"/>
      <c r="J858" s="13"/>
      <c r="K858" s="13"/>
      <c r="N858" s="1" t="s">
        <v>1956</v>
      </c>
      <c r="O858" s="1">
        <v>70.0</v>
      </c>
    </row>
    <row r="859">
      <c r="A859" s="13"/>
      <c r="B859" s="14"/>
      <c r="C859" s="53"/>
      <c r="D859" s="10"/>
      <c r="E859" s="13"/>
      <c r="F859" s="13"/>
      <c r="G859" s="13"/>
      <c r="H859" s="15"/>
      <c r="I859" s="13"/>
      <c r="J859" s="13"/>
      <c r="K859" s="13"/>
      <c r="N859" s="1" t="s">
        <v>1957</v>
      </c>
      <c r="O859" s="1">
        <v>70.0</v>
      </c>
    </row>
    <row r="860">
      <c r="A860" s="13"/>
      <c r="B860" s="14"/>
      <c r="C860" s="53"/>
      <c r="D860" s="10"/>
      <c r="E860" s="13"/>
      <c r="F860" s="13"/>
      <c r="G860" s="13"/>
      <c r="H860" s="15"/>
      <c r="I860" s="13"/>
      <c r="J860" s="13"/>
      <c r="K860" s="13"/>
      <c r="N860" s="1" t="s">
        <v>1958</v>
      </c>
      <c r="O860" s="1">
        <v>70.0</v>
      </c>
    </row>
    <row r="861">
      <c r="A861" s="13"/>
      <c r="B861" s="14"/>
      <c r="C861" s="53"/>
      <c r="D861" s="10"/>
      <c r="E861" s="13"/>
      <c r="F861" s="13"/>
      <c r="G861" s="13"/>
      <c r="H861" s="15"/>
      <c r="I861" s="13"/>
      <c r="J861" s="13"/>
      <c r="K861" s="13"/>
      <c r="N861" s="1" t="s">
        <v>1959</v>
      </c>
      <c r="O861" s="1">
        <v>70.0</v>
      </c>
    </row>
    <row r="862">
      <c r="A862" s="13"/>
      <c r="B862" s="14"/>
      <c r="C862" s="53"/>
      <c r="D862" s="10"/>
      <c r="E862" s="13"/>
      <c r="F862" s="13"/>
      <c r="G862" s="13"/>
      <c r="H862" s="15"/>
      <c r="I862" s="13"/>
      <c r="J862" s="13"/>
      <c r="K862" s="13"/>
      <c r="N862" s="1" t="s">
        <v>1960</v>
      </c>
      <c r="O862" s="1">
        <v>70.0</v>
      </c>
    </row>
    <row r="863">
      <c r="A863" s="13"/>
      <c r="B863" s="14"/>
      <c r="C863" s="53"/>
      <c r="D863" s="10"/>
      <c r="E863" s="13"/>
      <c r="F863" s="13"/>
      <c r="G863" s="13"/>
      <c r="H863" s="15"/>
      <c r="I863" s="13"/>
      <c r="J863" s="13"/>
      <c r="K863" s="13"/>
      <c r="N863" s="1" t="s">
        <v>1961</v>
      </c>
      <c r="O863" s="1">
        <v>70.0</v>
      </c>
    </row>
    <row r="864">
      <c r="A864" s="13"/>
      <c r="B864" s="14"/>
      <c r="C864" s="53"/>
      <c r="D864" s="10"/>
      <c r="E864" s="13"/>
      <c r="F864" s="13"/>
      <c r="G864" s="13"/>
      <c r="H864" s="15"/>
      <c r="I864" s="13"/>
      <c r="J864" s="13"/>
      <c r="K864" s="13"/>
      <c r="N864" s="1" t="s">
        <v>1962</v>
      </c>
      <c r="O864" s="1">
        <v>70.0</v>
      </c>
    </row>
    <row r="865">
      <c r="A865" s="13"/>
      <c r="B865" s="14"/>
      <c r="C865" s="53"/>
      <c r="D865" s="10"/>
      <c r="E865" s="13"/>
      <c r="F865" s="13"/>
      <c r="G865" s="13"/>
      <c r="H865" s="15"/>
      <c r="I865" s="13"/>
      <c r="J865" s="13"/>
      <c r="K865" s="13"/>
      <c r="N865" s="1" t="s">
        <v>1963</v>
      </c>
      <c r="O865" s="1">
        <v>70.0</v>
      </c>
    </row>
    <row r="866">
      <c r="A866" s="13"/>
      <c r="B866" s="14"/>
      <c r="C866" s="53"/>
      <c r="D866" s="10"/>
      <c r="E866" s="13"/>
      <c r="F866" s="13"/>
      <c r="G866" s="13"/>
      <c r="H866" s="15"/>
      <c r="I866" s="13"/>
      <c r="J866" s="13"/>
      <c r="K866" s="13"/>
      <c r="N866" s="1" t="s">
        <v>1964</v>
      </c>
      <c r="O866" s="1">
        <v>70.0</v>
      </c>
    </row>
    <row r="867">
      <c r="A867" s="13"/>
      <c r="B867" s="14"/>
      <c r="C867" s="53"/>
      <c r="D867" s="10"/>
      <c r="E867" s="13"/>
      <c r="F867" s="13"/>
      <c r="G867" s="13"/>
      <c r="H867" s="15"/>
      <c r="I867" s="13"/>
      <c r="J867" s="13"/>
      <c r="K867" s="13"/>
      <c r="N867" s="1" t="s">
        <v>1965</v>
      </c>
      <c r="O867" s="1">
        <v>70.0</v>
      </c>
    </row>
    <row r="868">
      <c r="A868" s="13"/>
      <c r="B868" s="14"/>
      <c r="C868" s="53"/>
      <c r="D868" s="10"/>
      <c r="E868" s="13"/>
      <c r="F868" s="13"/>
      <c r="G868" s="13"/>
      <c r="H868" s="15"/>
      <c r="I868" s="13"/>
      <c r="J868" s="13"/>
      <c r="K868" s="13"/>
      <c r="N868" s="1" t="s">
        <v>1966</v>
      </c>
      <c r="O868" s="1">
        <v>70.0</v>
      </c>
    </row>
    <row r="869">
      <c r="A869" s="13"/>
      <c r="B869" s="14"/>
      <c r="C869" s="53"/>
      <c r="D869" s="10"/>
      <c r="E869" s="13"/>
      <c r="F869" s="13"/>
      <c r="G869" s="13"/>
      <c r="H869" s="15"/>
      <c r="I869" s="13"/>
      <c r="J869" s="13"/>
      <c r="K869" s="13"/>
      <c r="N869" s="1" t="s">
        <v>1967</v>
      </c>
      <c r="O869" s="1">
        <v>70.0</v>
      </c>
    </row>
    <row r="870">
      <c r="A870" s="13"/>
      <c r="B870" s="14"/>
      <c r="C870" s="53"/>
      <c r="D870" s="10"/>
      <c r="E870" s="13"/>
      <c r="F870" s="13"/>
      <c r="G870" s="13"/>
      <c r="H870" s="15"/>
      <c r="I870" s="13"/>
      <c r="J870" s="13"/>
      <c r="K870" s="13"/>
      <c r="N870" s="1" t="s">
        <v>1968</v>
      </c>
      <c r="O870" s="1">
        <v>70.0</v>
      </c>
    </row>
    <row r="871">
      <c r="A871" s="13"/>
      <c r="B871" s="14"/>
      <c r="C871" s="53"/>
      <c r="D871" s="10"/>
      <c r="E871" s="13"/>
      <c r="F871" s="13"/>
      <c r="G871" s="13"/>
      <c r="H871" s="15"/>
      <c r="I871" s="13"/>
      <c r="J871" s="13"/>
      <c r="K871" s="13"/>
      <c r="N871" s="1" t="s">
        <v>1969</v>
      </c>
      <c r="O871" s="1">
        <v>70.0</v>
      </c>
    </row>
    <row r="872">
      <c r="A872" s="13"/>
      <c r="B872" s="14"/>
      <c r="C872" s="53"/>
      <c r="D872" s="10"/>
      <c r="E872" s="13"/>
      <c r="F872" s="13"/>
      <c r="G872" s="13"/>
      <c r="H872" s="15"/>
      <c r="I872" s="13"/>
      <c r="J872" s="13"/>
      <c r="K872" s="13"/>
      <c r="N872" s="1" t="s">
        <v>1970</v>
      </c>
      <c r="O872" s="1">
        <v>70.0</v>
      </c>
    </row>
    <row r="873">
      <c r="A873" s="13"/>
      <c r="B873" s="14"/>
      <c r="C873" s="53"/>
      <c r="D873" s="10"/>
      <c r="E873" s="13"/>
      <c r="F873" s="13"/>
      <c r="G873" s="13"/>
      <c r="H873" s="15"/>
      <c r="I873" s="13"/>
      <c r="J873" s="13"/>
      <c r="K873" s="13"/>
      <c r="N873" s="1" t="s">
        <v>1971</v>
      </c>
      <c r="O873" s="1">
        <v>70.0</v>
      </c>
    </row>
    <row r="874">
      <c r="A874" s="13"/>
      <c r="B874" s="14"/>
      <c r="C874" s="53"/>
      <c r="D874" s="10"/>
      <c r="E874" s="13"/>
      <c r="F874" s="13"/>
      <c r="G874" s="13"/>
      <c r="H874" s="15"/>
      <c r="I874" s="13"/>
      <c r="J874" s="13"/>
      <c r="K874" s="13"/>
      <c r="N874" s="1" t="s">
        <v>1972</v>
      </c>
      <c r="O874" s="1">
        <v>70.0</v>
      </c>
    </row>
    <row r="875">
      <c r="A875" s="13"/>
      <c r="B875" s="14"/>
      <c r="C875" s="53"/>
      <c r="D875" s="10"/>
      <c r="E875" s="13"/>
      <c r="F875" s="13"/>
      <c r="G875" s="13"/>
      <c r="H875" s="15"/>
      <c r="I875" s="13"/>
      <c r="J875" s="13"/>
      <c r="K875" s="13"/>
      <c r="N875" s="1" t="s">
        <v>1973</v>
      </c>
      <c r="O875" s="1">
        <v>70.0</v>
      </c>
    </row>
    <row r="876">
      <c r="A876" s="13"/>
      <c r="B876" s="14"/>
      <c r="C876" s="53"/>
      <c r="D876" s="10"/>
      <c r="E876" s="13"/>
      <c r="F876" s="13"/>
      <c r="G876" s="13"/>
      <c r="H876" s="15"/>
      <c r="I876" s="13"/>
      <c r="J876" s="13"/>
      <c r="K876" s="13"/>
      <c r="N876" s="1" t="s">
        <v>1974</v>
      </c>
      <c r="O876" s="1">
        <v>70.0</v>
      </c>
    </row>
    <row r="877">
      <c r="A877" s="13"/>
      <c r="B877" s="14"/>
      <c r="C877" s="53"/>
      <c r="D877" s="10"/>
      <c r="E877" s="13"/>
      <c r="F877" s="13"/>
      <c r="G877" s="13"/>
      <c r="H877" s="15"/>
      <c r="I877" s="13"/>
      <c r="J877" s="13"/>
      <c r="K877" s="13"/>
      <c r="N877" s="1" t="s">
        <v>1975</v>
      </c>
      <c r="O877" s="1">
        <v>70.0</v>
      </c>
    </row>
    <row r="878">
      <c r="A878" s="13"/>
      <c r="B878" s="14"/>
      <c r="C878" s="53"/>
      <c r="D878" s="10"/>
      <c r="E878" s="13"/>
      <c r="F878" s="13"/>
      <c r="G878" s="13"/>
      <c r="H878" s="15"/>
      <c r="I878" s="13"/>
      <c r="J878" s="13"/>
      <c r="K878" s="13"/>
      <c r="N878" s="1" t="s">
        <v>1976</v>
      </c>
      <c r="O878" s="1">
        <v>70.0</v>
      </c>
    </row>
    <row r="879">
      <c r="A879" s="13"/>
      <c r="B879" s="14"/>
      <c r="C879" s="53"/>
      <c r="D879" s="10"/>
      <c r="E879" s="13"/>
      <c r="F879" s="13"/>
      <c r="G879" s="13"/>
      <c r="H879" s="15"/>
      <c r="I879" s="13"/>
      <c r="J879" s="13"/>
      <c r="K879" s="13"/>
      <c r="N879" s="1" t="s">
        <v>1977</v>
      </c>
      <c r="O879" s="1">
        <v>70.0</v>
      </c>
    </row>
    <row r="880">
      <c r="A880" s="13"/>
      <c r="B880" s="14"/>
      <c r="C880" s="53"/>
      <c r="D880" s="10"/>
      <c r="E880" s="13"/>
      <c r="F880" s="13"/>
      <c r="G880" s="13"/>
      <c r="H880" s="15"/>
      <c r="I880" s="13"/>
      <c r="J880" s="13"/>
      <c r="K880" s="13"/>
      <c r="N880" s="1" t="s">
        <v>1978</v>
      </c>
      <c r="O880" s="1">
        <v>70.0</v>
      </c>
    </row>
    <row r="881">
      <c r="A881" s="13"/>
      <c r="B881" s="14"/>
      <c r="C881" s="53"/>
      <c r="D881" s="10"/>
      <c r="E881" s="13"/>
      <c r="F881" s="13"/>
      <c r="G881" s="13"/>
      <c r="H881" s="15"/>
      <c r="I881" s="13"/>
      <c r="J881" s="13"/>
      <c r="K881" s="13"/>
      <c r="N881" s="1" t="s">
        <v>1979</v>
      </c>
      <c r="O881" s="1">
        <v>70.0</v>
      </c>
    </row>
    <row r="882">
      <c r="A882" s="13"/>
      <c r="B882" s="14"/>
      <c r="C882" s="53"/>
      <c r="D882" s="10"/>
      <c r="E882" s="13"/>
      <c r="F882" s="13"/>
      <c r="G882" s="13"/>
      <c r="H882" s="15"/>
      <c r="I882" s="13"/>
      <c r="J882" s="13"/>
      <c r="K882" s="13"/>
      <c r="N882" s="1" t="s">
        <v>1980</v>
      </c>
      <c r="O882" s="1">
        <v>70.0</v>
      </c>
    </row>
    <row r="883">
      <c r="A883" s="13"/>
      <c r="B883" s="14"/>
      <c r="C883" s="53"/>
      <c r="D883" s="10"/>
      <c r="E883" s="13"/>
      <c r="F883" s="13"/>
      <c r="G883" s="13"/>
      <c r="H883" s="15"/>
      <c r="I883" s="13"/>
      <c r="J883" s="13"/>
      <c r="K883" s="13"/>
      <c r="N883" s="1" t="s">
        <v>1981</v>
      </c>
      <c r="O883" s="1">
        <v>70.0</v>
      </c>
    </row>
    <row r="884">
      <c r="A884" s="13"/>
      <c r="B884" s="14"/>
      <c r="C884" s="53"/>
      <c r="D884" s="10"/>
      <c r="E884" s="13"/>
      <c r="F884" s="13"/>
      <c r="G884" s="13"/>
      <c r="H884" s="15"/>
      <c r="I884" s="13"/>
      <c r="J884" s="13"/>
      <c r="K884" s="13"/>
      <c r="N884" s="1" t="s">
        <v>1982</v>
      </c>
      <c r="O884" s="1">
        <v>70.0</v>
      </c>
    </row>
    <row r="885">
      <c r="A885" s="13"/>
      <c r="B885" s="14"/>
      <c r="C885" s="53"/>
      <c r="D885" s="10"/>
      <c r="E885" s="13"/>
      <c r="F885" s="13"/>
      <c r="G885" s="13"/>
      <c r="H885" s="15"/>
      <c r="I885" s="13"/>
      <c r="J885" s="13"/>
      <c r="K885" s="13"/>
      <c r="N885" s="1" t="s">
        <v>1983</v>
      </c>
      <c r="O885" s="1">
        <v>70.0</v>
      </c>
    </row>
    <row r="886">
      <c r="A886" s="13"/>
      <c r="B886" s="14"/>
      <c r="C886" s="53"/>
      <c r="D886" s="10"/>
      <c r="E886" s="13"/>
      <c r="F886" s="13"/>
      <c r="G886" s="13"/>
      <c r="H886" s="15"/>
      <c r="I886" s="13"/>
      <c r="J886" s="13"/>
      <c r="K886" s="13"/>
      <c r="N886" s="1" t="s">
        <v>1984</v>
      </c>
      <c r="O886" s="1">
        <v>70.0</v>
      </c>
    </row>
    <row r="887">
      <c r="A887" s="13"/>
      <c r="B887" s="14"/>
      <c r="C887" s="53"/>
      <c r="D887" s="10"/>
      <c r="E887" s="13"/>
      <c r="F887" s="13"/>
      <c r="G887" s="13"/>
      <c r="H887" s="15"/>
      <c r="I887" s="13"/>
      <c r="J887" s="13"/>
      <c r="K887" s="13"/>
      <c r="N887" s="1" t="s">
        <v>1985</v>
      </c>
      <c r="O887" s="1">
        <v>70.0</v>
      </c>
    </row>
    <row r="888">
      <c r="A888" s="13"/>
      <c r="B888" s="14"/>
      <c r="C888" s="53"/>
      <c r="D888" s="10"/>
      <c r="E888" s="13"/>
      <c r="F888" s="13"/>
      <c r="G888" s="13"/>
      <c r="H888" s="15"/>
      <c r="I888" s="13"/>
      <c r="J888" s="13"/>
      <c r="K888" s="13"/>
      <c r="N888" s="1" t="s">
        <v>1986</v>
      </c>
      <c r="O888" s="1">
        <v>70.0</v>
      </c>
    </row>
    <row r="889">
      <c r="A889" s="13"/>
      <c r="B889" s="14"/>
      <c r="C889" s="53"/>
      <c r="D889" s="10"/>
      <c r="E889" s="13"/>
      <c r="F889" s="13"/>
      <c r="G889" s="13"/>
      <c r="H889" s="15"/>
      <c r="I889" s="13"/>
      <c r="J889" s="13"/>
      <c r="K889" s="13"/>
      <c r="N889" s="1" t="s">
        <v>1987</v>
      </c>
      <c r="O889" s="1">
        <v>70.0</v>
      </c>
    </row>
    <row r="890">
      <c r="A890" s="13"/>
      <c r="B890" s="14"/>
      <c r="C890" s="53"/>
      <c r="F890" s="13"/>
      <c r="G890" s="13"/>
      <c r="H890" s="15"/>
      <c r="I890" s="13"/>
      <c r="J890" s="13"/>
      <c r="K890" s="13"/>
      <c r="N890" s="1" t="s">
        <v>1988</v>
      </c>
      <c r="O890" s="1">
        <v>60.0</v>
      </c>
    </row>
    <row r="891">
      <c r="A891" s="13"/>
      <c r="B891" s="14"/>
      <c r="C891" s="53"/>
      <c r="D891" s="17"/>
      <c r="E891" s="13"/>
      <c r="F891" s="13"/>
      <c r="G891" s="13"/>
      <c r="H891" s="15"/>
      <c r="I891" s="13"/>
      <c r="J891" s="13"/>
      <c r="K891" s="13"/>
      <c r="N891" s="1" t="s">
        <v>1989</v>
      </c>
      <c r="O891" s="1">
        <v>60.0</v>
      </c>
    </row>
    <row r="892">
      <c r="D892" s="21" t="s">
        <v>1990</v>
      </c>
      <c r="E892" s="57"/>
      <c r="H892" s="18"/>
      <c r="N892" s="1" t="s">
        <v>1991</v>
      </c>
      <c r="O892" s="1">
        <v>60.0</v>
      </c>
    </row>
    <row r="893">
      <c r="E893" s="57"/>
      <c r="H893" s="62"/>
      <c r="N893" s="1" t="s">
        <v>1992</v>
      </c>
      <c r="O893" s="1">
        <v>60.0</v>
      </c>
    </row>
    <row r="894">
      <c r="D894" s="30" t="s">
        <v>1993</v>
      </c>
      <c r="E894" s="57"/>
      <c r="H894" s="18"/>
      <c r="N894" s="1" t="s">
        <v>1994</v>
      </c>
      <c r="O894" s="1">
        <v>60.0</v>
      </c>
    </row>
    <row r="895">
      <c r="E895" s="57"/>
      <c r="H895" s="63"/>
      <c r="N895" s="1" t="s">
        <v>1995</v>
      </c>
      <c r="O895" s="1">
        <v>60.0</v>
      </c>
    </row>
    <row r="896">
      <c r="D896" s="19"/>
      <c r="E896" s="57"/>
      <c r="H896" s="18"/>
      <c r="N896" s="1" t="s">
        <v>1996</v>
      </c>
      <c r="O896" s="1">
        <v>60.0</v>
      </c>
    </row>
    <row r="897">
      <c r="D897" s="19"/>
      <c r="E897" s="57"/>
      <c r="H897" s="18"/>
      <c r="N897" s="1" t="s">
        <v>1997</v>
      </c>
      <c r="O897" s="1">
        <v>60.0</v>
      </c>
    </row>
    <row r="898">
      <c r="E898" s="57"/>
      <c r="H898" s="64"/>
      <c r="N898" s="1" t="s">
        <v>1998</v>
      </c>
      <c r="O898" s="1">
        <v>60.0</v>
      </c>
    </row>
    <row r="899">
      <c r="D899" s="30" t="s">
        <v>1999</v>
      </c>
      <c r="E899" s="57"/>
      <c r="H899" s="18"/>
      <c r="N899" s="1" t="s">
        <v>2000</v>
      </c>
      <c r="O899" s="1">
        <v>60.0</v>
      </c>
    </row>
    <row r="900">
      <c r="E900" s="57"/>
      <c r="H900" s="65"/>
      <c r="N900" s="1" t="s">
        <v>2001</v>
      </c>
      <c r="O900" s="1">
        <v>60.0</v>
      </c>
    </row>
    <row r="901">
      <c r="D901" s="30" t="s">
        <v>335</v>
      </c>
      <c r="E901" s="57"/>
      <c r="H901" s="18"/>
      <c r="N901" s="1" t="s">
        <v>2002</v>
      </c>
      <c r="O901" s="1">
        <v>60.0</v>
      </c>
    </row>
    <row r="902">
      <c r="E902" s="57"/>
      <c r="H902" s="64"/>
      <c r="N902" s="1" t="s">
        <v>2003</v>
      </c>
      <c r="O902" s="1">
        <v>60.0</v>
      </c>
    </row>
    <row r="903">
      <c r="D903" s="16"/>
      <c r="E903" s="11"/>
      <c r="H903" s="18"/>
      <c r="N903" s="1" t="s">
        <v>2004</v>
      </c>
      <c r="O903" s="1">
        <v>60.0</v>
      </c>
    </row>
    <row r="904">
      <c r="D904" s="66" t="s">
        <v>2005</v>
      </c>
      <c r="E904" s="57"/>
      <c r="N904" s="1" t="s">
        <v>2006</v>
      </c>
      <c r="O904" s="1">
        <v>60.0</v>
      </c>
    </row>
    <row r="905">
      <c r="D905" s="16"/>
      <c r="E905" s="11"/>
      <c r="H905" s="18"/>
      <c r="N905" s="1" t="s">
        <v>2007</v>
      </c>
      <c r="O905" s="1">
        <v>60.0</v>
      </c>
    </row>
    <row r="906">
      <c r="D906" s="47"/>
      <c r="E906" s="11"/>
      <c r="F906" s="1"/>
      <c r="H906" s="18"/>
      <c r="N906" s="1"/>
      <c r="O906" s="1"/>
    </row>
    <row r="907">
      <c r="D907" s="16"/>
      <c r="E907" s="11"/>
      <c r="H907" s="18"/>
      <c r="N907" s="1" t="s">
        <v>2008</v>
      </c>
      <c r="O907" s="1">
        <v>50.0</v>
      </c>
    </row>
    <row r="908">
      <c r="D908" s="16"/>
      <c r="E908" s="11"/>
      <c r="H908" s="18"/>
      <c r="N908" s="1" t="s">
        <v>2009</v>
      </c>
      <c r="O908" s="1">
        <v>50.0</v>
      </c>
    </row>
    <row r="909">
      <c r="D909" s="16"/>
      <c r="E909" s="11"/>
      <c r="H909" s="18"/>
      <c r="N909" s="1" t="s">
        <v>2010</v>
      </c>
      <c r="O909" s="1">
        <v>50.0</v>
      </c>
    </row>
    <row r="910">
      <c r="D910" s="67"/>
      <c r="E910" s="11"/>
      <c r="H910" s="18"/>
      <c r="N910" s="1" t="s">
        <v>2011</v>
      </c>
      <c r="O910" s="1">
        <v>50.0</v>
      </c>
    </row>
    <row r="911">
      <c r="D911" s="67"/>
      <c r="E911" s="11"/>
      <c r="H911" s="18"/>
      <c r="N911" s="1" t="s">
        <v>2012</v>
      </c>
      <c r="O911" s="1">
        <v>50.0</v>
      </c>
    </row>
    <row r="912">
      <c r="E912" s="57"/>
      <c r="H912" s="18"/>
      <c r="N912" s="1" t="s">
        <v>2013</v>
      </c>
      <c r="O912" s="1">
        <v>40.0</v>
      </c>
    </row>
    <row r="913">
      <c r="D913" s="16"/>
      <c r="E913" s="11"/>
      <c r="H913" s="18"/>
      <c r="N913" s="1" t="s">
        <v>2014</v>
      </c>
      <c r="O913" s="1">
        <v>40.0</v>
      </c>
    </row>
    <row r="914">
      <c r="D914" s="16"/>
      <c r="E914" s="11"/>
      <c r="H914" s="18"/>
      <c r="N914" s="1" t="s">
        <v>2015</v>
      </c>
      <c r="O914" s="1">
        <v>40.0</v>
      </c>
    </row>
    <row r="915">
      <c r="D915" s="16"/>
      <c r="E915" s="11"/>
      <c r="H915" s="18"/>
      <c r="N915" s="1" t="s">
        <v>2016</v>
      </c>
      <c r="O915" s="1">
        <v>40.0</v>
      </c>
    </row>
    <row r="916">
      <c r="D916" s="16"/>
      <c r="E916" s="11"/>
      <c r="H916" s="18"/>
      <c r="N916" s="1" t="s">
        <v>2017</v>
      </c>
      <c r="O916" s="1">
        <v>40.0</v>
      </c>
    </row>
    <row r="917">
      <c r="D917" s="16"/>
      <c r="E917" s="11"/>
      <c r="H917" s="18"/>
      <c r="N917" s="1" t="s">
        <v>2018</v>
      </c>
      <c r="O917" s="1">
        <v>40.0</v>
      </c>
    </row>
    <row r="918">
      <c r="D918" s="16"/>
      <c r="E918" s="11"/>
      <c r="H918" s="18"/>
      <c r="N918" s="1" t="s">
        <v>2019</v>
      </c>
      <c r="O918" s="1">
        <v>30.0</v>
      </c>
    </row>
    <row r="919">
      <c r="D919" s="16"/>
      <c r="E919" s="11"/>
      <c r="H919" s="18"/>
      <c r="N919" s="1" t="s">
        <v>2020</v>
      </c>
      <c r="O919" s="1">
        <v>30.0</v>
      </c>
    </row>
    <row r="920">
      <c r="D920" s="16"/>
      <c r="E920" s="11"/>
      <c r="H920" s="18"/>
      <c r="N920" s="1" t="s">
        <v>2021</v>
      </c>
      <c r="O920" s="1">
        <v>30.0</v>
      </c>
    </row>
    <row r="921">
      <c r="D921" s="16"/>
      <c r="E921" s="11"/>
      <c r="H921" s="18"/>
      <c r="N921" s="1" t="s">
        <v>2022</v>
      </c>
      <c r="O921" s="1">
        <v>30.0</v>
      </c>
    </row>
    <row r="922">
      <c r="D922" s="16"/>
      <c r="E922" s="57"/>
      <c r="H922" s="18"/>
      <c r="N922" s="1" t="s">
        <v>2023</v>
      </c>
      <c r="O922" s="1">
        <v>30.0</v>
      </c>
    </row>
    <row r="923">
      <c r="D923" s="16"/>
      <c r="E923" s="57"/>
      <c r="H923" s="18"/>
      <c r="N923" s="1" t="s">
        <v>2024</v>
      </c>
      <c r="O923" s="1">
        <v>30.0</v>
      </c>
    </row>
    <row r="924">
      <c r="D924" s="16"/>
      <c r="E924" s="57"/>
      <c r="H924" s="18"/>
      <c r="N924" s="1" t="s">
        <v>2025</v>
      </c>
      <c r="O924" s="1">
        <v>30.0</v>
      </c>
    </row>
    <row r="925">
      <c r="D925" s="16"/>
      <c r="E925" s="57"/>
      <c r="H925" s="18"/>
      <c r="N925" s="1" t="s">
        <v>2026</v>
      </c>
      <c r="O925" s="1">
        <v>30.0</v>
      </c>
    </row>
    <row r="926">
      <c r="D926" s="16"/>
      <c r="E926" s="11"/>
      <c r="H926" s="18"/>
      <c r="N926" s="1" t="s">
        <v>2027</v>
      </c>
      <c r="O926" s="1">
        <v>30.0</v>
      </c>
    </row>
    <row r="927">
      <c r="D927" s="16"/>
      <c r="E927" s="11"/>
      <c r="H927" s="18"/>
      <c r="N927" s="1" t="s">
        <v>2028</v>
      </c>
      <c r="O927" s="1">
        <v>30.0</v>
      </c>
    </row>
    <row r="928">
      <c r="D928" s="16"/>
      <c r="E928" s="57"/>
      <c r="H928" s="18"/>
      <c r="N928" s="1" t="s">
        <v>2029</v>
      </c>
      <c r="O928" s="1">
        <v>30.0</v>
      </c>
    </row>
    <row r="929">
      <c r="D929" s="16"/>
      <c r="E929" s="57"/>
      <c r="H929" s="18"/>
      <c r="N929" s="1" t="s">
        <v>2030</v>
      </c>
      <c r="O929" s="1">
        <v>30.0</v>
      </c>
    </row>
    <row r="930">
      <c r="D930" s="16"/>
      <c r="E930" s="57"/>
      <c r="H930" s="18"/>
      <c r="N930" s="1" t="s">
        <v>2031</v>
      </c>
      <c r="O930" s="1">
        <v>30.0</v>
      </c>
    </row>
    <row r="931">
      <c r="D931" s="16"/>
      <c r="E931" s="57"/>
      <c r="H931" s="18"/>
      <c r="N931" s="1" t="s">
        <v>2032</v>
      </c>
      <c r="O931" s="1">
        <v>30.0</v>
      </c>
    </row>
    <row r="932">
      <c r="D932" s="16"/>
      <c r="E932" s="57"/>
      <c r="H932" s="18"/>
      <c r="N932" s="1" t="s">
        <v>2033</v>
      </c>
      <c r="O932" s="1">
        <v>30.0</v>
      </c>
    </row>
    <row r="933">
      <c r="D933" s="16"/>
      <c r="E933" s="57"/>
      <c r="H933" s="18"/>
      <c r="N933" s="1" t="s">
        <v>2034</v>
      </c>
      <c r="O933" s="1">
        <v>30.0</v>
      </c>
    </row>
    <row r="934">
      <c r="D934" s="16"/>
      <c r="E934" s="57"/>
      <c r="H934" s="18"/>
      <c r="N934" s="1" t="s">
        <v>2035</v>
      </c>
      <c r="O934" s="1">
        <v>30.0</v>
      </c>
    </row>
    <row r="935">
      <c r="D935" s="16"/>
      <c r="E935" s="57"/>
      <c r="H935" s="18"/>
      <c r="N935" s="1" t="s">
        <v>2036</v>
      </c>
      <c r="O935" s="1">
        <v>30.0</v>
      </c>
    </row>
    <row r="936">
      <c r="D936" s="16"/>
      <c r="E936" s="57"/>
      <c r="H936" s="18"/>
      <c r="N936" s="1" t="s">
        <v>2037</v>
      </c>
      <c r="O936" s="1">
        <v>20.0</v>
      </c>
    </row>
    <row r="937">
      <c r="D937" s="16"/>
      <c r="E937" s="57"/>
      <c r="H937" s="18"/>
      <c r="N937" s="1" t="s">
        <v>2038</v>
      </c>
      <c r="O937" s="1">
        <v>20.0</v>
      </c>
    </row>
    <row r="938">
      <c r="D938" s="16"/>
      <c r="E938" s="57"/>
      <c r="H938" s="18"/>
      <c r="N938" s="1" t="s">
        <v>2039</v>
      </c>
      <c r="O938" s="1">
        <v>20.0</v>
      </c>
    </row>
    <row r="939">
      <c r="D939" s="16"/>
      <c r="E939" s="57"/>
      <c r="H939" s="18"/>
      <c r="N939" s="1" t="s">
        <v>2040</v>
      </c>
      <c r="O939" s="1">
        <v>20.0</v>
      </c>
    </row>
    <row r="940">
      <c r="D940" s="16"/>
      <c r="E940" s="57"/>
      <c r="H940" s="18"/>
      <c r="N940" s="1" t="s">
        <v>2041</v>
      </c>
      <c r="O940" s="1">
        <v>20.0</v>
      </c>
    </row>
    <row r="941">
      <c r="D941" s="16"/>
      <c r="E941" s="57"/>
      <c r="H941" s="18"/>
      <c r="N941" s="1" t="s">
        <v>2042</v>
      </c>
      <c r="O941" s="1">
        <v>20.0</v>
      </c>
    </row>
    <row r="942">
      <c r="D942" s="16"/>
      <c r="E942" s="57"/>
      <c r="H942" s="18"/>
      <c r="N942" s="1" t="s">
        <v>2043</v>
      </c>
      <c r="O942" s="1">
        <v>20.0</v>
      </c>
    </row>
    <row r="943">
      <c r="D943" s="16"/>
      <c r="E943" s="57"/>
      <c r="H943" s="18"/>
      <c r="N943" s="1" t="s">
        <v>2044</v>
      </c>
      <c r="O943" s="1">
        <v>20.0</v>
      </c>
    </row>
    <row r="944">
      <c r="D944" s="16"/>
      <c r="E944" s="57"/>
      <c r="H944" s="18"/>
      <c r="N944" s="1" t="s">
        <v>2045</v>
      </c>
      <c r="O944" s="1">
        <v>20.0</v>
      </c>
    </row>
    <row r="945">
      <c r="D945" s="16"/>
      <c r="E945" s="57"/>
      <c r="H945" s="18"/>
      <c r="N945" s="1" t="s">
        <v>2046</v>
      </c>
      <c r="O945" s="1">
        <v>20.0</v>
      </c>
    </row>
    <row r="946">
      <c r="D946" s="16"/>
      <c r="E946" s="57"/>
      <c r="H946" s="18"/>
      <c r="N946" s="1" t="s">
        <v>2047</v>
      </c>
      <c r="O946" s="1">
        <v>20.0</v>
      </c>
    </row>
    <row r="947">
      <c r="D947" s="16"/>
      <c r="E947" s="57"/>
      <c r="H947" s="18"/>
      <c r="N947" s="1" t="s">
        <v>2048</v>
      </c>
      <c r="O947" s="1">
        <v>20.0</v>
      </c>
    </row>
    <row r="948">
      <c r="D948" s="16"/>
      <c r="E948" s="57"/>
      <c r="H948" s="18"/>
      <c r="N948" s="1" t="s">
        <v>2049</v>
      </c>
      <c r="O948" s="1">
        <v>20.0</v>
      </c>
    </row>
    <row r="949">
      <c r="D949" s="16"/>
      <c r="E949" s="57"/>
      <c r="H949" s="18"/>
      <c r="N949" s="1" t="s">
        <v>2050</v>
      </c>
      <c r="O949" s="1">
        <v>20.0</v>
      </c>
    </row>
    <row r="950">
      <c r="D950" s="16"/>
      <c r="E950" s="57"/>
      <c r="H950" s="18"/>
      <c r="N950" s="1" t="s">
        <v>2051</v>
      </c>
      <c r="O950" s="1">
        <v>20.0</v>
      </c>
    </row>
    <row r="951">
      <c r="D951" s="16"/>
      <c r="E951" s="11"/>
      <c r="H951" s="18"/>
      <c r="N951" s="1" t="s">
        <v>2052</v>
      </c>
      <c r="O951" s="1">
        <v>20.0</v>
      </c>
    </row>
    <row r="952">
      <c r="D952" s="16"/>
      <c r="E952" s="11"/>
      <c r="H952" s="18"/>
      <c r="N952" s="1" t="s">
        <v>2053</v>
      </c>
      <c r="O952" s="1">
        <v>20.0</v>
      </c>
    </row>
    <row r="953">
      <c r="D953" s="16"/>
      <c r="E953" s="11"/>
      <c r="H953" s="18"/>
      <c r="N953" s="1" t="s">
        <v>2054</v>
      </c>
      <c r="O953" s="1">
        <v>20.0</v>
      </c>
    </row>
    <row r="954">
      <c r="D954" s="16"/>
      <c r="E954" s="11"/>
      <c r="H954" s="18"/>
      <c r="N954" s="1" t="s">
        <v>2055</v>
      </c>
      <c r="O954" s="1">
        <v>20.0</v>
      </c>
    </row>
    <row r="955">
      <c r="D955" s="16"/>
      <c r="E955" s="11"/>
      <c r="H955" s="18"/>
      <c r="N955" s="1" t="s">
        <v>2056</v>
      </c>
      <c r="O955" s="1">
        <v>20.0</v>
      </c>
    </row>
    <row r="956">
      <c r="D956" s="16"/>
      <c r="E956" s="11"/>
      <c r="H956" s="18"/>
      <c r="N956" s="1" t="s">
        <v>2057</v>
      </c>
      <c r="O956" s="1">
        <v>10.0</v>
      </c>
    </row>
    <row r="957">
      <c r="D957" s="16"/>
      <c r="E957" s="11"/>
      <c r="H957" s="18"/>
      <c r="N957" s="1" t="s">
        <v>2058</v>
      </c>
      <c r="O957" s="1">
        <v>10.0</v>
      </c>
    </row>
    <row r="958">
      <c r="D958" s="16"/>
      <c r="E958" s="57"/>
      <c r="H958" s="18"/>
      <c r="N958" s="1" t="s">
        <v>2059</v>
      </c>
      <c r="O958" s="1">
        <v>10.0</v>
      </c>
    </row>
    <row r="959">
      <c r="D959" s="16"/>
      <c r="E959" s="11"/>
      <c r="H959" s="18"/>
      <c r="N959" s="1" t="s">
        <v>2060</v>
      </c>
      <c r="O959" s="1">
        <v>10.0</v>
      </c>
    </row>
    <row r="960">
      <c r="D960" s="16"/>
      <c r="E960" s="11"/>
      <c r="H960" s="18"/>
      <c r="N960" s="1" t="s">
        <v>2061</v>
      </c>
      <c r="O960" s="1">
        <v>10.0</v>
      </c>
    </row>
    <row r="961">
      <c r="D961" s="16"/>
      <c r="E961" s="11"/>
      <c r="H961" s="18"/>
      <c r="N961" s="1"/>
      <c r="O961" s="1"/>
    </row>
    <row r="962">
      <c r="D962" s="16"/>
      <c r="E962" s="11"/>
      <c r="H962" s="18"/>
      <c r="N962" s="1"/>
      <c r="O962" s="1"/>
    </row>
    <row r="963">
      <c r="D963" s="16"/>
      <c r="E963" s="11"/>
      <c r="H963" s="18"/>
      <c r="N963" s="1"/>
      <c r="O963" s="1"/>
    </row>
    <row r="964">
      <c r="D964" s="16"/>
      <c r="E964" s="11"/>
      <c r="H964" s="18"/>
      <c r="N964" s="1"/>
      <c r="O964" s="1"/>
    </row>
    <row r="965">
      <c r="D965" s="16"/>
      <c r="E965" s="11"/>
      <c r="H965" s="18"/>
      <c r="N965" s="1"/>
      <c r="O965" s="1"/>
    </row>
    <row r="966">
      <c r="D966" s="16"/>
      <c r="E966" s="11"/>
      <c r="H966" s="18"/>
      <c r="N966" s="1"/>
      <c r="O966" s="1"/>
    </row>
    <row r="967">
      <c r="D967" s="16"/>
      <c r="E967" s="11"/>
      <c r="H967" s="18"/>
      <c r="N967" s="1"/>
      <c r="O967" s="1"/>
    </row>
    <row r="968">
      <c r="D968" s="16"/>
      <c r="E968" s="11"/>
      <c r="H968" s="18"/>
      <c r="N968" s="1"/>
      <c r="O968" s="1"/>
    </row>
    <row r="969">
      <c r="D969" s="16"/>
      <c r="E969" s="11"/>
      <c r="H969" s="18"/>
      <c r="N969" s="1" t="s">
        <v>2062</v>
      </c>
      <c r="O969" s="1">
        <v>10.0</v>
      </c>
    </row>
    <row r="970">
      <c r="E970" s="57"/>
      <c r="H970" s="68"/>
      <c r="N970" s="1" t="s">
        <v>2063</v>
      </c>
      <c r="O970" s="1">
        <v>10.0</v>
      </c>
    </row>
    <row r="971">
      <c r="E971" s="57"/>
      <c r="H971" s="68"/>
      <c r="N971" s="1" t="s">
        <v>2064</v>
      </c>
      <c r="O971" s="1">
        <v>10.0</v>
      </c>
    </row>
    <row r="972">
      <c r="E972" s="57"/>
      <c r="H972" s="68"/>
      <c r="N972" s="1" t="s">
        <v>2065</v>
      </c>
      <c r="O972" s="1">
        <v>10.0</v>
      </c>
    </row>
    <row r="973">
      <c r="E973" s="57"/>
      <c r="H973" s="68"/>
      <c r="N973" s="1" t="s">
        <v>2066</v>
      </c>
      <c r="O973" s="1">
        <v>10.0</v>
      </c>
    </row>
    <row r="974">
      <c r="E974" s="57"/>
      <c r="H974" s="68"/>
      <c r="N974" s="1" t="s">
        <v>2067</v>
      </c>
      <c r="O974" s="1">
        <v>10.0</v>
      </c>
    </row>
    <row r="975">
      <c r="E975" s="57"/>
      <c r="H975" s="68"/>
      <c r="N975" s="1" t="s">
        <v>2068</v>
      </c>
      <c r="O975" s="1">
        <v>10.0</v>
      </c>
    </row>
    <row r="976">
      <c r="E976" s="57"/>
      <c r="H976" s="68"/>
      <c r="N976" s="1" t="s">
        <v>2069</v>
      </c>
      <c r="O976" s="1">
        <v>10.0</v>
      </c>
    </row>
    <row r="977">
      <c r="E977" s="57"/>
      <c r="H977" s="68"/>
      <c r="N977" s="1" t="s">
        <v>2070</v>
      </c>
      <c r="O977" s="1">
        <v>10.0</v>
      </c>
    </row>
    <row r="978">
      <c r="E978" s="57"/>
      <c r="H978" s="68"/>
      <c r="N978" s="1" t="s">
        <v>2071</v>
      </c>
      <c r="O978" s="1">
        <v>10.0</v>
      </c>
    </row>
    <row r="979">
      <c r="D979" s="67"/>
      <c r="E979" s="57"/>
      <c r="H979" s="18"/>
      <c r="N979" s="1" t="s">
        <v>2072</v>
      </c>
      <c r="O979" s="1">
        <v>10.0</v>
      </c>
    </row>
    <row r="980">
      <c r="D980" s="10"/>
      <c r="E980" s="57"/>
      <c r="H980" s="18"/>
      <c r="N980" s="1" t="s">
        <v>2073</v>
      </c>
      <c r="O980" s="1">
        <v>10.0</v>
      </c>
    </row>
    <row r="981">
      <c r="D981" s="69"/>
      <c r="E981" s="57"/>
      <c r="H981" s="18"/>
      <c r="N981" s="1" t="s">
        <v>2074</v>
      </c>
      <c r="O981" s="1">
        <v>10.0</v>
      </c>
    </row>
    <row r="982">
      <c r="E982" s="13"/>
      <c r="H982" s="68"/>
      <c r="N982" s="1" t="s">
        <v>2075</v>
      </c>
      <c r="O982" s="1">
        <v>10.0</v>
      </c>
    </row>
    <row r="983">
      <c r="E983" s="57"/>
      <c r="H983" s="68"/>
      <c r="N983" s="1" t="s">
        <v>2076</v>
      </c>
      <c r="O983" s="1">
        <v>10.0</v>
      </c>
    </row>
    <row r="984">
      <c r="E984" s="57"/>
      <c r="H984" s="68"/>
      <c r="N984" s="1" t="s">
        <v>2077</v>
      </c>
      <c r="O984" s="1">
        <v>10.0</v>
      </c>
    </row>
    <row r="985">
      <c r="E985" s="57"/>
      <c r="H985" s="68"/>
      <c r="N985" s="1" t="s">
        <v>2078</v>
      </c>
      <c r="O985" s="1">
        <v>10.0</v>
      </c>
    </row>
    <row r="986">
      <c r="E986" s="57"/>
      <c r="H986" s="68"/>
      <c r="N986" s="1" t="s">
        <v>2079</v>
      </c>
      <c r="O986" s="1">
        <v>10.0</v>
      </c>
    </row>
    <row r="987">
      <c r="E987" s="57"/>
      <c r="H987" s="68"/>
      <c r="N987" s="1" t="s">
        <v>2080</v>
      </c>
      <c r="O987" s="1">
        <v>10.0</v>
      </c>
    </row>
    <row r="988">
      <c r="E988" s="57"/>
      <c r="H988" s="68"/>
      <c r="N988" s="1" t="s">
        <v>2081</v>
      </c>
      <c r="O988" s="1">
        <v>10.0</v>
      </c>
    </row>
    <row r="989">
      <c r="E989" s="13"/>
      <c r="H989" s="70"/>
      <c r="N989" s="1" t="s">
        <v>2082</v>
      </c>
      <c r="O989" s="1">
        <v>10.0</v>
      </c>
    </row>
    <row r="990">
      <c r="E990" s="57"/>
      <c r="H990" s="70"/>
      <c r="N990" s="1" t="s">
        <v>2083</v>
      </c>
      <c r="O990" s="1">
        <v>10.0</v>
      </c>
    </row>
    <row r="991">
      <c r="D991" s="67"/>
      <c r="E991" s="57"/>
      <c r="H991" s="18"/>
      <c r="N991" s="1" t="s">
        <v>2084</v>
      </c>
      <c r="O991" s="1">
        <v>10.0</v>
      </c>
    </row>
    <row r="992">
      <c r="B992" s="1" t="s">
        <v>2085</v>
      </c>
      <c r="E992" s="57"/>
      <c r="H992" s="70"/>
      <c r="N992" s="1" t="s">
        <v>2086</v>
      </c>
      <c r="O992" s="1">
        <v>10.0</v>
      </c>
    </row>
    <row r="993">
      <c r="E993" s="57"/>
      <c r="H993" s="70"/>
      <c r="N993" s="1" t="s">
        <v>2087</v>
      </c>
      <c r="O993" s="1">
        <v>10.0</v>
      </c>
    </row>
    <row r="994">
      <c r="D994" s="71"/>
      <c r="E994" s="57"/>
      <c r="H994" s="18"/>
      <c r="N994" s="1" t="s">
        <v>2088</v>
      </c>
      <c r="O994" s="1">
        <v>10.0</v>
      </c>
    </row>
    <row r="995">
      <c r="D995" s="10"/>
      <c r="E995" s="57"/>
      <c r="H995" s="18"/>
      <c r="N995" s="1" t="s">
        <v>2089</v>
      </c>
      <c r="O995" s="1">
        <v>10.0</v>
      </c>
    </row>
    <row r="996">
      <c r="D996" s="69"/>
      <c r="E996" s="57"/>
      <c r="H996" s="18"/>
      <c r="N996" s="1" t="s">
        <v>2090</v>
      </c>
      <c r="O996" s="1">
        <v>10.0</v>
      </c>
    </row>
    <row r="997">
      <c r="E997" s="57"/>
      <c r="H997" s="70"/>
      <c r="N997" s="1" t="s">
        <v>2091</v>
      </c>
      <c r="O997" s="1">
        <v>10.0</v>
      </c>
    </row>
    <row r="998">
      <c r="E998" s="57"/>
      <c r="H998" s="12"/>
      <c r="N998" s="1" t="s">
        <v>2092</v>
      </c>
      <c r="O998" s="1">
        <v>10.0</v>
      </c>
    </row>
    <row r="999">
      <c r="E999" s="57"/>
      <c r="H999" s="12"/>
      <c r="N999" s="1" t="s">
        <v>2093</v>
      </c>
      <c r="O999" s="1">
        <v>10.0</v>
      </c>
    </row>
    <row r="1000">
      <c r="E1000" s="57"/>
      <c r="H1000" s="12"/>
      <c r="N1000" s="1" t="s">
        <v>2094</v>
      </c>
      <c r="O1000" s="1">
        <v>10.0</v>
      </c>
    </row>
    <row r="1001">
      <c r="E1001" s="57"/>
      <c r="H1001" s="72"/>
      <c r="N1001" s="1" t="s">
        <v>2095</v>
      </c>
      <c r="O1001" s="1">
        <v>10.0</v>
      </c>
    </row>
    <row r="1002">
      <c r="E1002" s="57"/>
      <c r="H1002" s="12"/>
      <c r="N1002" s="1" t="s">
        <v>2096</v>
      </c>
      <c r="O1002" s="1">
        <v>10.0</v>
      </c>
    </row>
    <row r="1003">
      <c r="D1003" s="71"/>
      <c r="E1003" s="57"/>
      <c r="H1003" s="18"/>
      <c r="N1003" s="1" t="s">
        <v>2097</v>
      </c>
      <c r="O1003" s="1">
        <v>10.0</v>
      </c>
    </row>
    <row r="1004">
      <c r="D1004" s="10"/>
      <c r="E1004" s="57"/>
      <c r="H1004" s="18"/>
      <c r="N1004" s="1" t="s">
        <v>2098</v>
      </c>
      <c r="O1004" s="1">
        <v>10.0</v>
      </c>
    </row>
    <row r="1005">
      <c r="D1005" s="69"/>
      <c r="E1005" s="57"/>
      <c r="H1005" s="18"/>
      <c r="N1005" s="1" t="s">
        <v>2099</v>
      </c>
      <c r="O1005" s="1">
        <v>10.0</v>
      </c>
    </row>
    <row r="1006">
      <c r="D1006" s="10"/>
      <c r="E1006" s="57"/>
      <c r="H1006" s="18"/>
      <c r="N1006" s="1" t="s">
        <v>2100</v>
      </c>
      <c r="O1006" s="1">
        <v>10.0</v>
      </c>
    </row>
    <row r="1007">
      <c r="D1007" s="71"/>
      <c r="E1007" s="57"/>
      <c r="H1007" s="18"/>
      <c r="N1007" s="1" t="s">
        <v>2101</v>
      </c>
      <c r="O1007" s="1">
        <v>10.0</v>
      </c>
    </row>
    <row r="1008">
      <c r="D1008" s="10"/>
      <c r="E1008" s="57"/>
      <c r="H1008" s="18"/>
      <c r="N1008" s="1" t="s">
        <v>2102</v>
      </c>
      <c r="O1008" s="1">
        <v>10.0</v>
      </c>
    </row>
    <row r="1009">
      <c r="D1009" s="69"/>
      <c r="E1009" s="57"/>
      <c r="H1009" s="18"/>
      <c r="N1009" s="1" t="s">
        <v>2103</v>
      </c>
      <c r="O1009" s="1">
        <v>10.0</v>
      </c>
    </row>
    <row r="1010">
      <c r="E1010" s="57"/>
      <c r="H1010" s="12"/>
      <c r="N1010" s="1" t="s">
        <v>2104</v>
      </c>
      <c r="O1010" s="1">
        <v>10.0</v>
      </c>
    </row>
    <row r="1011">
      <c r="E1011" s="57"/>
      <c r="H1011" s="12"/>
      <c r="N1011" s="1" t="s">
        <v>2105</v>
      </c>
      <c r="O1011" s="1">
        <v>10.0</v>
      </c>
    </row>
    <row r="1012">
      <c r="E1012" s="57"/>
      <c r="H1012" s="12"/>
      <c r="N1012" s="1" t="s">
        <v>2106</v>
      </c>
      <c r="O1012" s="1">
        <v>10.0</v>
      </c>
    </row>
    <row r="1013">
      <c r="D1013" s="11"/>
      <c r="H1013" s="73"/>
      <c r="N1013" s="1" t="s">
        <v>2107</v>
      </c>
      <c r="O1013" s="1">
        <v>10.0</v>
      </c>
    </row>
    <row r="1014">
      <c r="E1014" s="57"/>
      <c r="H1014" s="12"/>
      <c r="N1014" s="1" t="s">
        <v>2108</v>
      </c>
      <c r="O1014" s="1">
        <v>10.0</v>
      </c>
    </row>
    <row r="1015">
      <c r="E1015" s="57"/>
      <c r="H1015" s="12"/>
      <c r="N1015" s="1" t="s">
        <v>2109</v>
      </c>
      <c r="O1015" s="1">
        <v>10.0</v>
      </c>
    </row>
    <row r="1016">
      <c r="D1016" s="19"/>
      <c r="E1016" s="57"/>
      <c r="H1016" s="18"/>
      <c r="N1016" s="1" t="s">
        <v>2110</v>
      </c>
      <c r="O1016" s="1">
        <v>10.0</v>
      </c>
    </row>
    <row r="1017">
      <c r="D1017" s="10"/>
      <c r="E1017" s="57"/>
      <c r="H1017" s="18"/>
      <c r="N1017" s="1" t="s">
        <v>2111</v>
      </c>
      <c r="O1017" s="1">
        <v>10.0</v>
      </c>
    </row>
    <row r="1018">
      <c r="D1018" s="69"/>
      <c r="E1018" s="57"/>
      <c r="H1018" s="18"/>
      <c r="N1018" s="1" t="s">
        <v>2112</v>
      </c>
      <c r="O1018" s="1">
        <v>10.0</v>
      </c>
    </row>
    <row r="1019">
      <c r="E1019" s="57"/>
      <c r="H1019" s="12"/>
      <c r="N1019" s="1" t="s">
        <v>2113</v>
      </c>
      <c r="O1019" s="1">
        <v>10.0</v>
      </c>
    </row>
    <row r="1020">
      <c r="E1020" s="57"/>
      <c r="H1020" s="12"/>
      <c r="N1020" s="1" t="s">
        <v>2114</v>
      </c>
      <c r="O1020" s="1">
        <v>10.0</v>
      </c>
    </row>
    <row r="1021">
      <c r="E1021" s="57"/>
      <c r="H1021" s="12"/>
      <c r="N1021" s="1" t="s">
        <v>2115</v>
      </c>
      <c r="O1021" s="1">
        <v>10.0</v>
      </c>
    </row>
    <row r="1022">
      <c r="E1022" s="57"/>
      <c r="H1022" s="12"/>
      <c r="N1022" s="1" t="s">
        <v>2116</v>
      </c>
      <c r="O1022" s="1">
        <v>10.0</v>
      </c>
    </row>
    <row r="1023">
      <c r="E1023" s="57"/>
      <c r="H1023" s="12"/>
      <c r="N1023" s="1" t="s">
        <v>2117</v>
      </c>
      <c r="O1023" s="1">
        <v>10.0</v>
      </c>
    </row>
    <row r="1024">
      <c r="D1024" s="71"/>
      <c r="E1024" s="57"/>
      <c r="H1024" s="12"/>
      <c r="N1024" s="1" t="s">
        <v>2118</v>
      </c>
      <c r="O1024" s="1">
        <v>10.0</v>
      </c>
    </row>
    <row r="1025">
      <c r="D1025" s="10"/>
      <c r="E1025" s="57"/>
      <c r="H1025" s="12"/>
      <c r="N1025" s="1" t="s">
        <v>2119</v>
      </c>
    </row>
    <row r="1026">
      <c r="D1026" s="69"/>
      <c r="E1026" s="57"/>
      <c r="H1026" s="12"/>
      <c r="N1026" s="1" t="s">
        <v>2120</v>
      </c>
    </row>
    <row r="1027">
      <c r="E1027" s="57"/>
      <c r="H1027" s="12"/>
      <c r="N1027" s="1" t="s">
        <v>2121</v>
      </c>
    </row>
    <row r="1028">
      <c r="D1028" s="67"/>
      <c r="E1028" s="57"/>
      <c r="H1028" s="12"/>
      <c r="N1028" s="1" t="s">
        <v>2122</v>
      </c>
    </row>
    <row r="1029">
      <c r="E1029" s="57"/>
      <c r="H1029" s="12"/>
      <c r="N1029" s="1" t="s">
        <v>2123</v>
      </c>
    </row>
    <row r="1030">
      <c r="E1030" s="57"/>
      <c r="H1030" s="12"/>
      <c r="N1030" s="1" t="s">
        <v>2124</v>
      </c>
    </row>
    <row r="1031">
      <c r="E1031" s="11"/>
      <c r="H1031" s="12"/>
      <c r="N1031" s="1"/>
    </row>
    <row r="1032">
      <c r="E1032" s="11"/>
      <c r="H1032" s="12"/>
      <c r="N1032" s="1"/>
    </row>
    <row r="1033">
      <c r="D1033" s="10"/>
      <c r="E1033" s="57"/>
      <c r="H1033" s="12"/>
      <c r="N1033" s="1" t="s">
        <v>2125</v>
      </c>
    </row>
    <row r="1034">
      <c r="D1034" s="10"/>
      <c r="E1034" s="57"/>
      <c r="H1034" s="12"/>
      <c r="N1034" s="1" t="s">
        <v>2126</v>
      </c>
    </row>
    <row r="1035">
      <c r="E1035" s="57"/>
      <c r="H1035" s="12"/>
      <c r="N1035" s="1" t="s">
        <v>2127</v>
      </c>
    </row>
    <row r="1036">
      <c r="E1036" s="57"/>
      <c r="H1036" s="12"/>
      <c r="N1036" s="1" t="s">
        <v>2128</v>
      </c>
    </row>
    <row r="1037">
      <c r="E1037" s="57"/>
      <c r="H1037" s="12"/>
      <c r="N1037" s="1" t="s">
        <v>2129</v>
      </c>
    </row>
    <row r="1038">
      <c r="E1038" s="57"/>
      <c r="H1038" s="12"/>
      <c r="N1038" s="1" t="s">
        <v>2130</v>
      </c>
    </row>
    <row r="1039">
      <c r="E1039" s="57"/>
      <c r="H1039" s="12"/>
      <c r="N1039" s="1" t="s">
        <v>2131</v>
      </c>
    </row>
    <row r="1040">
      <c r="E1040" s="57"/>
      <c r="H1040" s="12"/>
      <c r="N1040" s="1" t="s">
        <v>2132</v>
      </c>
    </row>
    <row r="1041">
      <c r="E1041" s="57"/>
      <c r="H1041" s="12"/>
      <c r="N1041" s="1" t="s">
        <v>2133</v>
      </c>
    </row>
    <row r="1042">
      <c r="E1042" s="57"/>
      <c r="H1042" s="12"/>
      <c r="N1042" s="1" t="s">
        <v>2134</v>
      </c>
    </row>
    <row r="1043">
      <c r="E1043" s="57"/>
      <c r="H1043" s="12"/>
      <c r="N1043" s="1" t="s">
        <v>2135</v>
      </c>
    </row>
    <row r="1044">
      <c r="E1044" s="57"/>
      <c r="H1044" s="12"/>
      <c r="N1044" s="1" t="s">
        <v>2136</v>
      </c>
    </row>
    <row r="1045">
      <c r="E1045" s="57"/>
      <c r="N1045" s="1" t="s">
        <v>2137</v>
      </c>
    </row>
    <row r="1046">
      <c r="E1046" s="57"/>
      <c r="N1046" s="1" t="s">
        <v>2138</v>
      </c>
    </row>
    <row r="1047">
      <c r="E1047" s="57"/>
      <c r="N1047" s="1" t="s">
        <v>2139</v>
      </c>
    </row>
    <row r="1048">
      <c r="E1048" s="57"/>
      <c r="N1048" s="1" t="s">
        <v>2140</v>
      </c>
    </row>
    <row r="1049">
      <c r="E1049" s="57"/>
      <c r="N1049" s="1" t="s">
        <v>2141</v>
      </c>
    </row>
    <row r="1050">
      <c r="E1050" s="57"/>
      <c r="N1050" s="1" t="s">
        <v>2142</v>
      </c>
    </row>
    <row r="1051">
      <c r="E1051" s="57"/>
      <c r="N1051" s="1" t="s">
        <v>2143</v>
      </c>
    </row>
    <row r="1052">
      <c r="E1052" s="57"/>
      <c r="N1052" s="1" t="s">
        <v>2144</v>
      </c>
    </row>
    <row r="1053">
      <c r="E1053" s="57"/>
      <c r="N1053" s="1" t="s">
        <v>2145</v>
      </c>
    </row>
    <row r="1054">
      <c r="E1054" s="57"/>
      <c r="N1054" s="1" t="s">
        <v>2146</v>
      </c>
    </row>
    <row r="1055">
      <c r="E1055" s="57"/>
      <c r="N1055" s="1" t="s">
        <v>2147</v>
      </c>
    </row>
    <row r="1056">
      <c r="E1056" s="57"/>
      <c r="N1056" s="1" t="s">
        <v>2148</v>
      </c>
    </row>
    <row r="1057">
      <c r="E1057" s="57"/>
      <c r="N1057" s="1" t="s">
        <v>2149</v>
      </c>
    </row>
    <row r="1058">
      <c r="E1058" s="57"/>
      <c r="N1058" s="1" t="s">
        <v>2150</v>
      </c>
    </row>
    <row r="1059">
      <c r="E1059" s="57"/>
      <c r="N1059" s="1" t="s">
        <v>2151</v>
      </c>
    </row>
    <row r="1060">
      <c r="E1060" s="57"/>
      <c r="N1060" s="1" t="s">
        <v>2152</v>
      </c>
    </row>
    <row r="1061">
      <c r="E1061" s="57"/>
      <c r="N1061" s="1" t="s">
        <v>2153</v>
      </c>
    </row>
    <row r="1062">
      <c r="E1062" s="57"/>
      <c r="N1062" s="1" t="s">
        <v>2154</v>
      </c>
    </row>
    <row r="1063">
      <c r="E1063" s="57"/>
      <c r="N1063" s="1" t="s">
        <v>2155</v>
      </c>
    </row>
    <row r="1064">
      <c r="E1064" s="57"/>
      <c r="N1064" s="1" t="s">
        <v>2156</v>
      </c>
    </row>
    <row r="1065">
      <c r="E1065" s="57"/>
      <c r="N1065" s="1" t="s">
        <v>2157</v>
      </c>
    </row>
    <row r="1066">
      <c r="D1066" s="74"/>
      <c r="E1066" s="57"/>
      <c r="N1066" s="1" t="s">
        <v>2158</v>
      </c>
    </row>
    <row r="1067">
      <c r="E1067" s="57"/>
      <c r="N1067" s="1" t="s">
        <v>2159</v>
      </c>
    </row>
    <row r="1068">
      <c r="E1068" s="57"/>
      <c r="N1068" s="1" t="s">
        <v>2160</v>
      </c>
    </row>
    <row r="1069">
      <c r="E1069" s="57"/>
      <c r="N1069" s="1" t="s">
        <v>2161</v>
      </c>
    </row>
    <row r="1070">
      <c r="E1070" s="57"/>
      <c r="N1070" s="1" t="s">
        <v>2162</v>
      </c>
    </row>
    <row r="1071">
      <c r="E1071" s="57"/>
      <c r="N1071" s="1" t="s">
        <v>2163</v>
      </c>
    </row>
    <row r="1072">
      <c r="E1072" s="57"/>
      <c r="N1072" s="1" t="s">
        <v>2164</v>
      </c>
    </row>
    <row r="1073">
      <c r="E1073" s="57"/>
      <c r="N1073" s="1" t="s">
        <v>2165</v>
      </c>
    </row>
    <row r="1074">
      <c r="E1074" s="57"/>
      <c r="N1074" s="1" t="s">
        <v>2166</v>
      </c>
    </row>
    <row r="1075">
      <c r="E1075" s="57"/>
      <c r="N1075" s="1" t="s">
        <v>2167</v>
      </c>
    </row>
    <row r="1076">
      <c r="E1076" s="57"/>
      <c r="N1076" s="1" t="s">
        <v>2168</v>
      </c>
    </row>
    <row r="1077">
      <c r="E1077" s="57"/>
      <c r="N1077" s="1" t="s">
        <v>2169</v>
      </c>
    </row>
    <row r="1078">
      <c r="E1078" s="57"/>
      <c r="N1078" s="1" t="s">
        <v>2170</v>
      </c>
    </row>
    <row r="1079">
      <c r="E1079" s="57"/>
      <c r="N1079" s="1" t="s">
        <v>2171</v>
      </c>
    </row>
    <row r="1080">
      <c r="E1080" s="57"/>
      <c r="N1080" s="1" t="s">
        <v>2172</v>
      </c>
    </row>
    <row r="1081">
      <c r="E1081" s="57"/>
      <c r="N1081" s="1" t="s">
        <v>2173</v>
      </c>
    </row>
    <row r="1082">
      <c r="E1082" s="57"/>
      <c r="N1082" s="1" t="s">
        <v>2174</v>
      </c>
    </row>
    <row r="1083">
      <c r="E1083" s="57"/>
      <c r="N1083" s="1" t="s">
        <v>2175</v>
      </c>
    </row>
    <row r="1084">
      <c r="D1084" s="69"/>
      <c r="E1084" s="57"/>
      <c r="N1084" s="1" t="s">
        <v>2176</v>
      </c>
    </row>
    <row r="1085">
      <c r="D1085" s="71"/>
      <c r="E1085" s="57"/>
      <c r="N1085" s="1" t="s">
        <v>2177</v>
      </c>
    </row>
    <row r="1086">
      <c r="D1086" s="10"/>
      <c r="E1086" s="57"/>
      <c r="N1086" s="1" t="s">
        <v>2178</v>
      </c>
    </row>
    <row r="1087">
      <c r="C1087" s="18"/>
      <c r="D1087" s="69"/>
      <c r="E1087" s="57"/>
      <c r="H1087" s="18"/>
      <c r="N1087" s="1" t="s">
        <v>2179</v>
      </c>
    </row>
    <row r="1088">
      <c r="C1088" s="18"/>
      <c r="E1088" s="57"/>
      <c r="H1088" s="18"/>
      <c r="N1088" s="1" t="s">
        <v>2180</v>
      </c>
    </row>
    <row r="1089">
      <c r="C1089" s="18"/>
      <c r="E1089" s="57"/>
      <c r="H1089" s="18"/>
      <c r="N1089" s="1" t="s">
        <v>2181</v>
      </c>
    </row>
    <row r="1090">
      <c r="C1090" s="18"/>
      <c r="E1090" s="57"/>
      <c r="H1090" s="18"/>
      <c r="N1090" s="1" t="s">
        <v>2182</v>
      </c>
    </row>
    <row r="1091">
      <c r="C1091" s="18"/>
      <c r="E1091" s="57"/>
      <c r="H1091" s="18"/>
      <c r="N1091" s="1" t="s">
        <v>2183</v>
      </c>
    </row>
    <row r="1092">
      <c r="C1092" s="18"/>
      <c r="E1092" s="57"/>
      <c r="H1092" s="18"/>
      <c r="N1092" s="1" t="s">
        <v>2184</v>
      </c>
    </row>
    <row r="1093">
      <c r="C1093" s="18"/>
      <c r="E1093" s="57"/>
      <c r="H1093" s="18"/>
      <c r="N1093" s="1" t="s">
        <v>2185</v>
      </c>
    </row>
    <row r="1094">
      <c r="C1094" s="18"/>
      <c r="D1094" s="71"/>
      <c r="E1094" s="57"/>
      <c r="H1094" s="18"/>
      <c r="N1094" s="1" t="s">
        <v>2186</v>
      </c>
    </row>
    <row r="1095">
      <c r="C1095" s="18"/>
      <c r="D1095" s="10"/>
      <c r="E1095" s="57"/>
      <c r="H1095" s="18"/>
      <c r="N1095" s="1" t="s">
        <v>2187</v>
      </c>
    </row>
    <row r="1096">
      <c r="C1096" s="18"/>
      <c r="E1096" s="57"/>
      <c r="H1096" s="18"/>
      <c r="N1096" s="1" t="s">
        <v>2188</v>
      </c>
    </row>
    <row r="1097">
      <c r="C1097" s="18"/>
      <c r="E1097" s="57"/>
      <c r="H1097" s="18"/>
      <c r="N1097" s="1" t="s">
        <v>2189</v>
      </c>
    </row>
    <row r="1098">
      <c r="C1098" s="18"/>
      <c r="D1098" s="71"/>
      <c r="E1098" s="57"/>
      <c r="H1098" s="18"/>
      <c r="N1098" s="1" t="s">
        <v>2190</v>
      </c>
    </row>
    <row r="1099">
      <c r="C1099" s="18"/>
      <c r="D1099" s="10"/>
      <c r="E1099" s="57"/>
      <c r="H1099" s="18"/>
      <c r="N1099" s="1" t="s">
        <v>2191</v>
      </c>
    </row>
    <row r="1100">
      <c r="C1100" s="18"/>
      <c r="D1100" s="69"/>
      <c r="E1100" s="57"/>
      <c r="H1100" s="18"/>
      <c r="N1100" s="1" t="s">
        <v>2192</v>
      </c>
    </row>
    <row r="1101">
      <c r="C1101" s="18"/>
      <c r="E1101" s="57"/>
      <c r="H1101" s="18"/>
      <c r="N1101" s="1" t="s">
        <v>2193</v>
      </c>
    </row>
    <row r="1102">
      <c r="C1102" s="18"/>
      <c r="E1102" s="57"/>
      <c r="H1102" s="18"/>
      <c r="N1102" s="1" t="s">
        <v>2194</v>
      </c>
    </row>
    <row r="1103">
      <c r="C1103" s="18"/>
      <c r="E1103" s="57"/>
      <c r="H1103" s="18"/>
      <c r="N1103" s="1" t="s">
        <v>2195</v>
      </c>
    </row>
    <row r="1104">
      <c r="C1104" s="18"/>
      <c r="E1104" s="57"/>
      <c r="H1104" s="18"/>
      <c r="N1104" s="1" t="s">
        <v>2196</v>
      </c>
    </row>
    <row r="1105">
      <c r="C1105" s="18"/>
      <c r="E1105" s="57"/>
      <c r="H1105" s="18"/>
      <c r="N1105" s="1" t="s">
        <v>2197</v>
      </c>
    </row>
    <row r="1106">
      <c r="C1106" s="18"/>
      <c r="E1106" s="57"/>
      <c r="H1106" s="18"/>
      <c r="N1106" s="1" t="s">
        <v>2198</v>
      </c>
    </row>
    <row r="1107">
      <c r="C1107" s="18"/>
      <c r="E1107" s="57"/>
      <c r="H1107" s="18"/>
      <c r="N1107" s="1" t="s">
        <v>2199</v>
      </c>
    </row>
    <row r="1108">
      <c r="C1108" s="18"/>
      <c r="D1108" s="19"/>
      <c r="E1108" s="57"/>
      <c r="H1108" s="18"/>
      <c r="N1108" s="1" t="s">
        <v>2200</v>
      </c>
    </row>
    <row r="1109">
      <c r="C1109" s="18"/>
      <c r="D1109" s="19"/>
      <c r="E1109" s="57"/>
      <c r="H1109" s="18"/>
      <c r="N1109" s="1" t="s">
        <v>2201</v>
      </c>
    </row>
    <row r="1110">
      <c r="C1110" s="18"/>
      <c r="D1110" s="19"/>
      <c r="E1110" s="57"/>
      <c r="H1110" s="18"/>
      <c r="N1110" s="1" t="s">
        <v>2202</v>
      </c>
    </row>
    <row r="1111">
      <c r="C1111" s="18"/>
      <c r="D1111" s="19"/>
      <c r="E1111" s="57"/>
      <c r="H1111" s="18"/>
      <c r="N1111" s="1" t="s">
        <v>2203</v>
      </c>
    </row>
    <row r="1112">
      <c r="C1112" s="18"/>
      <c r="D1112" s="19"/>
      <c r="E1112" s="57"/>
      <c r="H1112" s="18"/>
      <c r="N1112" s="1" t="s">
        <v>2204</v>
      </c>
    </row>
    <row r="1113">
      <c r="C1113" s="18"/>
      <c r="D1113" s="19"/>
      <c r="E1113" s="57"/>
      <c r="H1113" s="18"/>
      <c r="N1113" s="1" t="s">
        <v>2205</v>
      </c>
    </row>
    <row r="1114">
      <c r="C1114" s="18"/>
      <c r="D1114" s="19"/>
      <c r="E1114" s="57"/>
      <c r="H1114" s="18"/>
      <c r="N1114" s="1" t="s">
        <v>2206</v>
      </c>
    </row>
    <row r="1115">
      <c r="C1115" s="18"/>
      <c r="D1115" s="19"/>
      <c r="E1115" s="57"/>
      <c r="H1115" s="18"/>
      <c r="N1115" s="1" t="s">
        <v>2207</v>
      </c>
    </row>
    <row r="1116">
      <c r="C1116" s="18"/>
      <c r="D1116" s="19"/>
      <c r="E1116" s="57"/>
      <c r="H1116" s="18"/>
      <c r="N1116" s="1" t="s">
        <v>2208</v>
      </c>
    </row>
    <row r="1117">
      <c r="C1117" s="18"/>
      <c r="D1117" s="19"/>
      <c r="E1117" s="57"/>
      <c r="H1117" s="18"/>
      <c r="N1117" s="1" t="s">
        <v>2209</v>
      </c>
    </row>
    <row r="1118">
      <c r="C1118" s="18"/>
      <c r="D1118" s="19"/>
      <c r="E1118" s="57"/>
      <c r="H1118" s="18"/>
      <c r="N1118" s="1" t="s">
        <v>2210</v>
      </c>
    </row>
    <row r="1119">
      <c r="C1119" s="18"/>
      <c r="D1119" s="19"/>
      <c r="E1119" s="57"/>
      <c r="H1119" s="18"/>
      <c r="N1119" s="1" t="s">
        <v>2211</v>
      </c>
    </row>
    <row r="1120">
      <c r="C1120" s="18"/>
      <c r="D1120" s="19"/>
      <c r="E1120" s="57"/>
      <c r="H1120" s="18"/>
      <c r="N1120" s="1" t="s">
        <v>2212</v>
      </c>
    </row>
    <row r="1121">
      <c r="C1121" s="18"/>
      <c r="D1121" s="19"/>
      <c r="E1121" s="57"/>
      <c r="H1121" s="18"/>
      <c r="N1121" s="1" t="s">
        <v>2213</v>
      </c>
    </row>
    <row r="1122">
      <c r="C1122" s="18"/>
      <c r="D1122" s="19"/>
      <c r="E1122" s="57"/>
      <c r="H1122" s="18"/>
      <c r="N1122" s="1" t="s">
        <v>2214</v>
      </c>
    </row>
    <row r="1123">
      <c r="C1123" s="18"/>
      <c r="D1123" s="19"/>
      <c r="E1123" s="57"/>
      <c r="H1123" s="18"/>
      <c r="N1123" s="1" t="s">
        <v>2215</v>
      </c>
    </row>
    <row r="1124">
      <c r="C1124" s="18"/>
      <c r="D1124" s="19"/>
      <c r="E1124" s="57"/>
      <c r="H1124" s="18"/>
      <c r="N1124" s="1" t="s">
        <v>2216</v>
      </c>
    </row>
    <row r="1125">
      <c r="C1125" s="18"/>
      <c r="D1125" s="19"/>
      <c r="E1125" s="57"/>
      <c r="H1125" s="18"/>
      <c r="N1125" s="1" t="s">
        <v>2217</v>
      </c>
    </row>
    <row r="1126">
      <c r="C1126" s="18"/>
      <c r="D1126" s="19"/>
      <c r="E1126" s="57"/>
      <c r="H1126" s="18"/>
      <c r="N1126" s="1" t="s">
        <v>2218</v>
      </c>
    </row>
    <row r="1127">
      <c r="C1127" s="18"/>
      <c r="D1127" s="19"/>
      <c r="E1127" s="57"/>
      <c r="H1127" s="18"/>
      <c r="N1127" s="1" t="s">
        <v>2219</v>
      </c>
    </row>
    <row r="1128">
      <c r="C1128" s="18"/>
      <c r="D1128" s="19"/>
      <c r="E1128" s="57"/>
      <c r="H1128" s="18"/>
      <c r="N1128" s="1" t="s">
        <v>2220</v>
      </c>
    </row>
    <row r="1129">
      <c r="C1129" s="18"/>
      <c r="D1129" s="19"/>
      <c r="E1129" s="57"/>
      <c r="H1129" s="18"/>
      <c r="N1129" s="1" t="s">
        <v>2221</v>
      </c>
    </row>
    <row r="1130">
      <c r="C1130" s="18"/>
      <c r="D1130" s="19"/>
      <c r="E1130" s="57"/>
      <c r="H1130" s="18"/>
      <c r="N1130" s="1" t="s">
        <v>2222</v>
      </c>
    </row>
    <row r="1131">
      <c r="C1131" s="18"/>
      <c r="D1131" s="19"/>
      <c r="E1131" s="57"/>
      <c r="H1131" s="18"/>
      <c r="N1131" s="1" t="s">
        <v>2223</v>
      </c>
    </row>
    <row r="1132">
      <c r="C1132" s="18"/>
      <c r="D1132" s="19"/>
      <c r="E1132" s="57"/>
      <c r="H1132" s="18"/>
      <c r="N1132" s="1" t="s">
        <v>2224</v>
      </c>
    </row>
    <row r="1133">
      <c r="C1133" s="18"/>
      <c r="D1133" s="19"/>
      <c r="E1133" s="57"/>
      <c r="H1133" s="18"/>
      <c r="N1133" s="1" t="s">
        <v>2225</v>
      </c>
    </row>
    <row r="1134">
      <c r="C1134" s="18"/>
      <c r="D1134" s="19"/>
      <c r="E1134" s="57"/>
      <c r="H1134" s="18"/>
      <c r="N1134" s="1" t="s">
        <v>2226</v>
      </c>
    </row>
    <row r="1135">
      <c r="C1135" s="18"/>
      <c r="D1135" s="19"/>
      <c r="E1135" s="57"/>
      <c r="H1135" s="18"/>
      <c r="N1135" s="1" t="s">
        <v>2227</v>
      </c>
    </row>
    <row r="1136">
      <c r="C1136" s="18"/>
      <c r="D1136" s="19"/>
      <c r="E1136" s="57"/>
      <c r="H1136" s="18"/>
      <c r="N1136" s="1" t="s">
        <v>2228</v>
      </c>
    </row>
    <row r="1137">
      <c r="C1137" s="18"/>
      <c r="D1137" s="19"/>
      <c r="E1137" s="57"/>
      <c r="H1137" s="18"/>
      <c r="N1137" s="1" t="s">
        <v>2229</v>
      </c>
    </row>
    <row r="1138">
      <c r="C1138" s="18"/>
      <c r="D1138" s="19"/>
      <c r="E1138" s="57"/>
      <c r="H1138" s="18"/>
      <c r="N1138" s="1" t="s">
        <v>2230</v>
      </c>
    </row>
    <row r="1139">
      <c r="C1139" s="18"/>
      <c r="D1139" s="19"/>
      <c r="E1139" s="57"/>
      <c r="H1139" s="18"/>
      <c r="N1139" s="1" t="s">
        <v>2231</v>
      </c>
    </row>
    <row r="1140">
      <c r="C1140" s="18"/>
      <c r="D1140" s="19"/>
      <c r="E1140" s="57"/>
      <c r="H1140" s="18"/>
      <c r="N1140" s="1" t="s">
        <v>2232</v>
      </c>
    </row>
    <row r="1141">
      <c r="C1141" s="18"/>
      <c r="D1141" s="19"/>
      <c r="E1141" s="57"/>
      <c r="H1141" s="18"/>
      <c r="N1141" s="1" t="s">
        <v>2233</v>
      </c>
    </row>
    <row r="1142">
      <c r="C1142" s="18"/>
      <c r="D1142" s="19"/>
      <c r="E1142" s="57"/>
      <c r="H1142" s="18"/>
      <c r="N1142" s="1" t="s">
        <v>2234</v>
      </c>
    </row>
    <row r="1143">
      <c r="C1143" s="18"/>
      <c r="D1143" s="19"/>
      <c r="E1143" s="57"/>
      <c r="H1143" s="18"/>
      <c r="N1143" s="1" t="s">
        <v>2235</v>
      </c>
    </row>
    <row r="1144">
      <c r="C1144" s="18"/>
      <c r="D1144" s="19"/>
      <c r="E1144" s="57"/>
      <c r="H1144" s="18"/>
    </row>
    <row r="1145">
      <c r="C1145" s="18"/>
      <c r="D1145" s="19"/>
      <c r="E1145" s="57"/>
      <c r="H1145" s="18"/>
    </row>
    <row r="1146">
      <c r="C1146" s="18"/>
      <c r="D1146" s="19"/>
      <c r="E1146" s="57"/>
      <c r="H1146" s="18"/>
    </row>
    <row r="1147">
      <c r="C1147" s="18"/>
      <c r="D1147" s="19"/>
      <c r="E1147" s="57"/>
      <c r="H1147" s="18"/>
    </row>
    <row r="1148">
      <c r="C1148" s="18"/>
      <c r="D1148" s="19"/>
      <c r="E1148" s="57"/>
      <c r="H1148" s="18"/>
    </row>
    <row r="1149">
      <c r="C1149" s="18"/>
      <c r="D1149" s="19"/>
      <c r="E1149" s="57"/>
      <c r="H1149" s="18"/>
    </row>
    <row r="1150">
      <c r="C1150" s="18"/>
      <c r="D1150" s="19"/>
      <c r="E1150" s="57"/>
      <c r="H1150" s="18"/>
    </row>
    <row r="1151">
      <c r="C1151" s="18"/>
      <c r="D1151" s="19"/>
      <c r="E1151" s="57"/>
      <c r="H1151" s="18"/>
    </row>
    <row r="1152">
      <c r="C1152" s="18"/>
      <c r="D1152" s="19"/>
      <c r="E1152" s="57"/>
      <c r="H1152" s="18"/>
    </row>
    <row r="1153">
      <c r="C1153" s="18"/>
      <c r="D1153" s="19"/>
      <c r="E1153" s="57"/>
      <c r="H1153" s="18"/>
    </row>
    <row r="1154">
      <c r="C1154" s="18"/>
      <c r="D1154" s="19"/>
      <c r="E1154" s="57"/>
      <c r="H1154" s="18"/>
    </row>
    <row r="1155">
      <c r="C1155" s="18"/>
      <c r="D1155" s="19"/>
      <c r="E1155" s="57"/>
      <c r="H1155" s="18"/>
    </row>
    <row r="1156">
      <c r="C1156" s="18"/>
      <c r="D1156" s="19"/>
      <c r="E1156" s="57"/>
      <c r="H1156" s="18"/>
    </row>
    <row r="1157">
      <c r="C1157" s="18"/>
      <c r="D1157" s="19"/>
      <c r="E1157" s="57"/>
      <c r="H1157" s="18"/>
    </row>
    <row r="1158">
      <c r="C1158" s="18"/>
      <c r="D1158" s="19"/>
      <c r="E1158" s="57"/>
      <c r="H1158" s="18"/>
    </row>
    <row r="1159">
      <c r="C1159" s="18"/>
      <c r="D1159" s="19"/>
      <c r="E1159" s="57"/>
      <c r="H1159" s="18"/>
    </row>
    <row r="1160">
      <c r="C1160" s="18"/>
      <c r="D1160" s="19"/>
      <c r="E1160" s="57"/>
      <c r="H1160" s="18"/>
    </row>
    <row r="1161">
      <c r="C1161" s="18"/>
      <c r="D1161" s="19"/>
      <c r="E1161" s="57"/>
      <c r="H1161" s="18"/>
    </row>
    <row r="1162">
      <c r="C1162" s="18"/>
      <c r="D1162" s="19"/>
      <c r="E1162" s="57"/>
      <c r="H1162" s="18"/>
    </row>
    <row r="1163">
      <c r="C1163" s="18"/>
      <c r="D1163" s="19"/>
      <c r="E1163" s="57"/>
      <c r="H1163" s="18"/>
    </row>
    <row r="1164">
      <c r="C1164" s="18"/>
      <c r="D1164" s="19"/>
      <c r="E1164" s="57"/>
      <c r="H1164" s="18"/>
    </row>
    <row r="1165">
      <c r="C1165" s="18"/>
      <c r="D1165" s="19"/>
      <c r="E1165" s="57"/>
      <c r="H1165" s="18"/>
    </row>
    <row r="1166">
      <c r="C1166" s="18"/>
      <c r="D1166" s="19"/>
      <c r="E1166" s="57"/>
      <c r="H1166" s="18"/>
    </row>
    <row r="1167">
      <c r="C1167" s="18"/>
      <c r="D1167" s="19"/>
      <c r="E1167" s="57"/>
      <c r="H1167" s="18"/>
    </row>
    <row r="1168">
      <c r="C1168" s="18"/>
      <c r="D1168" s="19"/>
      <c r="E1168" s="57"/>
      <c r="H1168" s="18"/>
    </row>
    <row r="1169">
      <c r="C1169" s="18"/>
      <c r="D1169" s="19"/>
      <c r="E1169" s="57"/>
      <c r="H1169" s="18"/>
    </row>
    <row r="1170">
      <c r="C1170" s="18"/>
      <c r="D1170" s="19"/>
      <c r="E1170" s="57"/>
      <c r="H1170" s="18"/>
    </row>
    <row r="1171">
      <c r="C1171" s="18"/>
      <c r="D1171" s="19"/>
      <c r="E1171" s="57"/>
      <c r="H1171" s="18"/>
    </row>
    <row r="1172">
      <c r="C1172" s="18"/>
      <c r="D1172" s="19"/>
      <c r="E1172" s="57"/>
      <c r="H1172" s="18"/>
    </row>
    <row r="1173">
      <c r="C1173" s="18"/>
      <c r="D1173" s="19"/>
      <c r="E1173" s="57"/>
      <c r="H1173" s="18"/>
    </row>
    <row r="1174">
      <c r="C1174" s="18"/>
      <c r="D1174" s="19"/>
      <c r="E1174" s="57"/>
      <c r="H1174" s="18"/>
    </row>
    <row r="1175">
      <c r="C1175" s="18"/>
      <c r="D1175" s="19"/>
      <c r="E1175" s="57"/>
      <c r="H1175" s="18"/>
    </row>
    <row r="1176">
      <c r="C1176" s="18"/>
      <c r="D1176" s="19"/>
      <c r="E1176" s="57"/>
      <c r="H1176" s="18"/>
    </row>
    <row r="1177">
      <c r="C1177" s="18"/>
      <c r="D1177" s="19"/>
      <c r="E1177" s="57"/>
      <c r="H1177" s="18"/>
    </row>
    <row r="1178">
      <c r="C1178" s="18"/>
      <c r="D1178" s="19"/>
      <c r="E1178" s="57"/>
      <c r="H1178" s="18"/>
    </row>
    <row r="1179">
      <c r="C1179" s="18"/>
      <c r="D1179" s="19"/>
      <c r="E1179" s="57"/>
      <c r="H1179" s="18"/>
    </row>
    <row r="1180">
      <c r="C1180" s="18"/>
      <c r="D1180" s="19"/>
      <c r="E1180" s="57"/>
      <c r="H1180" s="18"/>
    </row>
    <row r="1181">
      <c r="C1181" s="18"/>
      <c r="D1181" s="19"/>
      <c r="E1181" s="57"/>
      <c r="H1181" s="18"/>
    </row>
    <row r="1182">
      <c r="C1182" s="18"/>
      <c r="D1182" s="19"/>
      <c r="E1182" s="57"/>
      <c r="H1182" s="18"/>
    </row>
    <row r="1183">
      <c r="C1183" s="18"/>
      <c r="D1183" s="19"/>
      <c r="E1183" s="57"/>
      <c r="H1183" s="18"/>
    </row>
    <row r="1184">
      <c r="C1184" s="18"/>
      <c r="D1184" s="19"/>
      <c r="E1184" s="57"/>
      <c r="H1184" s="18"/>
    </row>
    <row r="1185">
      <c r="C1185" s="18"/>
      <c r="D1185" s="19"/>
      <c r="E1185" s="57"/>
      <c r="H1185" s="18"/>
    </row>
    <row r="1186">
      <c r="C1186" s="18"/>
      <c r="D1186" s="19"/>
      <c r="E1186" s="57"/>
      <c r="H1186" s="18"/>
    </row>
    <row r="1187">
      <c r="C1187" s="18"/>
      <c r="D1187" s="19"/>
      <c r="E1187" s="57"/>
      <c r="H1187" s="18"/>
    </row>
    <row r="1188">
      <c r="C1188" s="18"/>
      <c r="D1188" s="19"/>
      <c r="E1188" s="57"/>
      <c r="H1188" s="18"/>
    </row>
    <row r="1189">
      <c r="C1189" s="18"/>
      <c r="D1189" s="19"/>
      <c r="E1189" s="57"/>
      <c r="H1189" s="18"/>
    </row>
    <row r="1190">
      <c r="C1190" s="18"/>
      <c r="D1190" s="19"/>
      <c r="E1190" s="57"/>
      <c r="H1190" s="18"/>
    </row>
    <row r="1191">
      <c r="C1191" s="18"/>
      <c r="D1191" s="19"/>
      <c r="E1191" s="57"/>
      <c r="H1191" s="18"/>
    </row>
    <row r="1192">
      <c r="C1192" s="18"/>
      <c r="D1192" s="19"/>
      <c r="E1192" s="57"/>
      <c r="H1192" s="18"/>
    </row>
    <row r="1193">
      <c r="C1193" s="18"/>
      <c r="D1193" s="19"/>
      <c r="E1193" s="57"/>
      <c r="H1193" s="18"/>
    </row>
    <row r="1194">
      <c r="C1194" s="18"/>
      <c r="D1194" s="19"/>
      <c r="E1194" s="57"/>
      <c r="H1194" s="18"/>
    </row>
    <row r="1195">
      <c r="C1195" s="18"/>
      <c r="D1195" s="19"/>
      <c r="E1195" s="57"/>
      <c r="H1195" s="18"/>
    </row>
    <row r="1196">
      <c r="C1196" s="18"/>
      <c r="D1196" s="19"/>
      <c r="E1196" s="57"/>
      <c r="H1196" s="18"/>
    </row>
    <row r="1197">
      <c r="C1197" s="18"/>
      <c r="D1197" s="19"/>
      <c r="E1197" s="57"/>
      <c r="H1197" s="18"/>
    </row>
    <row r="1198">
      <c r="C1198" s="18"/>
      <c r="D1198" s="19"/>
      <c r="E1198" s="57"/>
      <c r="H1198" s="18"/>
    </row>
    <row r="1199">
      <c r="C1199" s="18"/>
      <c r="D1199" s="19"/>
      <c r="E1199" s="57"/>
      <c r="H1199" s="18"/>
    </row>
    <row r="1200">
      <c r="C1200" s="18"/>
      <c r="D1200" s="19"/>
      <c r="E1200" s="57"/>
      <c r="H1200" s="18"/>
    </row>
    <row r="1201">
      <c r="C1201" s="18"/>
      <c r="D1201" s="19"/>
      <c r="E1201" s="57"/>
      <c r="H1201" s="18"/>
    </row>
    <row r="1202">
      <c r="C1202" s="18"/>
      <c r="D1202" s="19"/>
      <c r="E1202" s="57"/>
      <c r="H1202" s="18"/>
    </row>
    <row r="1203">
      <c r="C1203" s="18"/>
      <c r="D1203" s="19"/>
      <c r="E1203" s="57"/>
      <c r="H1203" s="18"/>
    </row>
    <row r="1204">
      <c r="C1204" s="18"/>
      <c r="D1204" s="19"/>
      <c r="E1204" s="57"/>
      <c r="H1204" s="18"/>
    </row>
    <row r="1205">
      <c r="C1205" s="18"/>
      <c r="D1205" s="19"/>
      <c r="E1205" s="57"/>
      <c r="H1205" s="18"/>
    </row>
    <row r="1206">
      <c r="C1206" s="18"/>
      <c r="D1206" s="19"/>
      <c r="E1206" s="57"/>
      <c r="H1206" s="18"/>
    </row>
    <row r="1207">
      <c r="C1207" s="18"/>
      <c r="D1207" s="19"/>
      <c r="E1207" s="57"/>
      <c r="H1207" s="18"/>
    </row>
    <row r="1208">
      <c r="C1208" s="18"/>
      <c r="D1208" s="19"/>
      <c r="E1208" s="57"/>
      <c r="H1208" s="18"/>
    </row>
    <row r="1209">
      <c r="C1209" s="18"/>
      <c r="D1209" s="19"/>
      <c r="E1209" s="57"/>
      <c r="H1209" s="18"/>
    </row>
    <row r="1210">
      <c r="C1210" s="18"/>
      <c r="D1210" s="19"/>
      <c r="E1210" s="57"/>
      <c r="H1210" s="18"/>
    </row>
    <row r="1211">
      <c r="C1211" s="18"/>
      <c r="D1211" s="19"/>
      <c r="E1211" s="57"/>
      <c r="H1211" s="18"/>
    </row>
    <row r="1212">
      <c r="C1212" s="18"/>
      <c r="D1212" s="19"/>
      <c r="E1212" s="57"/>
      <c r="H1212" s="18"/>
    </row>
    <row r="1213">
      <c r="C1213" s="18"/>
      <c r="D1213" s="19"/>
      <c r="E1213" s="57"/>
      <c r="H1213" s="18"/>
    </row>
    <row r="1214">
      <c r="C1214" s="18"/>
      <c r="D1214" s="19"/>
      <c r="E1214" s="57"/>
      <c r="H1214" s="18"/>
    </row>
    <row r="1215">
      <c r="C1215" s="18"/>
      <c r="D1215" s="19"/>
      <c r="E1215" s="57"/>
      <c r="H1215" s="18"/>
    </row>
    <row r="1216">
      <c r="C1216" s="18"/>
      <c r="D1216" s="19"/>
      <c r="E1216" s="57"/>
      <c r="H1216" s="18"/>
    </row>
    <row r="1217">
      <c r="C1217" s="18"/>
      <c r="D1217" s="19"/>
      <c r="E1217" s="57"/>
      <c r="H1217" s="18"/>
    </row>
    <row r="1218">
      <c r="C1218" s="18"/>
      <c r="D1218" s="19"/>
      <c r="E1218" s="57"/>
      <c r="H1218" s="18"/>
    </row>
    <row r="1219">
      <c r="C1219" s="18"/>
      <c r="D1219" s="19"/>
      <c r="E1219" s="57"/>
      <c r="H1219" s="18"/>
    </row>
    <row r="1220">
      <c r="C1220" s="18"/>
      <c r="D1220" s="19"/>
      <c r="E1220" s="57"/>
      <c r="H1220" s="18"/>
    </row>
    <row r="1221">
      <c r="C1221" s="18"/>
      <c r="D1221" s="19"/>
      <c r="E1221" s="57"/>
      <c r="H1221" s="18"/>
    </row>
    <row r="1222">
      <c r="C1222" s="18"/>
      <c r="D1222" s="19"/>
      <c r="E1222" s="57"/>
      <c r="H1222" s="18"/>
    </row>
    <row r="1223">
      <c r="C1223" s="18"/>
      <c r="D1223" s="19"/>
      <c r="E1223" s="57"/>
      <c r="H1223" s="18"/>
    </row>
    <row r="1224">
      <c r="C1224" s="18"/>
      <c r="D1224" s="19"/>
      <c r="E1224" s="57"/>
      <c r="H1224" s="18"/>
    </row>
    <row r="1225">
      <c r="C1225" s="18"/>
      <c r="D1225" s="19"/>
      <c r="E1225" s="57"/>
      <c r="H1225" s="18"/>
    </row>
    <row r="1226">
      <c r="C1226" s="18"/>
      <c r="D1226" s="19"/>
      <c r="E1226" s="57"/>
      <c r="H1226" s="18"/>
    </row>
    <row r="1227">
      <c r="C1227" s="18"/>
      <c r="D1227" s="71"/>
      <c r="E1227" s="57"/>
      <c r="H1227" s="18"/>
    </row>
    <row r="1228">
      <c r="C1228" s="18"/>
      <c r="E1228" s="57"/>
      <c r="H1228" s="18"/>
    </row>
    <row r="1229">
      <c r="C1229" s="18"/>
      <c r="E1229" s="57"/>
      <c r="H1229" s="18"/>
    </row>
    <row r="1230">
      <c r="C1230" s="18"/>
      <c r="E1230" s="57"/>
      <c r="H1230" s="18"/>
    </row>
    <row r="1231">
      <c r="C1231" s="18"/>
      <c r="E1231" s="57"/>
      <c r="H1231" s="18"/>
    </row>
    <row r="1232">
      <c r="C1232" s="18"/>
      <c r="E1232" s="57"/>
      <c r="H1232" s="18"/>
    </row>
    <row r="1233">
      <c r="C1233" s="18"/>
      <c r="E1233" s="57"/>
      <c r="H1233" s="18"/>
    </row>
    <row r="1234">
      <c r="C1234" s="18"/>
      <c r="E1234" s="57"/>
      <c r="H1234" s="18"/>
    </row>
    <row r="1235">
      <c r="C1235" s="18"/>
      <c r="E1235" s="57"/>
      <c r="H1235" s="18"/>
    </row>
    <row r="1236">
      <c r="C1236" s="18"/>
      <c r="E1236" s="57"/>
      <c r="H1236" s="18"/>
    </row>
    <row r="1237">
      <c r="C1237" s="18"/>
      <c r="E1237" s="57"/>
      <c r="H1237" s="18"/>
    </row>
    <row r="1238">
      <c r="C1238" s="18"/>
      <c r="E1238" s="57"/>
      <c r="H1238" s="18"/>
    </row>
    <row r="1239">
      <c r="C1239" s="18"/>
      <c r="E1239" s="57"/>
      <c r="H1239" s="18"/>
    </row>
    <row r="1240">
      <c r="C1240" s="18"/>
      <c r="E1240" s="57"/>
      <c r="H1240" s="18"/>
    </row>
    <row r="1241">
      <c r="C1241" s="18"/>
      <c r="E1241" s="57"/>
      <c r="H1241" s="18"/>
    </row>
    <row r="1242">
      <c r="C1242" s="18"/>
      <c r="E1242" s="57"/>
      <c r="H1242" s="18"/>
    </row>
    <row r="1243">
      <c r="C1243" s="18"/>
      <c r="E1243" s="57"/>
      <c r="H1243" s="18"/>
    </row>
    <row r="1244">
      <c r="C1244" s="18"/>
      <c r="E1244" s="57"/>
      <c r="H1244" s="18"/>
    </row>
    <row r="1245">
      <c r="C1245" s="18"/>
      <c r="E1245" s="57"/>
      <c r="H1245" s="18"/>
    </row>
    <row r="1246">
      <c r="C1246" s="18"/>
      <c r="E1246" s="57"/>
      <c r="H1246" s="18"/>
    </row>
    <row r="1247">
      <c r="C1247" s="18"/>
      <c r="E1247" s="57"/>
      <c r="H1247" s="18"/>
    </row>
    <row r="1248">
      <c r="C1248" s="18"/>
      <c r="E1248" s="57"/>
      <c r="H1248" s="18"/>
    </row>
    <row r="1249">
      <c r="C1249" s="18"/>
      <c r="E1249" s="57"/>
      <c r="H1249" s="18"/>
    </row>
    <row r="1250">
      <c r="C1250" s="18"/>
      <c r="E1250" s="57"/>
      <c r="H1250" s="18"/>
    </row>
    <row r="1251">
      <c r="C1251" s="18"/>
      <c r="E1251" s="57"/>
      <c r="H1251" s="18"/>
    </row>
    <row r="1252">
      <c r="C1252" s="18"/>
      <c r="E1252" s="57"/>
      <c r="H1252" s="18"/>
    </row>
    <row r="1253">
      <c r="C1253" s="18"/>
      <c r="E1253" s="57"/>
      <c r="H1253" s="18"/>
    </row>
    <row r="1254">
      <c r="C1254" s="18"/>
      <c r="E1254" s="57"/>
      <c r="H1254" s="18"/>
    </row>
    <row r="1255">
      <c r="C1255" s="18"/>
      <c r="E1255" s="57"/>
      <c r="H1255" s="18"/>
    </row>
    <row r="1256">
      <c r="C1256" s="18"/>
      <c r="E1256" s="57"/>
      <c r="H1256" s="18"/>
    </row>
    <row r="1257">
      <c r="C1257" s="18"/>
      <c r="E1257" s="57"/>
      <c r="H1257" s="18"/>
    </row>
    <row r="1258">
      <c r="C1258" s="18"/>
      <c r="E1258" s="57"/>
      <c r="H1258" s="18"/>
    </row>
    <row r="1259">
      <c r="C1259" s="18"/>
      <c r="E1259" s="57"/>
      <c r="H1259" s="18"/>
    </row>
    <row r="1260">
      <c r="C1260" s="18"/>
      <c r="E1260" s="57"/>
      <c r="H1260" s="18"/>
    </row>
    <row r="1261">
      <c r="C1261" s="18"/>
      <c r="E1261" s="57"/>
      <c r="H1261" s="18"/>
    </row>
    <row r="1262">
      <c r="C1262" s="18"/>
      <c r="E1262" s="57"/>
      <c r="H1262" s="18"/>
    </row>
    <row r="1263">
      <c r="C1263" s="18"/>
      <c r="E1263" s="57"/>
      <c r="H1263" s="18"/>
    </row>
    <row r="1264">
      <c r="C1264" s="18"/>
      <c r="E1264" s="57"/>
      <c r="H1264" s="18"/>
    </row>
    <row r="1265">
      <c r="C1265" s="18"/>
      <c r="E1265" s="57"/>
      <c r="H1265" s="18"/>
    </row>
    <row r="1266">
      <c r="C1266" s="18"/>
      <c r="E1266" s="57"/>
      <c r="H1266" s="18"/>
    </row>
    <row r="1267">
      <c r="C1267" s="18"/>
      <c r="E1267" s="57"/>
      <c r="H1267" s="18"/>
    </row>
    <row r="1268">
      <c r="C1268" s="18"/>
      <c r="E1268" s="57"/>
      <c r="H1268" s="18"/>
    </row>
    <row r="1269">
      <c r="C1269" s="18"/>
      <c r="E1269" s="57"/>
      <c r="H1269" s="18"/>
    </row>
    <row r="1270">
      <c r="C1270" s="18"/>
      <c r="E1270" s="57"/>
      <c r="H1270" s="18"/>
    </row>
    <row r="1271">
      <c r="C1271" s="18"/>
      <c r="E1271" s="57"/>
      <c r="H1271" s="18"/>
    </row>
    <row r="1272">
      <c r="C1272" s="18"/>
      <c r="E1272" s="57"/>
      <c r="H1272" s="18"/>
    </row>
    <row r="1273">
      <c r="C1273" s="18"/>
      <c r="E1273" s="57"/>
      <c r="H1273" s="18"/>
    </row>
    <row r="1274">
      <c r="C1274" s="18"/>
      <c r="E1274" s="57"/>
      <c r="H1274" s="18"/>
    </row>
    <row r="1275">
      <c r="C1275" s="18"/>
      <c r="D1275" s="75"/>
      <c r="E1275" s="57"/>
      <c r="H1275" s="18"/>
    </row>
    <row r="1276">
      <c r="C1276" s="18"/>
      <c r="D1276" s="19"/>
      <c r="E1276" s="57"/>
      <c r="H1276" s="18"/>
    </row>
    <row r="1277">
      <c r="C1277" s="18"/>
      <c r="D1277" s="19"/>
      <c r="E1277" s="57"/>
      <c r="H1277" s="18"/>
    </row>
    <row r="1278">
      <c r="C1278" s="18"/>
      <c r="D1278" s="19"/>
      <c r="E1278" s="57"/>
      <c r="H1278" s="18"/>
    </row>
    <row r="1279">
      <c r="C1279" s="18"/>
      <c r="D1279" s="19"/>
      <c r="E1279" s="57"/>
      <c r="H1279" s="18"/>
    </row>
    <row r="1280">
      <c r="C1280" s="18"/>
      <c r="D1280" s="19"/>
      <c r="E1280" s="57"/>
      <c r="H1280" s="18"/>
    </row>
    <row r="1281">
      <c r="C1281" s="18"/>
      <c r="D1281" s="19"/>
      <c r="E1281" s="57"/>
      <c r="H1281" s="18"/>
    </row>
    <row r="1282">
      <c r="C1282" s="18"/>
      <c r="D1282" s="19"/>
      <c r="E1282" s="57"/>
      <c r="H1282" s="18"/>
    </row>
    <row r="1283">
      <c r="C1283" s="18"/>
      <c r="D1283" s="19"/>
      <c r="E1283" s="57"/>
      <c r="H1283" s="18"/>
    </row>
    <row r="1284">
      <c r="C1284" s="18"/>
      <c r="D1284" s="19"/>
      <c r="E1284" s="57"/>
      <c r="H1284" s="18"/>
    </row>
    <row r="1285">
      <c r="C1285" s="18"/>
      <c r="D1285" s="19"/>
      <c r="E1285" s="57"/>
      <c r="H1285" s="18"/>
    </row>
    <row r="1286">
      <c r="C1286" s="18"/>
      <c r="D1286" s="19"/>
      <c r="E1286" s="57"/>
      <c r="H1286" s="18"/>
    </row>
    <row r="1287">
      <c r="C1287" s="18"/>
      <c r="D1287" s="19"/>
      <c r="E1287" s="57"/>
      <c r="H1287" s="18"/>
    </row>
    <row r="1288">
      <c r="C1288" s="18"/>
      <c r="D1288" s="19"/>
      <c r="E1288" s="57"/>
      <c r="H1288" s="18"/>
    </row>
    <row r="1289">
      <c r="C1289" s="18"/>
      <c r="D1289" s="19"/>
      <c r="E1289" s="57"/>
      <c r="H1289" s="18"/>
    </row>
    <row r="1290">
      <c r="C1290" s="18"/>
      <c r="D1290" s="19"/>
      <c r="E1290" s="57"/>
      <c r="H1290" s="18"/>
    </row>
    <row r="1291">
      <c r="C1291" s="18"/>
      <c r="D1291" s="19"/>
      <c r="E1291" s="57"/>
      <c r="H1291" s="18"/>
    </row>
    <row r="1292">
      <c r="C1292" s="18"/>
      <c r="D1292" s="19"/>
      <c r="E1292" s="57"/>
      <c r="H1292" s="18"/>
    </row>
    <row r="1293">
      <c r="C1293" s="18"/>
      <c r="D1293" s="19"/>
      <c r="E1293" s="57"/>
      <c r="H1293" s="18"/>
    </row>
    <row r="1294">
      <c r="C1294" s="18"/>
      <c r="D1294" s="19"/>
      <c r="E1294" s="57"/>
      <c r="H1294" s="18"/>
    </row>
    <row r="1295">
      <c r="C1295" s="18"/>
      <c r="D1295" s="19"/>
      <c r="E1295" s="57"/>
      <c r="H1295" s="18"/>
    </row>
    <row r="1296">
      <c r="C1296" s="18"/>
      <c r="D1296" s="19"/>
      <c r="E1296" s="57"/>
      <c r="H1296" s="18"/>
    </row>
    <row r="1297">
      <c r="C1297" s="18"/>
      <c r="D1297" s="19"/>
      <c r="E1297" s="57"/>
      <c r="H1297" s="18"/>
    </row>
    <row r="1298">
      <c r="C1298" s="18"/>
      <c r="D1298" s="19"/>
      <c r="E1298" s="57"/>
      <c r="H1298" s="18"/>
    </row>
    <row r="1299">
      <c r="C1299" s="18"/>
      <c r="D1299" s="19"/>
      <c r="E1299" s="57"/>
      <c r="H1299" s="18"/>
    </row>
    <row r="1300">
      <c r="C1300" s="18"/>
      <c r="D1300" s="19"/>
      <c r="E1300" s="57"/>
      <c r="H1300" s="18"/>
    </row>
    <row r="1301">
      <c r="C1301" s="18"/>
      <c r="D1301" s="19"/>
      <c r="E1301" s="57"/>
      <c r="H1301" s="18"/>
    </row>
    <row r="1302">
      <c r="C1302" s="18"/>
      <c r="D1302" s="19"/>
      <c r="E1302" s="57"/>
      <c r="H1302" s="18"/>
    </row>
    <row r="1303">
      <c r="C1303" s="18"/>
      <c r="D1303" s="19"/>
      <c r="E1303" s="57"/>
      <c r="H1303" s="18"/>
    </row>
    <row r="1304">
      <c r="C1304" s="18"/>
      <c r="D1304" s="19"/>
      <c r="E1304" s="57"/>
      <c r="H1304" s="18"/>
    </row>
    <row r="1305">
      <c r="C1305" s="18"/>
      <c r="D1305" s="19"/>
      <c r="E1305" s="57"/>
      <c r="H1305" s="18"/>
    </row>
    <row r="1306">
      <c r="C1306" s="18"/>
      <c r="D1306" s="19"/>
      <c r="E1306" s="57"/>
      <c r="H1306" s="18"/>
    </row>
    <row r="1307">
      <c r="C1307" s="18"/>
      <c r="D1307" s="19"/>
      <c r="E1307" s="57"/>
      <c r="H1307" s="18"/>
    </row>
    <row r="1308">
      <c r="C1308" s="18"/>
      <c r="D1308" s="19"/>
      <c r="E1308" s="57"/>
      <c r="H1308" s="18"/>
    </row>
    <row r="1309">
      <c r="C1309" s="18"/>
      <c r="D1309" s="19"/>
      <c r="E1309" s="57"/>
      <c r="H1309" s="18"/>
    </row>
    <row r="1310">
      <c r="C1310" s="18"/>
      <c r="D1310" s="19"/>
      <c r="E1310" s="57"/>
      <c r="H1310" s="18"/>
    </row>
    <row r="1311">
      <c r="C1311" s="18"/>
      <c r="D1311" s="19"/>
      <c r="E1311" s="57"/>
      <c r="H1311" s="18"/>
    </row>
    <row r="1312">
      <c r="C1312" s="18"/>
      <c r="D1312" s="19"/>
      <c r="E1312" s="57"/>
      <c r="H1312" s="18"/>
    </row>
    <row r="1313">
      <c r="C1313" s="18"/>
      <c r="D1313" s="19"/>
      <c r="E1313" s="57"/>
      <c r="H1313" s="18"/>
    </row>
    <row r="1314">
      <c r="C1314" s="18"/>
      <c r="D1314" s="19"/>
      <c r="E1314" s="57"/>
      <c r="H1314" s="18"/>
    </row>
    <row r="1315">
      <c r="C1315" s="18"/>
      <c r="D1315" s="19"/>
      <c r="E1315" s="57"/>
      <c r="H1315" s="18"/>
    </row>
    <row r="1316">
      <c r="C1316" s="18"/>
      <c r="D1316" s="19"/>
      <c r="E1316" s="57"/>
      <c r="H1316" s="18"/>
    </row>
    <row r="1317">
      <c r="C1317" s="18"/>
      <c r="D1317" s="19"/>
      <c r="E1317" s="57"/>
      <c r="H1317" s="18"/>
    </row>
    <row r="1318">
      <c r="C1318" s="18"/>
      <c r="D1318" s="19"/>
      <c r="E1318" s="57"/>
      <c r="H1318" s="18"/>
    </row>
    <row r="1319">
      <c r="C1319" s="18"/>
      <c r="D1319" s="19"/>
      <c r="E1319" s="57"/>
      <c r="H1319" s="18"/>
    </row>
    <row r="1320">
      <c r="C1320" s="18"/>
      <c r="D1320" s="19"/>
      <c r="E1320" s="57"/>
      <c r="H1320" s="18"/>
    </row>
    <row r="1321">
      <c r="C1321" s="18"/>
      <c r="D1321" s="19"/>
      <c r="E1321" s="57"/>
      <c r="H1321" s="18"/>
    </row>
    <row r="1322">
      <c r="C1322" s="18"/>
      <c r="D1322" s="19"/>
      <c r="E1322" s="57"/>
      <c r="H1322" s="18"/>
    </row>
    <row r="1323">
      <c r="C1323" s="18"/>
      <c r="D1323" s="19"/>
      <c r="E1323" s="57"/>
      <c r="H1323" s="18"/>
    </row>
    <row r="1324">
      <c r="C1324" s="18"/>
      <c r="D1324" s="19"/>
      <c r="E1324" s="57"/>
      <c r="H1324" s="18"/>
    </row>
    <row r="1325">
      <c r="C1325" s="18"/>
      <c r="D1325" s="19"/>
      <c r="E1325" s="57"/>
      <c r="H1325" s="18"/>
    </row>
    <row r="1326">
      <c r="C1326" s="18"/>
      <c r="D1326" s="19"/>
      <c r="E1326" s="57"/>
      <c r="H1326" s="18"/>
    </row>
    <row r="1327">
      <c r="C1327" s="18"/>
      <c r="D1327" s="19"/>
      <c r="E1327" s="57"/>
      <c r="H1327" s="18"/>
    </row>
    <row r="1328">
      <c r="C1328" s="18"/>
      <c r="D1328" s="19"/>
      <c r="E1328" s="57"/>
      <c r="H1328" s="18"/>
    </row>
    <row r="1329">
      <c r="C1329" s="18"/>
      <c r="D1329" s="19"/>
      <c r="E1329" s="57"/>
      <c r="H1329" s="18"/>
    </row>
    <row r="1330">
      <c r="C1330" s="18"/>
      <c r="D1330" s="19"/>
      <c r="E1330" s="57"/>
      <c r="H1330" s="18"/>
    </row>
    <row r="1331">
      <c r="C1331" s="18"/>
      <c r="D1331" s="19"/>
      <c r="E1331" s="57"/>
      <c r="H1331" s="18"/>
    </row>
    <row r="1332">
      <c r="C1332" s="18"/>
      <c r="D1332" s="19"/>
      <c r="E1332" s="57"/>
      <c r="H1332" s="18"/>
    </row>
    <row r="1333">
      <c r="C1333" s="18"/>
      <c r="D1333" s="19"/>
      <c r="E1333" s="57"/>
      <c r="H1333" s="18"/>
    </row>
    <row r="1334">
      <c r="C1334" s="18"/>
      <c r="D1334" s="19"/>
      <c r="E1334" s="57"/>
      <c r="H1334" s="18"/>
    </row>
    <row r="1335">
      <c r="C1335" s="18"/>
      <c r="D1335" s="19"/>
      <c r="E1335" s="57"/>
      <c r="H1335" s="18"/>
    </row>
    <row r="1336">
      <c r="C1336" s="18"/>
      <c r="D1336" s="19"/>
      <c r="E1336" s="57"/>
      <c r="H1336" s="18"/>
    </row>
    <row r="1337">
      <c r="C1337" s="18"/>
      <c r="D1337" s="19"/>
      <c r="E1337" s="57"/>
      <c r="H1337" s="18"/>
    </row>
    <row r="1338">
      <c r="C1338" s="18"/>
      <c r="D1338" s="19"/>
      <c r="E1338" s="57"/>
      <c r="H1338" s="18"/>
    </row>
    <row r="1339">
      <c r="C1339" s="18"/>
      <c r="D1339" s="19"/>
      <c r="E1339" s="57"/>
      <c r="H1339" s="18"/>
    </row>
    <row r="1340">
      <c r="C1340" s="18"/>
      <c r="D1340" s="19"/>
      <c r="E1340" s="57"/>
      <c r="H1340" s="18"/>
    </row>
    <row r="1341">
      <c r="C1341" s="18"/>
      <c r="D1341" s="19"/>
      <c r="E1341" s="57"/>
      <c r="H1341" s="18"/>
    </row>
    <row r="1342">
      <c r="C1342" s="18"/>
      <c r="D1342" s="19"/>
      <c r="E1342" s="57"/>
      <c r="H1342" s="18"/>
    </row>
    <row r="1343">
      <c r="C1343" s="18"/>
      <c r="D1343" s="19"/>
      <c r="E1343" s="57"/>
      <c r="H1343" s="18"/>
    </row>
    <row r="1344">
      <c r="C1344" s="18"/>
      <c r="D1344" s="19"/>
      <c r="E1344" s="57"/>
      <c r="H1344" s="18"/>
    </row>
    <row r="1345">
      <c r="C1345" s="18"/>
      <c r="D1345" s="19"/>
      <c r="E1345" s="57"/>
      <c r="H1345" s="18"/>
    </row>
    <row r="1346">
      <c r="C1346" s="18"/>
      <c r="D1346" s="19"/>
      <c r="E1346" s="57"/>
      <c r="H1346" s="18"/>
    </row>
    <row r="1347">
      <c r="C1347" s="18"/>
      <c r="D1347" s="19"/>
      <c r="E1347" s="57"/>
      <c r="H1347" s="18"/>
    </row>
    <row r="1348">
      <c r="C1348" s="18"/>
      <c r="D1348" s="19"/>
      <c r="E1348" s="57"/>
      <c r="H1348" s="18"/>
    </row>
    <row r="1349">
      <c r="C1349" s="18"/>
      <c r="D1349" s="19"/>
      <c r="E1349" s="57"/>
      <c r="H1349" s="18"/>
    </row>
    <row r="1350">
      <c r="C1350" s="18"/>
      <c r="D1350" s="19"/>
      <c r="E1350" s="57"/>
      <c r="H1350" s="18"/>
    </row>
    <row r="1351">
      <c r="C1351" s="18"/>
      <c r="D1351" s="19"/>
      <c r="E1351" s="57"/>
      <c r="H1351" s="18"/>
    </row>
    <row r="1352">
      <c r="C1352" s="18"/>
      <c r="D1352" s="19"/>
      <c r="E1352" s="57"/>
      <c r="H1352" s="18"/>
    </row>
    <row r="1353">
      <c r="C1353" s="18"/>
      <c r="D1353" s="19"/>
      <c r="E1353" s="57"/>
      <c r="H1353" s="18"/>
    </row>
    <row r="1354">
      <c r="C1354" s="18"/>
      <c r="D1354" s="19"/>
      <c r="E1354" s="57"/>
      <c r="H1354" s="18"/>
    </row>
    <row r="1355">
      <c r="C1355" s="18"/>
      <c r="D1355" s="19"/>
      <c r="E1355" s="57"/>
      <c r="H1355" s="18"/>
    </row>
    <row r="1356">
      <c r="C1356" s="18"/>
      <c r="D1356" s="19"/>
      <c r="E1356" s="57"/>
      <c r="H1356" s="18"/>
    </row>
    <row r="1357">
      <c r="C1357" s="18"/>
      <c r="D1357" s="19"/>
      <c r="E1357" s="57"/>
      <c r="H1357" s="18"/>
    </row>
    <row r="1358">
      <c r="C1358" s="18"/>
      <c r="D1358" s="19"/>
      <c r="E1358" s="57"/>
      <c r="H1358" s="18"/>
    </row>
    <row r="1359">
      <c r="C1359" s="18"/>
      <c r="D1359" s="19"/>
      <c r="E1359" s="57"/>
      <c r="H1359" s="18"/>
    </row>
    <row r="1360">
      <c r="C1360" s="18"/>
      <c r="D1360" s="19"/>
      <c r="E1360" s="57"/>
      <c r="H1360" s="18"/>
    </row>
    <row r="1361">
      <c r="C1361" s="18"/>
      <c r="D1361" s="19"/>
      <c r="E1361" s="57"/>
      <c r="H1361" s="18"/>
    </row>
    <row r="1362">
      <c r="C1362" s="18"/>
      <c r="D1362" s="19"/>
      <c r="E1362" s="57"/>
      <c r="H1362" s="18"/>
    </row>
    <row r="1363">
      <c r="C1363" s="18"/>
      <c r="D1363" s="19"/>
      <c r="E1363" s="57"/>
      <c r="H1363" s="18"/>
    </row>
    <row r="1364">
      <c r="C1364" s="18"/>
      <c r="D1364" s="19"/>
      <c r="E1364" s="57"/>
      <c r="H1364" s="18"/>
    </row>
    <row r="1365">
      <c r="C1365" s="18"/>
      <c r="D1365" s="19"/>
      <c r="E1365" s="57"/>
      <c r="H1365" s="18"/>
    </row>
    <row r="1366">
      <c r="C1366" s="18"/>
      <c r="D1366" s="19"/>
      <c r="E1366" s="57"/>
      <c r="H1366" s="18"/>
    </row>
    <row r="1367">
      <c r="C1367" s="18"/>
      <c r="D1367" s="19"/>
      <c r="E1367" s="57"/>
      <c r="H1367" s="18"/>
    </row>
    <row r="1368">
      <c r="C1368" s="18"/>
      <c r="D1368" s="19"/>
      <c r="E1368" s="57"/>
      <c r="H1368" s="18"/>
    </row>
    <row r="1369">
      <c r="C1369" s="18"/>
      <c r="D1369" s="19"/>
      <c r="E1369" s="57"/>
      <c r="H1369" s="18"/>
    </row>
    <row r="1370">
      <c r="C1370" s="18"/>
      <c r="D1370" s="19"/>
      <c r="E1370" s="57"/>
      <c r="H1370" s="18"/>
    </row>
    <row r="1371">
      <c r="C1371" s="18"/>
      <c r="D1371" s="19"/>
      <c r="E1371" s="57"/>
      <c r="H1371" s="18"/>
    </row>
    <row r="1372">
      <c r="C1372" s="18"/>
      <c r="D1372" s="19"/>
      <c r="E1372" s="57"/>
      <c r="H1372" s="18"/>
    </row>
    <row r="1373">
      <c r="C1373" s="18"/>
      <c r="D1373" s="19"/>
      <c r="E1373" s="57"/>
      <c r="H1373" s="18"/>
    </row>
    <row r="1374">
      <c r="C1374" s="18"/>
      <c r="D1374" s="19"/>
      <c r="E1374" s="57"/>
      <c r="H1374" s="18"/>
    </row>
    <row r="1375">
      <c r="C1375" s="18"/>
      <c r="D1375" s="19"/>
      <c r="E1375" s="57"/>
      <c r="H1375" s="18"/>
    </row>
    <row r="1376">
      <c r="C1376" s="18"/>
      <c r="D1376" s="19"/>
      <c r="E1376" s="57"/>
      <c r="H1376" s="18"/>
    </row>
    <row r="1377">
      <c r="C1377" s="18"/>
      <c r="D1377" s="19"/>
      <c r="E1377" s="57"/>
      <c r="H1377" s="18"/>
    </row>
    <row r="1378">
      <c r="C1378" s="18"/>
      <c r="D1378" s="19"/>
      <c r="E1378" s="57"/>
      <c r="H1378" s="18"/>
    </row>
    <row r="1379">
      <c r="C1379" s="18"/>
      <c r="D1379" s="19"/>
      <c r="E1379" s="57"/>
      <c r="H1379" s="18"/>
    </row>
    <row r="1380">
      <c r="C1380" s="18"/>
      <c r="D1380" s="19"/>
      <c r="E1380" s="57"/>
      <c r="H1380" s="18"/>
    </row>
    <row r="1381">
      <c r="C1381" s="18"/>
      <c r="D1381" s="19"/>
      <c r="E1381" s="57"/>
      <c r="H1381" s="18"/>
    </row>
    <row r="1382">
      <c r="C1382" s="18"/>
      <c r="D1382" s="19"/>
      <c r="E1382" s="57"/>
      <c r="H1382" s="18"/>
    </row>
    <row r="1383">
      <c r="C1383" s="18"/>
      <c r="D1383" s="19"/>
      <c r="E1383" s="57"/>
      <c r="H1383" s="18"/>
    </row>
    <row r="1384">
      <c r="C1384" s="18"/>
      <c r="D1384" s="19"/>
      <c r="E1384" s="57"/>
      <c r="H1384" s="18"/>
    </row>
    <row r="1385">
      <c r="C1385" s="18"/>
      <c r="D1385" s="19"/>
      <c r="E1385" s="57"/>
      <c r="H1385" s="18"/>
    </row>
    <row r="1386">
      <c r="C1386" s="18"/>
      <c r="D1386" s="19"/>
      <c r="E1386" s="57"/>
      <c r="H1386" s="18"/>
    </row>
    <row r="1387">
      <c r="C1387" s="18"/>
      <c r="D1387" s="19"/>
      <c r="E1387" s="57"/>
      <c r="H1387" s="18"/>
    </row>
    <row r="1388">
      <c r="C1388" s="18"/>
      <c r="D1388" s="19"/>
      <c r="E1388" s="57"/>
      <c r="H1388" s="18"/>
    </row>
    <row r="1389">
      <c r="C1389" s="18"/>
      <c r="D1389" s="19"/>
      <c r="E1389" s="57"/>
      <c r="H1389" s="18"/>
    </row>
    <row r="1390">
      <c r="C1390" s="18"/>
      <c r="D1390" s="19"/>
      <c r="E1390" s="57"/>
      <c r="H1390" s="18"/>
    </row>
    <row r="1391">
      <c r="C1391" s="18"/>
      <c r="D1391" s="19"/>
      <c r="E1391" s="57"/>
      <c r="H1391" s="18"/>
    </row>
    <row r="1392">
      <c r="C1392" s="18"/>
      <c r="D1392" s="19"/>
      <c r="E1392" s="57"/>
      <c r="H1392" s="18"/>
    </row>
    <row r="1393">
      <c r="C1393" s="18"/>
      <c r="D1393" s="19"/>
      <c r="E1393" s="57"/>
      <c r="H1393" s="18"/>
    </row>
    <row r="1394">
      <c r="C1394" s="18"/>
      <c r="D1394" s="19"/>
      <c r="E1394" s="57"/>
      <c r="H1394" s="18"/>
    </row>
    <row r="1395">
      <c r="C1395" s="18"/>
      <c r="D1395" s="19"/>
      <c r="E1395" s="57"/>
      <c r="H1395" s="18"/>
    </row>
    <row r="1396">
      <c r="C1396" s="18"/>
      <c r="D1396" s="19"/>
      <c r="E1396" s="57"/>
      <c r="H1396" s="18"/>
    </row>
    <row r="1397">
      <c r="C1397" s="18"/>
      <c r="D1397" s="19"/>
      <c r="E1397" s="57"/>
      <c r="H1397" s="18"/>
    </row>
    <row r="1398">
      <c r="C1398" s="18"/>
      <c r="D1398" s="19"/>
      <c r="E1398" s="57"/>
      <c r="H1398" s="18"/>
    </row>
    <row r="1399">
      <c r="C1399" s="18"/>
      <c r="D1399" s="19"/>
      <c r="E1399" s="57"/>
      <c r="H1399" s="18"/>
    </row>
    <row r="1400">
      <c r="C1400" s="18"/>
      <c r="D1400" s="19"/>
      <c r="E1400" s="57"/>
      <c r="H1400" s="18"/>
    </row>
    <row r="1401">
      <c r="C1401" s="18"/>
      <c r="D1401" s="19"/>
      <c r="E1401" s="57"/>
      <c r="H1401" s="18"/>
    </row>
    <row r="1402">
      <c r="C1402" s="18"/>
      <c r="D1402" s="19"/>
      <c r="E1402" s="57"/>
      <c r="H1402" s="18"/>
    </row>
    <row r="1403">
      <c r="C1403" s="18"/>
      <c r="D1403" s="19"/>
      <c r="E1403" s="57"/>
      <c r="H1403" s="18"/>
    </row>
    <row r="1404">
      <c r="C1404" s="18"/>
      <c r="D1404" s="19"/>
      <c r="E1404" s="57"/>
      <c r="H1404" s="18"/>
    </row>
    <row r="1405">
      <c r="C1405" s="18"/>
      <c r="D1405" s="19"/>
      <c r="E1405" s="57"/>
      <c r="H1405" s="18"/>
    </row>
    <row r="1406">
      <c r="C1406" s="18"/>
      <c r="D1406" s="19"/>
      <c r="E1406" s="57"/>
      <c r="H1406" s="18"/>
    </row>
    <row r="1407">
      <c r="C1407" s="18"/>
      <c r="D1407" s="19"/>
      <c r="E1407" s="57"/>
      <c r="H1407" s="18"/>
    </row>
    <row r="1408">
      <c r="C1408" s="18"/>
      <c r="D1408" s="19"/>
      <c r="E1408" s="57"/>
      <c r="H1408" s="18"/>
    </row>
    <row r="1409">
      <c r="C1409" s="18"/>
      <c r="D1409" s="19"/>
      <c r="E1409" s="57"/>
      <c r="H1409" s="18"/>
    </row>
    <row r="1410">
      <c r="C1410" s="18"/>
      <c r="D1410" s="19"/>
      <c r="E1410" s="57"/>
      <c r="H1410" s="18"/>
    </row>
    <row r="1411">
      <c r="C1411" s="18"/>
      <c r="D1411" s="19"/>
      <c r="E1411" s="57"/>
      <c r="H1411" s="18"/>
    </row>
    <row r="1412">
      <c r="C1412" s="18"/>
      <c r="D1412" s="19"/>
      <c r="E1412" s="57"/>
      <c r="H1412" s="18"/>
    </row>
    <row r="1413">
      <c r="C1413" s="18"/>
      <c r="D1413" s="19"/>
      <c r="E1413" s="57"/>
      <c r="H1413" s="18"/>
    </row>
    <row r="1414">
      <c r="C1414" s="18"/>
      <c r="D1414" s="19"/>
      <c r="E1414" s="57"/>
      <c r="H1414" s="18"/>
    </row>
    <row r="1415">
      <c r="C1415" s="18"/>
      <c r="D1415" s="19"/>
      <c r="E1415" s="57"/>
      <c r="H1415" s="18"/>
    </row>
    <row r="1416">
      <c r="C1416" s="18"/>
      <c r="D1416" s="19"/>
      <c r="E1416" s="57"/>
      <c r="H1416" s="18"/>
    </row>
    <row r="1417">
      <c r="C1417" s="18"/>
      <c r="D1417" s="19"/>
      <c r="E1417" s="57"/>
      <c r="H1417" s="18"/>
    </row>
    <row r="1418">
      <c r="C1418" s="18"/>
      <c r="D1418" s="19"/>
      <c r="E1418" s="57"/>
      <c r="H1418" s="18"/>
    </row>
    <row r="1419">
      <c r="C1419" s="18"/>
      <c r="D1419" s="19"/>
      <c r="E1419" s="57"/>
      <c r="H1419" s="18"/>
    </row>
    <row r="1420">
      <c r="C1420" s="18"/>
      <c r="D1420" s="19"/>
      <c r="E1420" s="57"/>
      <c r="H1420" s="18"/>
    </row>
    <row r="1421">
      <c r="C1421" s="18"/>
      <c r="D1421" s="19"/>
      <c r="E1421" s="57"/>
      <c r="H1421" s="18"/>
    </row>
    <row r="1422">
      <c r="C1422" s="18"/>
      <c r="D1422" s="19"/>
      <c r="E1422" s="57"/>
      <c r="H1422" s="18"/>
    </row>
    <row r="1423">
      <c r="C1423" s="18"/>
      <c r="D1423" s="19"/>
      <c r="E1423" s="57"/>
      <c r="H1423" s="18"/>
    </row>
    <row r="1424">
      <c r="C1424" s="18"/>
      <c r="D1424" s="19"/>
      <c r="E1424" s="57"/>
      <c r="H1424" s="18"/>
    </row>
    <row r="1425">
      <c r="C1425" s="18"/>
      <c r="D1425" s="19"/>
      <c r="E1425" s="57"/>
      <c r="H1425" s="18"/>
    </row>
    <row r="1426">
      <c r="C1426" s="18"/>
      <c r="D1426" s="19"/>
      <c r="E1426" s="57"/>
      <c r="H1426" s="18"/>
    </row>
    <row r="1427">
      <c r="C1427" s="18"/>
      <c r="D1427" s="19"/>
      <c r="E1427" s="57"/>
      <c r="H1427" s="18"/>
    </row>
    <row r="1428">
      <c r="C1428" s="18"/>
      <c r="D1428" s="19"/>
      <c r="E1428" s="57"/>
      <c r="H1428" s="18"/>
    </row>
    <row r="1429">
      <c r="C1429" s="18"/>
      <c r="D1429" s="19"/>
      <c r="E1429" s="57"/>
      <c r="H1429" s="18"/>
    </row>
    <row r="1430">
      <c r="C1430" s="18"/>
      <c r="D1430" s="19"/>
      <c r="E1430" s="57"/>
      <c r="H1430" s="18"/>
    </row>
    <row r="1431">
      <c r="C1431" s="18"/>
      <c r="D1431" s="19"/>
      <c r="E1431" s="57"/>
      <c r="H1431" s="18"/>
    </row>
    <row r="1432">
      <c r="C1432" s="18"/>
      <c r="D1432" s="19"/>
      <c r="E1432" s="57"/>
      <c r="H1432" s="18"/>
    </row>
    <row r="1433">
      <c r="C1433" s="18"/>
      <c r="D1433" s="19"/>
      <c r="E1433" s="57"/>
      <c r="H1433" s="18"/>
    </row>
    <row r="1434">
      <c r="C1434" s="18"/>
      <c r="D1434" s="19"/>
      <c r="E1434" s="57"/>
      <c r="H1434" s="18"/>
    </row>
    <row r="1435">
      <c r="C1435" s="18"/>
      <c r="D1435" s="19"/>
      <c r="E1435" s="57"/>
      <c r="H1435" s="18"/>
    </row>
    <row r="1436">
      <c r="C1436" s="18"/>
      <c r="D1436" s="19"/>
      <c r="E1436" s="57"/>
      <c r="H1436" s="18"/>
    </row>
    <row r="1437">
      <c r="C1437" s="18"/>
      <c r="D1437" s="19"/>
      <c r="E1437" s="57"/>
      <c r="H1437" s="18"/>
    </row>
    <row r="1438">
      <c r="C1438" s="18"/>
      <c r="D1438" s="19"/>
      <c r="E1438" s="57"/>
      <c r="H1438" s="18"/>
    </row>
    <row r="1439">
      <c r="C1439" s="18"/>
      <c r="D1439" s="19"/>
      <c r="E1439" s="57"/>
      <c r="H1439" s="18"/>
    </row>
    <row r="1440">
      <c r="C1440" s="18"/>
      <c r="D1440" s="19"/>
      <c r="E1440" s="57"/>
      <c r="H1440" s="18"/>
    </row>
    <row r="1441">
      <c r="C1441" s="18"/>
      <c r="D1441" s="19"/>
      <c r="E1441" s="57"/>
      <c r="H1441" s="18"/>
    </row>
    <row r="1442">
      <c r="C1442" s="18"/>
      <c r="D1442" s="19"/>
      <c r="E1442" s="57"/>
      <c r="H1442" s="18"/>
    </row>
    <row r="1443">
      <c r="C1443" s="18"/>
      <c r="D1443" s="19"/>
      <c r="E1443" s="57"/>
      <c r="H1443" s="18"/>
    </row>
    <row r="1444">
      <c r="C1444" s="18"/>
      <c r="D1444" s="19"/>
      <c r="E1444" s="57"/>
      <c r="H1444" s="18"/>
    </row>
    <row r="1445">
      <c r="C1445" s="18"/>
      <c r="D1445" s="19"/>
      <c r="E1445" s="57"/>
      <c r="H1445" s="18"/>
    </row>
    <row r="1446">
      <c r="C1446" s="18"/>
      <c r="D1446" s="19"/>
      <c r="E1446" s="57"/>
      <c r="H1446" s="18"/>
    </row>
    <row r="1447">
      <c r="C1447" s="18"/>
      <c r="D1447" s="19"/>
      <c r="E1447" s="57"/>
      <c r="H1447" s="18"/>
    </row>
    <row r="1448">
      <c r="C1448" s="18"/>
      <c r="D1448" s="19"/>
      <c r="E1448" s="57"/>
      <c r="H1448" s="18"/>
    </row>
    <row r="1449">
      <c r="C1449" s="18"/>
      <c r="D1449" s="19"/>
      <c r="E1449" s="57"/>
      <c r="H1449" s="18"/>
    </row>
    <row r="1450">
      <c r="C1450" s="18"/>
      <c r="D1450" s="19"/>
      <c r="E1450" s="57"/>
      <c r="H1450" s="18"/>
    </row>
    <row r="1451">
      <c r="C1451" s="18"/>
      <c r="D1451" s="19"/>
      <c r="E1451" s="57"/>
      <c r="H1451" s="18"/>
    </row>
    <row r="1452">
      <c r="C1452" s="18"/>
      <c r="D1452" s="19"/>
      <c r="E1452" s="57"/>
      <c r="H1452" s="18"/>
    </row>
    <row r="1453">
      <c r="C1453" s="18"/>
      <c r="D1453" s="19"/>
      <c r="E1453" s="57"/>
      <c r="H1453" s="18"/>
    </row>
    <row r="1454">
      <c r="C1454" s="18"/>
      <c r="D1454" s="19"/>
      <c r="E1454" s="57"/>
      <c r="H1454" s="18"/>
    </row>
    <row r="1455">
      <c r="C1455" s="18"/>
      <c r="D1455" s="19"/>
      <c r="E1455" s="57"/>
      <c r="H1455" s="18"/>
    </row>
    <row r="1456">
      <c r="C1456" s="18"/>
      <c r="D1456" s="19"/>
      <c r="E1456" s="57"/>
      <c r="H1456" s="18"/>
    </row>
    <row r="1457">
      <c r="C1457" s="18"/>
      <c r="D1457" s="19"/>
      <c r="E1457" s="57"/>
      <c r="H1457" s="18"/>
    </row>
    <row r="1458">
      <c r="C1458" s="18"/>
      <c r="D1458" s="19"/>
      <c r="E1458" s="57"/>
      <c r="H1458" s="18"/>
    </row>
    <row r="1459">
      <c r="C1459" s="18"/>
      <c r="D1459" s="19"/>
      <c r="E1459" s="57"/>
      <c r="H1459" s="18"/>
    </row>
    <row r="1460">
      <c r="C1460" s="18"/>
      <c r="D1460" s="19"/>
      <c r="E1460" s="57"/>
      <c r="H1460" s="18"/>
    </row>
    <row r="1461">
      <c r="C1461" s="18"/>
      <c r="D1461" s="19"/>
      <c r="E1461" s="57"/>
      <c r="H1461" s="18"/>
    </row>
    <row r="1462">
      <c r="C1462" s="18"/>
      <c r="D1462" s="19"/>
      <c r="E1462" s="57"/>
      <c r="H1462" s="18"/>
    </row>
    <row r="1463">
      <c r="C1463" s="18"/>
      <c r="D1463" s="19"/>
      <c r="E1463" s="57"/>
      <c r="H1463" s="18"/>
    </row>
    <row r="1464">
      <c r="C1464" s="18"/>
      <c r="D1464" s="19"/>
      <c r="E1464" s="57"/>
      <c r="H1464" s="18"/>
    </row>
    <row r="1465">
      <c r="C1465" s="18"/>
      <c r="D1465" s="19"/>
      <c r="E1465" s="57"/>
      <c r="H1465" s="18"/>
    </row>
    <row r="1466">
      <c r="C1466" s="18"/>
      <c r="D1466" s="19"/>
      <c r="E1466" s="57"/>
      <c r="H1466" s="18"/>
    </row>
    <row r="1467">
      <c r="C1467" s="18"/>
      <c r="D1467" s="19"/>
      <c r="E1467" s="57"/>
      <c r="H1467" s="18"/>
    </row>
    <row r="1468">
      <c r="C1468" s="18"/>
      <c r="D1468" s="19"/>
      <c r="E1468" s="57"/>
      <c r="H1468" s="18"/>
    </row>
    <row r="1469">
      <c r="C1469" s="18"/>
      <c r="D1469" s="19"/>
      <c r="E1469" s="57"/>
      <c r="H1469" s="18"/>
    </row>
    <row r="1470">
      <c r="C1470" s="18"/>
      <c r="D1470" s="19"/>
      <c r="E1470" s="57"/>
      <c r="H1470" s="18"/>
    </row>
    <row r="1471">
      <c r="C1471" s="18"/>
      <c r="D1471" s="19"/>
      <c r="E1471" s="57"/>
      <c r="H1471" s="18"/>
    </row>
    <row r="1472">
      <c r="C1472" s="18"/>
      <c r="D1472" s="19"/>
      <c r="E1472" s="57"/>
      <c r="H1472" s="18"/>
    </row>
    <row r="1473">
      <c r="C1473" s="18"/>
      <c r="D1473" s="19"/>
      <c r="E1473" s="57"/>
      <c r="H1473" s="18"/>
    </row>
    <row r="1474">
      <c r="C1474" s="18"/>
      <c r="D1474" s="19"/>
      <c r="E1474" s="57"/>
      <c r="H1474" s="18"/>
    </row>
    <row r="1475">
      <c r="C1475" s="18"/>
      <c r="D1475" s="19"/>
      <c r="E1475" s="57"/>
      <c r="H1475" s="18"/>
    </row>
    <row r="1476">
      <c r="C1476" s="18"/>
      <c r="D1476" s="19"/>
      <c r="E1476" s="57"/>
      <c r="H1476" s="18"/>
    </row>
    <row r="1477">
      <c r="C1477" s="18"/>
      <c r="D1477" s="19"/>
      <c r="E1477" s="57"/>
      <c r="H1477" s="18"/>
    </row>
    <row r="1478">
      <c r="C1478" s="18"/>
      <c r="D1478" s="19"/>
      <c r="E1478" s="57"/>
      <c r="H1478" s="18"/>
    </row>
    <row r="1479">
      <c r="C1479" s="18"/>
      <c r="D1479" s="19"/>
      <c r="E1479" s="57"/>
      <c r="H1479" s="18"/>
    </row>
    <row r="1480">
      <c r="C1480" s="18"/>
      <c r="D1480" s="19"/>
      <c r="E1480" s="57"/>
      <c r="H1480" s="18"/>
    </row>
    <row r="1481">
      <c r="C1481" s="18"/>
      <c r="D1481" s="19"/>
      <c r="E1481" s="57"/>
      <c r="H1481" s="18"/>
    </row>
    <row r="1482">
      <c r="C1482" s="18"/>
      <c r="D1482" s="19"/>
      <c r="E1482" s="57"/>
      <c r="H1482" s="18"/>
    </row>
    <row r="1483">
      <c r="C1483" s="18"/>
      <c r="D1483" s="19"/>
      <c r="E1483" s="57"/>
      <c r="H1483" s="18"/>
    </row>
    <row r="1484">
      <c r="C1484" s="18"/>
      <c r="D1484" s="19"/>
      <c r="E1484" s="57"/>
      <c r="H1484" s="18"/>
    </row>
    <row r="1485">
      <c r="C1485" s="18"/>
      <c r="D1485" s="19"/>
      <c r="E1485" s="57"/>
      <c r="H1485" s="18"/>
    </row>
    <row r="1486">
      <c r="C1486" s="18"/>
      <c r="D1486" s="19"/>
      <c r="E1486" s="57"/>
      <c r="H1486" s="18"/>
    </row>
    <row r="1487">
      <c r="C1487" s="18"/>
      <c r="D1487" s="19"/>
      <c r="E1487" s="57"/>
      <c r="H1487" s="18"/>
    </row>
    <row r="1488">
      <c r="C1488" s="18"/>
      <c r="D1488" s="19"/>
      <c r="E1488" s="57"/>
      <c r="H1488" s="18"/>
    </row>
    <row r="1489">
      <c r="C1489" s="18"/>
      <c r="D1489" s="19"/>
      <c r="E1489" s="57"/>
      <c r="H1489" s="18"/>
    </row>
    <row r="1490">
      <c r="C1490" s="18"/>
      <c r="D1490" s="19"/>
      <c r="E1490" s="57"/>
      <c r="H1490" s="18"/>
    </row>
    <row r="1491">
      <c r="C1491" s="18"/>
      <c r="D1491" s="19"/>
      <c r="E1491" s="57"/>
      <c r="H1491" s="18"/>
    </row>
    <row r="1492">
      <c r="C1492" s="18"/>
      <c r="D1492" s="19"/>
      <c r="E1492" s="57"/>
      <c r="H1492" s="18"/>
    </row>
    <row r="1493">
      <c r="C1493" s="18"/>
      <c r="D1493" s="19"/>
      <c r="E1493" s="57"/>
      <c r="H1493" s="18"/>
    </row>
    <row r="1494">
      <c r="C1494" s="18"/>
      <c r="D1494" s="19"/>
      <c r="E1494" s="57"/>
      <c r="H1494" s="18"/>
    </row>
    <row r="1495">
      <c r="C1495" s="18"/>
      <c r="D1495" s="19"/>
      <c r="E1495" s="57"/>
      <c r="H1495" s="18"/>
    </row>
    <row r="1496">
      <c r="C1496" s="18"/>
      <c r="D1496" s="19"/>
      <c r="E1496" s="57"/>
      <c r="H1496" s="18"/>
    </row>
    <row r="1497">
      <c r="C1497" s="18"/>
      <c r="D1497" s="19"/>
      <c r="E1497" s="57"/>
      <c r="H1497" s="18"/>
    </row>
    <row r="1498">
      <c r="C1498" s="18"/>
      <c r="D1498" s="19"/>
      <c r="E1498" s="57"/>
      <c r="H1498" s="18"/>
    </row>
    <row r="1499">
      <c r="C1499" s="18"/>
      <c r="D1499" s="19"/>
      <c r="E1499" s="57"/>
      <c r="H1499" s="18"/>
    </row>
    <row r="1500">
      <c r="C1500" s="18"/>
      <c r="D1500" s="19"/>
      <c r="E1500" s="57"/>
      <c r="H1500" s="18"/>
    </row>
    <row r="1501">
      <c r="C1501" s="18"/>
      <c r="D1501" s="19"/>
      <c r="E1501" s="57"/>
      <c r="H1501" s="18"/>
    </row>
    <row r="1502">
      <c r="C1502" s="18"/>
      <c r="D1502" s="19"/>
      <c r="E1502" s="57"/>
      <c r="H1502" s="18"/>
    </row>
    <row r="1503">
      <c r="C1503" s="18"/>
      <c r="D1503" s="19"/>
      <c r="E1503" s="57"/>
      <c r="H1503" s="18"/>
    </row>
    <row r="1504">
      <c r="C1504" s="18"/>
      <c r="D1504" s="19"/>
      <c r="E1504" s="57"/>
      <c r="H1504" s="18"/>
    </row>
    <row r="1505">
      <c r="C1505" s="18"/>
      <c r="D1505" s="19"/>
      <c r="E1505" s="57"/>
      <c r="H1505" s="18"/>
    </row>
    <row r="1506">
      <c r="C1506" s="18"/>
      <c r="D1506" s="19"/>
      <c r="E1506" s="57"/>
      <c r="H1506" s="18"/>
    </row>
    <row r="1507">
      <c r="C1507" s="18"/>
      <c r="D1507" s="19"/>
      <c r="E1507" s="57"/>
      <c r="H1507" s="18"/>
    </row>
    <row r="1508">
      <c r="C1508" s="18"/>
      <c r="D1508" s="19"/>
      <c r="E1508" s="57"/>
      <c r="H1508" s="18"/>
    </row>
    <row r="1509">
      <c r="C1509" s="18"/>
      <c r="D1509" s="19"/>
      <c r="E1509" s="57"/>
      <c r="H1509" s="18"/>
    </row>
    <row r="1510">
      <c r="C1510" s="18"/>
      <c r="D1510" s="19"/>
      <c r="E1510" s="57"/>
      <c r="H1510" s="18"/>
    </row>
    <row r="1511">
      <c r="C1511" s="18"/>
      <c r="D1511" s="19"/>
      <c r="E1511" s="57"/>
      <c r="H1511" s="18"/>
    </row>
    <row r="1512">
      <c r="C1512" s="18"/>
      <c r="D1512" s="19"/>
      <c r="E1512" s="57"/>
      <c r="H1512" s="18"/>
    </row>
    <row r="1513">
      <c r="C1513" s="18"/>
      <c r="D1513" s="19"/>
      <c r="E1513" s="57"/>
      <c r="H1513" s="18"/>
    </row>
    <row r="1514">
      <c r="C1514" s="18"/>
      <c r="D1514" s="19"/>
      <c r="E1514" s="57"/>
      <c r="H1514" s="18"/>
    </row>
    <row r="1515">
      <c r="C1515" s="18"/>
      <c r="D1515" s="19"/>
      <c r="E1515" s="57"/>
      <c r="H1515" s="18"/>
    </row>
    <row r="1516">
      <c r="C1516" s="18"/>
      <c r="D1516" s="19"/>
      <c r="E1516" s="57"/>
      <c r="H1516" s="18"/>
    </row>
    <row r="1517">
      <c r="C1517" s="18"/>
      <c r="D1517" s="19"/>
      <c r="E1517" s="57"/>
      <c r="H1517" s="18"/>
    </row>
    <row r="1518">
      <c r="C1518" s="18"/>
      <c r="D1518" s="19"/>
      <c r="E1518" s="57"/>
      <c r="H1518" s="18"/>
    </row>
    <row r="1519">
      <c r="C1519" s="18"/>
      <c r="D1519" s="19"/>
      <c r="E1519" s="57"/>
      <c r="H1519" s="18"/>
    </row>
    <row r="1520">
      <c r="C1520" s="18"/>
      <c r="D1520" s="19"/>
      <c r="E1520" s="57"/>
      <c r="H1520" s="18"/>
    </row>
    <row r="1521">
      <c r="C1521" s="18"/>
      <c r="D1521" s="19"/>
      <c r="E1521" s="57"/>
      <c r="H1521" s="18"/>
    </row>
    <row r="1522">
      <c r="C1522" s="18"/>
      <c r="D1522" s="19"/>
      <c r="E1522" s="57"/>
      <c r="H1522" s="18"/>
    </row>
    <row r="1523">
      <c r="C1523" s="18"/>
      <c r="D1523" s="19"/>
      <c r="E1523" s="57"/>
      <c r="H1523" s="18"/>
    </row>
    <row r="1524">
      <c r="C1524" s="18"/>
      <c r="D1524" s="19"/>
      <c r="E1524" s="57"/>
      <c r="H1524" s="18"/>
    </row>
    <row r="1525">
      <c r="C1525" s="18"/>
      <c r="D1525" s="19"/>
      <c r="E1525" s="57"/>
      <c r="H1525" s="18"/>
    </row>
    <row r="1526">
      <c r="C1526" s="18"/>
      <c r="D1526" s="19"/>
      <c r="E1526" s="57"/>
      <c r="H1526" s="18"/>
    </row>
    <row r="1527">
      <c r="C1527" s="18"/>
      <c r="D1527" s="19"/>
      <c r="E1527" s="57"/>
      <c r="H1527" s="18"/>
    </row>
    <row r="1528">
      <c r="C1528" s="18"/>
      <c r="D1528" s="19"/>
      <c r="E1528" s="57"/>
      <c r="H1528" s="18"/>
    </row>
    <row r="1529">
      <c r="C1529" s="18"/>
      <c r="D1529" s="19"/>
      <c r="E1529" s="57"/>
      <c r="H1529" s="18"/>
    </row>
    <row r="1530">
      <c r="C1530" s="18"/>
      <c r="D1530" s="19"/>
      <c r="E1530" s="57"/>
      <c r="H1530" s="18"/>
    </row>
    <row r="1531">
      <c r="C1531" s="18"/>
      <c r="D1531" s="19"/>
      <c r="E1531" s="57"/>
      <c r="H1531" s="18"/>
    </row>
    <row r="1532">
      <c r="C1532" s="18"/>
      <c r="D1532" s="19"/>
      <c r="E1532" s="57"/>
      <c r="H1532" s="18"/>
    </row>
    <row r="1533">
      <c r="C1533" s="18"/>
      <c r="D1533" s="19"/>
      <c r="E1533" s="57"/>
      <c r="H1533" s="18"/>
    </row>
    <row r="1534">
      <c r="C1534" s="18"/>
      <c r="D1534" s="19"/>
      <c r="E1534" s="57"/>
      <c r="H1534" s="18"/>
    </row>
    <row r="1535">
      <c r="C1535" s="18"/>
      <c r="D1535" s="19"/>
      <c r="E1535" s="57"/>
      <c r="H1535" s="18"/>
    </row>
    <row r="1536">
      <c r="C1536" s="18"/>
      <c r="D1536" s="19"/>
      <c r="E1536" s="57"/>
      <c r="H1536" s="18"/>
    </row>
    <row r="1537">
      <c r="C1537" s="18"/>
      <c r="D1537" s="19"/>
      <c r="E1537" s="57"/>
      <c r="H1537" s="18"/>
    </row>
    <row r="1538">
      <c r="C1538" s="18"/>
      <c r="D1538" s="19"/>
      <c r="E1538" s="57"/>
      <c r="H1538" s="18"/>
    </row>
    <row r="1539">
      <c r="C1539" s="18"/>
      <c r="D1539" s="19"/>
      <c r="E1539" s="57"/>
      <c r="H1539" s="18"/>
    </row>
    <row r="1540">
      <c r="C1540" s="18"/>
      <c r="D1540" s="19"/>
      <c r="E1540" s="57"/>
      <c r="H1540" s="18"/>
    </row>
    <row r="1541">
      <c r="C1541" s="18"/>
      <c r="D1541" s="19"/>
      <c r="E1541" s="57"/>
      <c r="H1541" s="18"/>
    </row>
    <row r="1542">
      <c r="C1542" s="18"/>
      <c r="D1542" s="19"/>
      <c r="E1542" s="57"/>
      <c r="H1542" s="18"/>
    </row>
    <row r="1543">
      <c r="C1543" s="18"/>
      <c r="D1543" s="19"/>
      <c r="E1543" s="57"/>
      <c r="H1543" s="18"/>
    </row>
    <row r="1544">
      <c r="C1544" s="18"/>
      <c r="D1544" s="19"/>
      <c r="E1544" s="57"/>
      <c r="H1544" s="18"/>
    </row>
    <row r="1545">
      <c r="C1545" s="18"/>
      <c r="D1545" s="19"/>
      <c r="E1545" s="57"/>
      <c r="H1545" s="18"/>
    </row>
    <row r="1546">
      <c r="C1546" s="18"/>
      <c r="D1546" s="19"/>
      <c r="E1546" s="57"/>
      <c r="H1546" s="18"/>
    </row>
    <row r="1547">
      <c r="C1547" s="18"/>
      <c r="D1547" s="19"/>
      <c r="E1547" s="57"/>
      <c r="H1547" s="18"/>
    </row>
    <row r="1548">
      <c r="C1548" s="18"/>
      <c r="D1548" s="19"/>
      <c r="E1548" s="57"/>
      <c r="H1548" s="18"/>
    </row>
    <row r="1549">
      <c r="C1549" s="18"/>
      <c r="D1549" s="19"/>
      <c r="E1549" s="57"/>
      <c r="H1549" s="18"/>
    </row>
    <row r="1550">
      <c r="C1550" s="18"/>
      <c r="D1550" s="19"/>
      <c r="E1550" s="57"/>
      <c r="H1550" s="18"/>
    </row>
    <row r="1551">
      <c r="C1551" s="18"/>
      <c r="D1551" s="19"/>
      <c r="E1551" s="57"/>
      <c r="H1551" s="18"/>
    </row>
    <row r="1552">
      <c r="C1552" s="18"/>
      <c r="D1552" s="19"/>
      <c r="E1552" s="57"/>
      <c r="H1552" s="18"/>
    </row>
    <row r="1553">
      <c r="C1553" s="18"/>
      <c r="D1553" s="19"/>
      <c r="E1553" s="57"/>
      <c r="H1553" s="18"/>
    </row>
    <row r="1554">
      <c r="C1554" s="18"/>
      <c r="D1554" s="19"/>
      <c r="E1554" s="57"/>
      <c r="H1554" s="18"/>
    </row>
    <row r="1555">
      <c r="C1555" s="18"/>
      <c r="D1555" s="19"/>
      <c r="E1555" s="57"/>
      <c r="H1555" s="18"/>
    </row>
    <row r="1556">
      <c r="C1556" s="18"/>
      <c r="D1556" s="19"/>
      <c r="E1556" s="57"/>
      <c r="H1556" s="18"/>
    </row>
    <row r="1557">
      <c r="C1557" s="18"/>
      <c r="D1557" s="19"/>
      <c r="E1557" s="57"/>
      <c r="H1557" s="18"/>
    </row>
    <row r="1558">
      <c r="C1558" s="18"/>
      <c r="D1558" s="19"/>
      <c r="E1558" s="57"/>
      <c r="H1558" s="18"/>
    </row>
    <row r="1559">
      <c r="C1559" s="18"/>
      <c r="D1559" s="19"/>
      <c r="E1559" s="57"/>
      <c r="H1559" s="18"/>
    </row>
    <row r="1560">
      <c r="C1560" s="18"/>
      <c r="D1560" s="19"/>
      <c r="E1560" s="57"/>
      <c r="H1560" s="18"/>
    </row>
    <row r="1561">
      <c r="C1561" s="18"/>
      <c r="D1561" s="19"/>
      <c r="E1561" s="57"/>
      <c r="H1561" s="18"/>
    </row>
    <row r="1562">
      <c r="C1562" s="18"/>
      <c r="D1562" s="19"/>
      <c r="E1562" s="57"/>
      <c r="H1562" s="18"/>
    </row>
    <row r="1563">
      <c r="C1563" s="18"/>
      <c r="D1563" s="19"/>
      <c r="E1563" s="57"/>
      <c r="H1563" s="18"/>
    </row>
    <row r="1564">
      <c r="C1564" s="18"/>
      <c r="D1564" s="19"/>
      <c r="E1564" s="57"/>
      <c r="H1564" s="18"/>
    </row>
    <row r="1565">
      <c r="C1565" s="18"/>
      <c r="D1565" s="19"/>
      <c r="E1565" s="57"/>
      <c r="H1565" s="18"/>
    </row>
    <row r="1566">
      <c r="C1566" s="18"/>
      <c r="D1566" s="19"/>
      <c r="E1566" s="57"/>
      <c r="H1566" s="18"/>
    </row>
    <row r="1567">
      <c r="C1567" s="18"/>
      <c r="D1567" s="19"/>
      <c r="E1567" s="57"/>
      <c r="H1567" s="18"/>
    </row>
    <row r="1568">
      <c r="C1568" s="18"/>
      <c r="D1568" s="19"/>
      <c r="E1568" s="57"/>
      <c r="H1568" s="18"/>
    </row>
    <row r="1569">
      <c r="C1569" s="18"/>
      <c r="D1569" s="19"/>
      <c r="E1569" s="57"/>
      <c r="H1569" s="18"/>
    </row>
    <row r="1570">
      <c r="C1570" s="18"/>
      <c r="D1570" s="19"/>
      <c r="E1570" s="57"/>
      <c r="H1570" s="18"/>
    </row>
    <row r="1571">
      <c r="C1571" s="18"/>
      <c r="D1571" s="19"/>
      <c r="E1571" s="57"/>
      <c r="H1571" s="18"/>
    </row>
    <row r="1572">
      <c r="C1572" s="18"/>
      <c r="D1572" s="19"/>
      <c r="E1572" s="57"/>
      <c r="H1572" s="18"/>
    </row>
    <row r="1573">
      <c r="C1573" s="18"/>
      <c r="D1573" s="19"/>
      <c r="E1573" s="57"/>
      <c r="H1573" s="18"/>
    </row>
    <row r="1574">
      <c r="C1574" s="18"/>
      <c r="D1574" s="19"/>
      <c r="E1574" s="57"/>
      <c r="H1574" s="18"/>
    </row>
    <row r="1575">
      <c r="C1575" s="18"/>
      <c r="D1575" s="19"/>
      <c r="E1575" s="57"/>
      <c r="H1575" s="18"/>
    </row>
    <row r="1576">
      <c r="C1576" s="18"/>
      <c r="D1576" s="19"/>
      <c r="E1576" s="57"/>
      <c r="H1576" s="18"/>
    </row>
    <row r="1577">
      <c r="C1577" s="18"/>
      <c r="D1577" s="19"/>
      <c r="E1577" s="57"/>
      <c r="H1577" s="18"/>
    </row>
    <row r="1578">
      <c r="C1578" s="18"/>
      <c r="D1578" s="19"/>
      <c r="E1578" s="57"/>
      <c r="H1578" s="18"/>
    </row>
    <row r="1579">
      <c r="C1579" s="18"/>
      <c r="D1579" s="19"/>
      <c r="E1579" s="57"/>
      <c r="H1579" s="18"/>
    </row>
    <row r="1580">
      <c r="C1580" s="18"/>
      <c r="D1580" s="19"/>
      <c r="E1580" s="57"/>
      <c r="H1580" s="18"/>
    </row>
    <row r="1581">
      <c r="C1581" s="18"/>
      <c r="D1581" s="19"/>
      <c r="E1581" s="57"/>
      <c r="H1581" s="18"/>
    </row>
    <row r="1582">
      <c r="C1582" s="18"/>
      <c r="D1582" s="19"/>
      <c r="E1582" s="57"/>
      <c r="H1582" s="18"/>
    </row>
    <row r="1583">
      <c r="C1583" s="18"/>
      <c r="D1583" s="19"/>
      <c r="E1583" s="57"/>
      <c r="H1583" s="18"/>
    </row>
    <row r="1584">
      <c r="C1584" s="18"/>
      <c r="D1584" s="19"/>
      <c r="E1584" s="57"/>
      <c r="H1584" s="18"/>
    </row>
    <row r="1585">
      <c r="C1585" s="18"/>
      <c r="D1585" s="19"/>
      <c r="E1585" s="57"/>
      <c r="H1585" s="18"/>
    </row>
    <row r="1586">
      <c r="C1586" s="18"/>
      <c r="D1586" s="19"/>
      <c r="E1586" s="57"/>
      <c r="H1586" s="18"/>
    </row>
    <row r="1587">
      <c r="C1587" s="18"/>
      <c r="D1587" s="19"/>
      <c r="E1587" s="57"/>
      <c r="H1587" s="18"/>
    </row>
    <row r="1588">
      <c r="C1588" s="18"/>
      <c r="D1588" s="19"/>
      <c r="E1588" s="57"/>
      <c r="H1588" s="18"/>
    </row>
    <row r="1589">
      <c r="C1589" s="18"/>
      <c r="D1589" s="19"/>
      <c r="E1589" s="57"/>
      <c r="H1589" s="18"/>
    </row>
    <row r="1590">
      <c r="C1590" s="18"/>
      <c r="D1590" s="19"/>
      <c r="E1590" s="57"/>
      <c r="H1590" s="18"/>
    </row>
    <row r="1591">
      <c r="C1591" s="18"/>
      <c r="D1591" s="19"/>
      <c r="E1591" s="57"/>
      <c r="H1591" s="18"/>
    </row>
    <row r="1592">
      <c r="C1592" s="18"/>
      <c r="D1592" s="19"/>
      <c r="E1592" s="57"/>
      <c r="H1592" s="18"/>
    </row>
    <row r="1593">
      <c r="C1593" s="18"/>
      <c r="D1593" s="19"/>
      <c r="E1593" s="57"/>
      <c r="H1593" s="18"/>
    </row>
    <row r="1594">
      <c r="C1594" s="18"/>
      <c r="D1594" s="19"/>
      <c r="E1594" s="57"/>
      <c r="H1594" s="18"/>
    </row>
    <row r="1595">
      <c r="C1595" s="18"/>
      <c r="D1595" s="19"/>
      <c r="E1595" s="57"/>
      <c r="H1595" s="18"/>
    </row>
    <row r="1596">
      <c r="C1596" s="18"/>
      <c r="D1596" s="19"/>
      <c r="E1596" s="57"/>
      <c r="H1596" s="18"/>
    </row>
    <row r="1597">
      <c r="C1597" s="18"/>
      <c r="D1597" s="19"/>
      <c r="E1597" s="57"/>
      <c r="H1597" s="18"/>
    </row>
    <row r="1598">
      <c r="C1598" s="18"/>
      <c r="D1598" s="19"/>
      <c r="E1598" s="57"/>
      <c r="H1598" s="18"/>
    </row>
    <row r="1599">
      <c r="C1599" s="18"/>
      <c r="D1599" s="19"/>
      <c r="E1599" s="57"/>
      <c r="H1599" s="18"/>
    </row>
    <row r="1600">
      <c r="C1600" s="18"/>
      <c r="D1600" s="19"/>
      <c r="E1600" s="57"/>
      <c r="H1600" s="18"/>
    </row>
    <row r="1601">
      <c r="C1601" s="18"/>
      <c r="D1601" s="19"/>
      <c r="E1601" s="57"/>
      <c r="H1601" s="18"/>
    </row>
    <row r="1602">
      <c r="C1602" s="18"/>
      <c r="D1602" s="19"/>
      <c r="E1602" s="57"/>
      <c r="H1602" s="18"/>
    </row>
    <row r="1603">
      <c r="C1603" s="18"/>
      <c r="D1603" s="19"/>
      <c r="E1603" s="57"/>
      <c r="H1603" s="18"/>
    </row>
    <row r="1604">
      <c r="C1604" s="18"/>
      <c r="D1604" s="19"/>
      <c r="E1604" s="57"/>
      <c r="H1604" s="18"/>
    </row>
    <row r="1605">
      <c r="C1605" s="18"/>
      <c r="D1605" s="19"/>
      <c r="E1605" s="57"/>
      <c r="H1605" s="18"/>
    </row>
    <row r="1606">
      <c r="C1606" s="18"/>
      <c r="D1606" s="19"/>
      <c r="E1606" s="57"/>
      <c r="H1606" s="18"/>
    </row>
    <row r="1607">
      <c r="C1607" s="18"/>
      <c r="D1607" s="19"/>
      <c r="E1607" s="57"/>
      <c r="H1607" s="18"/>
    </row>
    <row r="1608">
      <c r="C1608" s="18"/>
      <c r="D1608" s="19"/>
      <c r="E1608" s="57"/>
      <c r="H1608" s="18"/>
    </row>
    <row r="1609">
      <c r="C1609" s="18"/>
      <c r="D1609" s="19"/>
      <c r="E1609" s="57"/>
      <c r="H1609" s="18"/>
    </row>
    <row r="1610">
      <c r="C1610" s="18"/>
      <c r="D1610" s="19"/>
      <c r="E1610" s="57"/>
      <c r="H1610" s="18"/>
    </row>
    <row r="1611">
      <c r="C1611" s="18"/>
      <c r="D1611" s="19"/>
      <c r="E1611" s="57"/>
      <c r="H1611" s="18"/>
    </row>
    <row r="1612">
      <c r="C1612" s="18"/>
      <c r="D1612" s="19"/>
      <c r="E1612" s="57"/>
      <c r="H1612" s="18"/>
    </row>
    <row r="1613">
      <c r="C1613" s="18"/>
      <c r="D1613" s="19"/>
      <c r="E1613" s="57"/>
      <c r="H1613" s="18"/>
    </row>
    <row r="1614">
      <c r="C1614" s="18"/>
      <c r="D1614" s="19"/>
      <c r="E1614" s="57"/>
      <c r="H1614" s="18"/>
    </row>
    <row r="1615">
      <c r="C1615" s="18"/>
      <c r="D1615" s="19"/>
      <c r="E1615" s="57"/>
      <c r="H1615" s="18"/>
    </row>
    <row r="1616">
      <c r="C1616" s="18"/>
      <c r="D1616" s="19"/>
      <c r="E1616" s="57"/>
      <c r="H1616" s="18"/>
    </row>
    <row r="1617">
      <c r="C1617" s="18"/>
      <c r="D1617" s="19"/>
      <c r="E1617" s="57"/>
      <c r="H1617" s="18"/>
    </row>
    <row r="1618">
      <c r="C1618" s="18"/>
      <c r="D1618" s="19"/>
      <c r="E1618" s="57"/>
      <c r="H1618" s="18"/>
    </row>
    <row r="1619">
      <c r="C1619" s="18"/>
      <c r="D1619" s="19"/>
      <c r="E1619" s="57"/>
      <c r="H1619" s="18"/>
    </row>
    <row r="1620">
      <c r="C1620" s="18"/>
      <c r="D1620" s="19"/>
      <c r="E1620" s="57"/>
      <c r="H1620" s="18"/>
    </row>
    <row r="1621">
      <c r="C1621" s="18"/>
      <c r="D1621" s="19"/>
      <c r="E1621" s="57"/>
      <c r="H1621" s="18"/>
    </row>
    <row r="1622">
      <c r="C1622" s="18"/>
      <c r="D1622" s="19"/>
      <c r="E1622" s="57"/>
      <c r="H1622" s="18"/>
    </row>
    <row r="1623">
      <c r="C1623" s="18"/>
      <c r="D1623" s="19"/>
      <c r="E1623" s="57"/>
      <c r="H1623" s="18"/>
    </row>
    <row r="1624">
      <c r="C1624" s="18"/>
      <c r="D1624" s="19"/>
      <c r="E1624" s="57"/>
      <c r="H1624" s="18"/>
    </row>
    <row r="1625">
      <c r="C1625" s="18"/>
      <c r="D1625" s="19"/>
      <c r="E1625" s="57"/>
      <c r="H1625" s="18"/>
    </row>
    <row r="1626">
      <c r="C1626" s="18"/>
      <c r="D1626" s="19"/>
      <c r="E1626" s="57"/>
      <c r="H1626" s="18"/>
    </row>
    <row r="1627">
      <c r="C1627" s="18"/>
      <c r="D1627" s="19"/>
      <c r="E1627" s="57"/>
      <c r="H1627" s="18"/>
    </row>
    <row r="1628">
      <c r="C1628" s="18"/>
      <c r="D1628" s="19"/>
      <c r="E1628" s="57"/>
      <c r="H1628" s="18"/>
    </row>
    <row r="1629">
      <c r="C1629" s="18"/>
      <c r="D1629" s="19"/>
      <c r="E1629" s="57"/>
      <c r="H1629" s="18"/>
    </row>
    <row r="1630">
      <c r="C1630" s="18"/>
      <c r="D1630" s="19"/>
      <c r="E1630" s="57"/>
      <c r="H1630" s="18"/>
    </row>
    <row r="1631">
      <c r="C1631" s="18"/>
      <c r="D1631" s="19"/>
      <c r="E1631" s="57"/>
      <c r="H1631" s="18"/>
    </row>
    <row r="1632">
      <c r="C1632" s="18"/>
      <c r="D1632" s="19"/>
      <c r="E1632" s="57"/>
      <c r="H1632" s="18"/>
    </row>
    <row r="1633">
      <c r="C1633" s="18"/>
      <c r="D1633" s="19"/>
      <c r="E1633" s="57"/>
      <c r="H1633" s="18"/>
    </row>
    <row r="1634">
      <c r="C1634" s="18"/>
      <c r="D1634" s="19"/>
      <c r="E1634" s="57"/>
      <c r="H1634" s="18"/>
    </row>
    <row r="1635">
      <c r="C1635" s="18"/>
      <c r="D1635" s="19"/>
      <c r="E1635" s="57"/>
      <c r="H1635" s="18"/>
    </row>
    <row r="1636">
      <c r="C1636" s="18"/>
      <c r="D1636" s="19"/>
      <c r="E1636" s="57"/>
      <c r="H1636" s="18"/>
    </row>
    <row r="1637">
      <c r="C1637" s="18"/>
      <c r="D1637" s="19"/>
      <c r="E1637" s="57"/>
      <c r="H1637" s="18"/>
    </row>
    <row r="1638">
      <c r="C1638" s="18"/>
      <c r="D1638" s="19"/>
      <c r="E1638" s="57"/>
      <c r="H1638" s="18"/>
    </row>
    <row r="1639">
      <c r="C1639" s="18"/>
      <c r="D1639" s="19"/>
      <c r="E1639" s="57"/>
      <c r="H1639" s="18"/>
    </row>
    <row r="1640">
      <c r="C1640" s="18"/>
      <c r="D1640" s="19"/>
      <c r="E1640" s="57"/>
      <c r="H1640" s="18"/>
    </row>
    <row r="1641">
      <c r="C1641" s="18"/>
      <c r="D1641" s="19"/>
      <c r="E1641" s="57"/>
      <c r="H1641" s="18"/>
    </row>
    <row r="1642">
      <c r="C1642" s="18"/>
      <c r="D1642" s="19"/>
      <c r="E1642" s="57"/>
      <c r="H1642" s="18"/>
    </row>
    <row r="1643">
      <c r="C1643" s="18"/>
      <c r="D1643" s="19"/>
      <c r="E1643" s="57"/>
      <c r="H1643" s="18"/>
    </row>
    <row r="1644">
      <c r="C1644" s="18"/>
      <c r="D1644" s="19"/>
      <c r="E1644" s="57"/>
      <c r="H1644" s="18"/>
    </row>
    <row r="1645">
      <c r="C1645" s="18"/>
      <c r="D1645" s="19"/>
      <c r="E1645" s="57"/>
      <c r="H1645" s="18"/>
    </row>
    <row r="1646">
      <c r="C1646" s="18"/>
      <c r="D1646" s="19"/>
      <c r="E1646" s="57"/>
      <c r="H1646" s="18"/>
    </row>
    <row r="1647">
      <c r="C1647" s="18"/>
      <c r="D1647" s="19"/>
      <c r="E1647" s="57"/>
      <c r="H1647" s="18"/>
    </row>
    <row r="1648">
      <c r="C1648" s="18"/>
      <c r="D1648" s="19"/>
      <c r="E1648" s="57"/>
      <c r="H1648" s="18"/>
    </row>
    <row r="1649">
      <c r="C1649" s="18"/>
      <c r="D1649" s="19"/>
      <c r="E1649" s="57"/>
      <c r="H1649" s="18"/>
    </row>
    <row r="1650">
      <c r="C1650" s="18"/>
      <c r="D1650" s="19"/>
      <c r="E1650" s="57"/>
      <c r="H1650" s="18"/>
    </row>
    <row r="1651">
      <c r="C1651" s="18"/>
      <c r="D1651" s="19"/>
      <c r="E1651" s="57"/>
      <c r="H1651" s="18"/>
    </row>
    <row r="1652">
      <c r="C1652" s="18"/>
      <c r="D1652" s="19"/>
      <c r="E1652" s="57"/>
      <c r="H1652" s="18"/>
    </row>
    <row r="1653">
      <c r="C1653" s="18"/>
      <c r="D1653" s="19"/>
      <c r="E1653" s="57"/>
      <c r="H1653" s="18"/>
    </row>
    <row r="1654">
      <c r="C1654" s="18"/>
      <c r="D1654" s="19"/>
      <c r="E1654" s="57"/>
      <c r="H1654" s="18"/>
    </row>
    <row r="1655">
      <c r="C1655" s="18"/>
      <c r="D1655" s="19"/>
      <c r="E1655" s="57"/>
      <c r="H1655" s="18"/>
    </row>
    <row r="1656">
      <c r="C1656" s="18"/>
      <c r="D1656" s="19"/>
      <c r="E1656" s="57"/>
      <c r="H1656" s="18"/>
    </row>
    <row r="1657">
      <c r="C1657" s="18"/>
      <c r="D1657" s="19"/>
      <c r="E1657" s="57"/>
      <c r="H1657" s="18"/>
    </row>
    <row r="1658">
      <c r="C1658" s="18"/>
      <c r="D1658" s="19"/>
      <c r="E1658" s="57"/>
      <c r="H1658" s="18"/>
    </row>
    <row r="1659">
      <c r="C1659" s="18"/>
      <c r="D1659" s="19"/>
      <c r="E1659" s="57"/>
      <c r="H1659" s="18"/>
    </row>
    <row r="1660">
      <c r="C1660" s="18"/>
      <c r="D1660" s="19"/>
      <c r="E1660" s="57"/>
      <c r="H1660" s="18"/>
    </row>
    <row r="1661">
      <c r="C1661" s="18"/>
      <c r="D1661" s="19"/>
      <c r="E1661" s="57"/>
      <c r="H1661" s="18"/>
    </row>
    <row r="1662">
      <c r="C1662" s="18"/>
      <c r="D1662" s="19"/>
      <c r="E1662" s="57"/>
      <c r="H1662" s="18"/>
    </row>
    <row r="1663">
      <c r="C1663" s="18"/>
      <c r="D1663" s="19"/>
      <c r="E1663" s="57"/>
      <c r="H1663" s="18"/>
    </row>
    <row r="1664">
      <c r="C1664" s="18"/>
      <c r="D1664" s="19"/>
      <c r="E1664" s="57"/>
      <c r="H1664" s="18"/>
    </row>
    <row r="1665">
      <c r="C1665" s="18"/>
      <c r="D1665" s="19"/>
      <c r="E1665" s="57"/>
      <c r="H1665" s="18"/>
    </row>
    <row r="1666">
      <c r="C1666" s="18"/>
      <c r="D1666" s="19"/>
      <c r="E1666" s="57"/>
      <c r="H1666" s="18"/>
    </row>
    <row r="1667">
      <c r="C1667" s="18"/>
      <c r="D1667" s="19"/>
      <c r="E1667" s="57"/>
      <c r="H1667" s="18"/>
    </row>
    <row r="1668">
      <c r="C1668" s="18"/>
      <c r="D1668" s="19"/>
      <c r="E1668" s="57"/>
      <c r="H1668" s="18"/>
    </row>
    <row r="1669">
      <c r="C1669" s="18"/>
      <c r="D1669" s="19"/>
      <c r="E1669" s="57"/>
      <c r="H1669" s="18"/>
    </row>
    <row r="1670">
      <c r="C1670" s="18"/>
      <c r="D1670" s="19"/>
      <c r="E1670" s="57"/>
      <c r="H1670" s="18"/>
    </row>
    <row r="1671">
      <c r="C1671" s="18"/>
      <c r="D1671" s="19"/>
      <c r="E1671" s="57"/>
      <c r="H1671" s="18"/>
    </row>
    <row r="1672">
      <c r="C1672" s="18"/>
      <c r="D1672" s="19"/>
      <c r="E1672" s="57"/>
      <c r="H1672" s="18"/>
    </row>
    <row r="1673">
      <c r="C1673" s="18"/>
      <c r="D1673" s="19"/>
      <c r="E1673" s="57"/>
      <c r="H1673" s="18"/>
    </row>
    <row r="1674">
      <c r="C1674" s="18"/>
      <c r="D1674" s="19"/>
      <c r="E1674" s="57"/>
      <c r="H1674" s="18"/>
    </row>
    <row r="1675">
      <c r="C1675" s="18"/>
      <c r="D1675" s="19"/>
      <c r="E1675" s="57"/>
      <c r="H1675" s="18"/>
    </row>
    <row r="1676">
      <c r="C1676" s="18"/>
      <c r="D1676" s="19"/>
      <c r="E1676" s="57"/>
      <c r="H1676" s="18"/>
    </row>
    <row r="1677">
      <c r="C1677" s="18"/>
      <c r="D1677" s="19"/>
      <c r="E1677" s="57"/>
      <c r="H1677" s="18"/>
    </row>
    <row r="1678">
      <c r="C1678" s="18"/>
      <c r="D1678" s="19"/>
      <c r="E1678" s="57"/>
      <c r="H1678" s="18"/>
    </row>
    <row r="1679">
      <c r="C1679" s="18"/>
      <c r="D1679" s="19"/>
      <c r="E1679" s="57"/>
      <c r="H1679" s="18"/>
    </row>
    <row r="1680">
      <c r="C1680" s="18"/>
      <c r="D1680" s="19"/>
      <c r="E1680" s="57"/>
      <c r="H1680" s="18"/>
    </row>
    <row r="1681">
      <c r="C1681" s="18"/>
      <c r="D1681" s="19"/>
      <c r="E1681" s="57"/>
      <c r="H1681" s="18"/>
    </row>
    <row r="1682">
      <c r="C1682" s="18"/>
      <c r="D1682" s="19"/>
      <c r="E1682" s="57"/>
      <c r="H1682" s="18"/>
    </row>
    <row r="1683">
      <c r="C1683" s="18"/>
      <c r="D1683" s="19"/>
      <c r="E1683" s="57"/>
      <c r="H1683" s="18"/>
    </row>
    <row r="1684">
      <c r="C1684" s="18"/>
      <c r="D1684" s="19"/>
      <c r="E1684" s="57"/>
      <c r="H1684" s="18"/>
    </row>
    <row r="1685">
      <c r="C1685" s="18"/>
      <c r="D1685" s="19"/>
      <c r="E1685" s="57"/>
      <c r="H1685" s="18"/>
    </row>
    <row r="1686">
      <c r="C1686" s="18"/>
      <c r="D1686" s="19"/>
      <c r="E1686" s="57"/>
      <c r="H1686" s="18"/>
    </row>
    <row r="1687">
      <c r="C1687" s="18"/>
      <c r="D1687" s="19"/>
      <c r="E1687" s="57"/>
      <c r="H1687" s="18"/>
    </row>
    <row r="1688">
      <c r="C1688" s="18"/>
      <c r="D1688" s="19"/>
      <c r="E1688" s="57"/>
      <c r="H1688" s="18"/>
    </row>
    <row r="1689">
      <c r="C1689" s="18"/>
      <c r="D1689" s="19"/>
      <c r="E1689" s="57"/>
      <c r="H1689" s="18"/>
    </row>
    <row r="1690">
      <c r="C1690" s="18"/>
      <c r="D1690" s="19"/>
      <c r="E1690" s="57"/>
      <c r="H1690" s="18"/>
    </row>
    <row r="1691">
      <c r="C1691" s="18"/>
      <c r="D1691" s="19"/>
      <c r="E1691" s="57"/>
      <c r="H1691" s="18"/>
    </row>
    <row r="1692">
      <c r="C1692" s="18"/>
      <c r="D1692" s="19"/>
      <c r="E1692" s="57"/>
      <c r="H1692" s="18"/>
    </row>
    <row r="1693">
      <c r="C1693" s="18"/>
      <c r="D1693" s="19"/>
      <c r="E1693" s="57"/>
      <c r="H1693" s="18"/>
    </row>
    <row r="1694">
      <c r="C1694" s="18"/>
      <c r="D1694" s="19"/>
      <c r="E1694" s="57"/>
      <c r="H1694" s="18"/>
    </row>
    <row r="1695">
      <c r="C1695" s="18"/>
      <c r="D1695" s="19"/>
      <c r="E1695" s="57"/>
      <c r="H1695" s="18"/>
    </row>
    <row r="1696">
      <c r="C1696" s="18"/>
      <c r="D1696" s="19"/>
      <c r="E1696" s="57"/>
      <c r="H1696" s="18"/>
    </row>
    <row r="1697">
      <c r="C1697" s="18"/>
      <c r="D1697" s="19"/>
      <c r="E1697" s="57"/>
      <c r="H1697" s="18"/>
    </row>
    <row r="1698">
      <c r="C1698" s="18"/>
      <c r="D1698" s="19"/>
      <c r="E1698" s="57"/>
      <c r="H1698" s="18"/>
    </row>
    <row r="1699">
      <c r="C1699" s="18"/>
      <c r="D1699" s="19"/>
      <c r="E1699" s="57"/>
      <c r="H1699" s="18"/>
    </row>
    <row r="1700">
      <c r="C1700" s="18"/>
      <c r="D1700" s="19"/>
      <c r="E1700" s="57"/>
      <c r="H1700" s="18"/>
    </row>
    <row r="1701">
      <c r="C1701" s="18"/>
      <c r="D1701" s="19"/>
      <c r="E1701" s="57"/>
      <c r="H1701" s="18"/>
    </row>
    <row r="1702">
      <c r="C1702" s="18"/>
      <c r="D1702" s="19"/>
      <c r="E1702" s="57"/>
      <c r="H1702" s="18"/>
    </row>
    <row r="1703">
      <c r="C1703" s="18"/>
      <c r="D1703" s="19"/>
      <c r="E1703" s="57"/>
      <c r="H1703" s="18"/>
    </row>
    <row r="1704">
      <c r="C1704" s="18"/>
      <c r="D1704" s="19"/>
      <c r="E1704" s="57"/>
      <c r="H1704" s="18"/>
    </row>
    <row r="1705">
      <c r="C1705" s="18"/>
      <c r="D1705" s="19"/>
      <c r="E1705" s="57"/>
      <c r="H1705" s="18"/>
    </row>
    <row r="1706">
      <c r="C1706" s="18"/>
      <c r="D1706" s="19"/>
      <c r="E1706" s="57"/>
      <c r="H1706" s="18"/>
    </row>
    <row r="1707">
      <c r="C1707" s="18"/>
      <c r="D1707" s="19"/>
      <c r="E1707" s="57"/>
      <c r="H1707" s="18"/>
    </row>
    <row r="1708">
      <c r="C1708" s="18"/>
      <c r="D1708" s="19"/>
      <c r="E1708" s="57"/>
      <c r="H1708" s="18"/>
    </row>
    <row r="1709">
      <c r="C1709" s="18"/>
      <c r="D1709" s="19"/>
      <c r="E1709" s="57"/>
      <c r="H1709" s="18"/>
    </row>
    <row r="1710">
      <c r="C1710" s="18"/>
      <c r="D1710" s="19"/>
      <c r="E1710" s="57"/>
      <c r="H1710" s="18"/>
    </row>
    <row r="1711">
      <c r="C1711" s="18"/>
      <c r="D1711" s="19"/>
      <c r="E1711" s="57"/>
      <c r="H1711" s="18"/>
    </row>
    <row r="1712">
      <c r="C1712" s="18"/>
      <c r="D1712" s="19"/>
      <c r="E1712" s="57"/>
      <c r="H1712" s="18"/>
    </row>
    <row r="1713">
      <c r="C1713" s="18"/>
      <c r="D1713" s="19"/>
      <c r="E1713" s="57"/>
      <c r="H1713" s="18"/>
    </row>
    <row r="1714">
      <c r="C1714" s="18"/>
      <c r="D1714" s="19"/>
      <c r="E1714" s="57"/>
      <c r="H1714" s="18"/>
    </row>
    <row r="1715">
      <c r="C1715" s="18"/>
      <c r="D1715" s="19"/>
      <c r="E1715" s="57"/>
      <c r="H1715" s="18"/>
    </row>
    <row r="1716">
      <c r="C1716" s="18"/>
      <c r="D1716" s="19"/>
      <c r="E1716" s="57"/>
      <c r="H1716" s="18"/>
    </row>
    <row r="1717">
      <c r="C1717" s="18"/>
      <c r="D1717" s="19"/>
      <c r="E1717" s="57"/>
      <c r="H1717" s="18"/>
    </row>
    <row r="1718">
      <c r="C1718" s="18"/>
      <c r="D1718" s="19"/>
      <c r="E1718" s="57"/>
      <c r="H1718" s="18"/>
    </row>
    <row r="1719">
      <c r="C1719" s="18"/>
      <c r="D1719" s="19"/>
      <c r="E1719" s="57"/>
      <c r="H1719" s="18"/>
    </row>
    <row r="1720">
      <c r="C1720" s="18"/>
      <c r="D1720" s="19"/>
      <c r="E1720" s="57"/>
      <c r="H1720" s="18"/>
    </row>
    <row r="1721">
      <c r="C1721" s="18"/>
      <c r="D1721" s="19"/>
      <c r="E1721" s="57"/>
      <c r="H1721" s="18"/>
    </row>
    <row r="1722">
      <c r="C1722" s="18"/>
      <c r="D1722" s="19"/>
      <c r="E1722" s="57"/>
      <c r="H1722" s="18"/>
    </row>
    <row r="1723">
      <c r="C1723" s="18"/>
      <c r="D1723" s="19"/>
      <c r="E1723" s="57"/>
      <c r="H1723" s="18"/>
    </row>
    <row r="1724">
      <c r="C1724" s="18"/>
      <c r="D1724" s="19"/>
      <c r="E1724" s="57"/>
      <c r="H1724" s="18"/>
    </row>
    <row r="1725">
      <c r="C1725" s="18"/>
      <c r="D1725" s="19"/>
      <c r="E1725" s="57"/>
      <c r="H1725" s="18"/>
    </row>
    <row r="1726">
      <c r="C1726" s="18"/>
      <c r="D1726" s="19"/>
      <c r="E1726" s="57"/>
      <c r="H1726" s="18"/>
    </row>
    <row r="1727">
      <c r="C1727" s="18"/>
      <c r="D1727" s="19"/>
      <c r="E1727" s="57"/>
      <c r="H1727" s="18"/>
    </row>
    <row r="1728">
      <c r="C1728" s="18"/>
      <c r="D1728" s="19"/>
      <c r="E1728" s="57"/>
      <c r="H1728" s="18"/>
    </row>
    <row r="1729">
      <c r="C1729" s="18"/>
      <c r="D1729" s="19"/>
      <c r="E1729" s="57"/>
      <c r="H1729" s="18"/>
    </row>
    <row r="1730">
      <c r="C1730" s="18"/>
      <c r="D1730" s="19"/>
      <c r="E1730" s="57"/>
      <c r="H1730" s="18"/>
    </row>
    <row r="1731">
      <c r="C1731" s="18"/>
      <c r="D1731" s="19"/>
      <c r="E1731" s="57"/>
      <c r="H1731" s="18"/>
    </row>
    <row r="1732">
      <c r="C1732" s="18"/>
      <c r="D1732" s="19"/>
      <c r="E1732" s="57"/>
      <c r="H1732" s="18"/>
    </row>
    <row r="1733">
      <c r="C1733" s="18"/>
      <c r="D1733" s="19"/>
      <c r="E1733" s="57"/>
      <c r="H1733" s="18"/>
    </row>
    <row r="1734">
      <c r="C1734" s="18"/>
      <c r="D1734" s="19"/>
      <c r="E1734" s="57"/>
      <c r="H1734" s="18"/>
    </row>
    <row r="1735">
      <c r="C1735" s="18"/>
      <c r="D1735" s="19"/>
      <c r="E1735" s="57"/>
      <c r="H1735" s="18"/>
    </row>
    <row r="1736">
      <c r="C1736" s="18"/>
      <c r="D1736" s="19"/>
      <c r="E1736" s="57"/>
      <c r="H1736" s="18"/>
    </row>
    <row r="1737">
      <c r="C1737" s="18"/>
      <c r="D1737" s="19"/>
      <c r="E1737" s="57"/>
      <c r="H1737" s="18"/>
    </row>
    <row r="1738">
      <c r="C1738" s="18"/>
      <c r="D1738" s="19"/>
      <c r="E1738" s="57"/>
      <c r="H1738" s="18"/>
    </row>
    <row r="1739">
      <c r="C1739" s="18"/>
      <c r="D1739" s="19"/>
      <c r="E1739" s="57"/>
      <c r="H1739" s="18"/>
    </row>
    <row r="1740">
      <c r="C1740" s="18"/>
      <c r="D1740" s="19"/>
      <c r="E1740" s="57"/>
      <c r="H1740" s="18"/>
    </row>
    <row r="1741">
      <c r="C1741" s="18"/>
      <c r="D1741" s="19"/>
      <c r="E1741" s="57"/>
      <c r="H1741" s="18"/>
    </row>
    <row r="1742">
      <c r="C1742" s="18"/>
      <c r="D1742" s="19"/>
      <c r="E1742" s="57"/>
      <c r="H1742" s="18"/>
    </row>
    <row r="1743">
      <c r="C1743" s="18"/>
      <c r="D1743" s="19"/>
      <c r="E1743" s="57"/>
      <c r="H1743" s="18"/>
    </row>
    <row r="1744">
      <c r="C1744" s="18"/>
      <c r="D1744" s="19"/>
      <c r="E1744" s="57"/>
      <c r="H1744" s="18"/>
    </row>
    <row r="1745">
      <c r="C1745" s="18"/>
      <c r="D1745" s="19"/>
      <c r="E1745" s="57"/>
      <c r="H1745" s="18"/>
    </row>
    <row r="1746">
      <c r="C1746" s="18"/>
      <c r="D1746" s="19"/>
      <c r="E1746" s="57"/>
      <c r="H1746" s="18"/>
    </row>
    <row r="1747">
      <c r="C1747" s="18"/>
      <c r="D1747" s="19"/>
      <c r="E1747" s="57"/>
      <c r="H1747" s="18"/>
    </row>
    <row r="1748">
      <c r="C1748" s="18"/>
      <c r="D1748" s="19"/>
      <c r="E1748" s="57"/>
      <c r="H1748" s="18"/>
    </row>
    <row r="1749">
      <c r="C1749" s="18"/>
      <c r="D1749" s="19"/>
      <c r="E1749" s="57"/>
      <c r="H1749" s="18"/>
    </row>
    <row r="1750">
      <c r="C1750" s="18"/>
      <c r="D1750" s="19"/>
      <c r="E1750" s="57"/>
      <c r="H1750" s="18"/>
    </row>
    <row r="1751">
      <c r="C1751" s="18"/>
      <c r="D1751" s="19"/>
      <c r="E1751" s="57"/>
      <c r="H1751" s="18"/>
    </row>
    <row r="1752">
      <c r="C1752" s="18"/>
      <c r="D1752" s="19"/>
      <c r="E1752" s="57"/>
      <c r="H1752" s="18"/>
    </row>
    <row r="1753">
      <c r="C1753" s="18"/>
      <c r="D1753" s="19"/>
      <c r="E1753" s="57"/>
      <c r="H1753" s="18"/>
    </row>
    <row r="1754">
      <c r="C1754" s="18"/>
      <c r="D1754" s="19"/>
      <c r="E1754" s="57"/>
      <c r="H1754" s="18"/>
    </row>
    <row r="1755">
      <c r="C1755" s="18"/>
      <c r="D1755" s="19"/>
      <c r="E1755" s="57"/>
      <c r="H1755" s="18"/>
    </row>
    <row r="1756">
      <c r="C1756" s="18"/>
      <c r="D1756" s="19"/>
      <c r="E1756" s="57"/>
      <c r="H1756" s="18"/>
    </row>
    <row r="1757">
      <c r="C1757" s="18"/>
      <c r="D1757" s="19"/>
      <c r="E1757" s="57"/>
      <c r="H1757" s="18"/>
    </row>
    <row r="1758">
      <c r="C1758" s="18"/>
      <c r="D1758" s="19"/>
      <c r="E1758" s="57"/>
      <c r="H1758" s="18"/>
    </row>
    <row r="1759">
      <c r="C1759" s="18"/>
      <c r="D1759" s="19"/>
      <c r="E1759" s="57"/>
      <c r="H1759" s="18"/>
    </row>
    <row r="1760">
      <c r="C1760" s="18"/>
      <c r="D1760" s="19"/>
      <c r="E1760" s="57"/>
      <c r="H1760" s="18"/>
    </row>
    <row r="1761">
      <c r="C1761" s="18"/>
      <c r="D1761" s="19"/>
      <c r="E1761" s="57"/>
      <c r="H1761" s="18"/>
    </row>
    <row r="1762">
      <c r="C1762" s="18"/>
      <c r="D1762" s="19"/>
      <c r="E1762" s="57"/>
      <c r="H1762" s="18"/>
    </row>
    <row r="1763">
      <c r="C1763" s="18"/>
      <c r="D1763" s="19"/>
      <c r="E1763" s="57"/>
      <c r="H1763" s="18"/>
    </row>
    <row r="1764">
      <c r="C1764" s="18"/>
      <c r="D1764" s="19"/>
      <c r="E1764" s="57"/>
      <c r="H1764" s="18"/>
    </row>
    <row r="1765">
      <c r="C1765" s="18"/>
      <c r="D1765" s="19"/>
      <c r="E1765" s="57"/>
      <c r="H1765" s="18"/>
    </row>
    <row r="1766">
      <c r="C1766" s="18"/>
      <c r="D1766" s="19"/>
      <c r="E1766" s="57"/>
      <c r="H1766" s="18"/>
    </row>
    <row r="1767">
      <c r="C1767" s="18"/>
      <c r="D1767" s="19"/>
      <c r="E1767" s="57"/>
      <c r="H1767" s="18"/>
    </row>
    <row r="1768">
      <c r="C1768" s="18"/>
      <c r="D1768" s="19"/>
      <c r="E1768" s="57"/>
      <c r="H1768" s="18"/>
    </row>
    <row r="1769">
      <c r="C1769" s="18"/>
      <c r="D1769" s="19"/>
      <c r="E1769" s="57"/>
      <c r="H1769" s="18"/>
    </row>
    <row r="1770">
      <c r="C1770" s="18"/>
      <c r="D1770" s="19"/>
      <c r="E1770" s="57"/>
      <c r="H1770" s="18"/>
    </row>
    <row r="1771">
      <c r="C1771" s="18"/>
      <c r="D1771" s="19"/>
      <c r="E1771" s="57"/>
      <c r="H1771" s="18"/>
    </row>
    <row r="1772">
      <c r="C1772" s="18"/>
      <c r="D1772" s="19"/>
      <c r="E1772" s="57"/>
      <c r="H1772" s="18"/>
    </row>
    <row r="1773">
      <c r="C1773" s="18"/>
      <c r="D1773" s="19"/>
      <c r="E1773" s="57"/>
      <c r="H1773" s="18"/>
    </row>
    <row r="1774">
      <c r="C1774" s="18"/>
      <c r="D1774" s="19"/>
      <c r="E1774" s="57"/>
      <c r="H1774" s="18"/>
    </row>
    <row r="1775">
      <c r="C1775" s="18"/>
      <c r="D1775" s="19"/>
      <c r="E1775" s="57"/>
      <c r="H1775" s="18"/>
    </row>
    <row r="1776">
      <c r="C1776" s="18"/>
      <c r="D1776" s="19"/>
      <c r="E1776" s="57"/>
      <c r="H1776" s="18"/>
    </row>
    <row r="1777">
      <c r="C1777" s="18"/>
      <c r="D1777" s="19"/>
      <c r="E1777" s="57"/>
      <c r="H1777" s="18"/>
    </row>
    <row r="1778">
      <c r="C1778" s="18"/>
      <c r="D1778" s="19"/>
      <c r="E1778" s="57"/>
      <c r="H1778" s="18"/>
    </row>
    <row r="1779">
      <c r="C1779" s="18"/>
      <c r="D1779" s="19"/>
      <c r="E1779" s="57"/>
      <c r="H1779" s="18"/>
    </row>
    <row r="1780">
      <c r="C1780" s="18"/>
      <c r="D1780" s="19"/>
      <c r="E1780" s="57"/>
      <c r="H1780" s="18"/>
    </row>
    <row r="1781">
      <c r="C1781" s="18"/>
      <c r="D1781" s="19"/>
      <c r="E1781" s="57"/>
      <c r="H1781" s="18"/>
    </row>
    <row r="1782">
      <c r="C1782" s="18"/>
      <c r="D1782" s="19"/>
      <c r="E1782" s="57"/>
      <c r="H1782" s="18"/>
    </row>
    <row r="1783">
      <c r="C1783" s="18"/>
      <c r="D1783" s="19"/>
      <c r="E1783" s="57"/>
      <c r="H1783" s="18"/>
    </row>
    <row r="1784">
      <c r="C1784" s="18"/>
      <c r="D1784" s="19"/>
      <c r="E1784" s="57"/>
      <c r="H1784" s="18"/>
    </row>
    <row r="1785">
      <c r="C1785" s="18"/>
      <c r="D1785" s="19"/>
      <c r="E1785" s="57"/>
      <c r="H1785" s="18"/>
    </row>
    <row r="1786">
      <c r="C1786" s="18"/>
      <c r="D1786" s="19"/>
      <c r="E1786" s="57"/>
      <c r="H1786" s="18"/>
    </row>
    <row r="1787">
      <c r="C1787" s="18"/>
      <c r="D1787" s="19"/>
      <c r="E1787" s="57"/>
      <c r="H1787" s="18"/>
    </row>
    <row r="1788">
      <c r="C1788" s="18"/>
      <c r="D1788" s="19"/>
      <c r="E1788" s="57"/>
      <c r="H1788" s="18"/>
    </row>
    <row r="1789">
      <c r="C1789" s="18"/>
      <c r="D1789" s="19"/>
      <c r="E1789" s="57"/>
      <c r="H1789" s="18"/>
    </row>
    <row r="1790">
      <c r="C1790" s="18"/>
      <c r="D1790" s="19"/>
      <c r="E1790" s="57"/>
      <c r="H1790" s="18"/>
    </row>
    <row r="1791">
      <c r="C1791" s="18"/>
      <c r="D1791" s="19"/>
      <c r="E1791" s="57"/>
      <c r="H1791" s="18"/>
    </row>
    <row r="1792">
      <c r="C1792" s="18"/>
      <c r="D1792" s="19"/>
      <c r="E1792" s="57"/>
      <c r="H1792" s="18"/>
    </row>
    <row r="1793">
      <c r="C1793" s="18"/>
      <c r="D1793" s="19"/>
      <c r="E1793" s="57"/>
      <c r="H1793" s="18"/>
    </row>
    <row r="1794">
      <c r="C1794" s="18"/>
      <c r="D1794" s="19"/>
      <c r="E1794" s="57"/>
      <c r="H1794" s="18"/>
    </row>
    <row r="1795">
      <c r="C1795" s="18"/>
      <c r="D1795" s="19"/>
      <c r="E1795" s="57"/>
      <c r="H1795" s="18"/>
    </row>
    <row r="1796">
      <c r="C1796" s="18"/>
      <c r="D1796" s="19"/>
      <c r="E1796" s="57"/>
      <c r="H1796" s="18"/>
    </row>
    <row r="1797">
      <c r="C1797" s="18"/>
      <c r="D1797" s="19"/>
      <c r="E1797" s="57"/>
      <c r="H1797" s="18"/>
    </row>
    <row r="1798">
      <c r="C1798" s="18"/>
      <c r="D1798" s="19"/>
      <c r="E1798" s="57"/>
      <c r="H1798" s="18"/>
    </row>
    <row r="1799">
      <c r="C1799" s="18"/>
      <c r="D1799" s="19"/>
      <c r="E1799" s="57"/>
      <c r="H1799" s="18"/>
    </row>
    <row r="1800">
      <c r="C1800" s="18"/>
      <c r="D1800" s="19"/>
      <c r="E1800" s="57"/>
      <c r="H1800" s="18"/>
    </row>
    <row r="1801">
      <c r="C1801" s="18"/>
      <c r="D1801" s="19"/>
      <c r="E1801" s="57"/>
      <c r="H1801" s="18"/>
    </row>
    <row r="1802">
      <c r="C1802" s="18"/>
      <c r="D1802" s="19"/>
      <c r="E1802" s="57"/>
      <c r="H1802" s="18"/>
    </row>
    <row r="1803">
      <c r="C1803" s="18"/>
      <c r="D1803" s="19"/>
      <c r="E1803" s="57"/>
      <c r="H1803" s="18"/>
    </row>
    <row r="1804">
      <c r="C1804" s="18"/>
      <c r="D1804" s="19"/>
      <c r="E1804" s="57"/>
      <c r="H1804" s="18"/>
    </row>
    <row r="1805">
      <c r="C1805" s="18"/>
      <c r="D1805" s="19"/>
      <c r="E1805" s="57"/>
      <c r="H1805" s="18"/>
    </row>
    <row r="1806">
      <c r="C1806" s="18"/>
      <c r="D1806" s="19"/>
      <c r="E1806" s="57"/>
      <c r="H1806" s="18"/>
    </row>
    <row r="1807">
      <c r="C1807" s="18"/>
      <c r="D1807" s="19"/>
      <c r="E1807" s="57"/>
      <c r="H1807" s="18"/>
    </row>
    <row r="1808">
      <c r="C1808" s="18"/>
      <c r="D1808" s="19"/>
      <c r="E1808" s="57"/>
      <c r="H1808" s="18"/>
    </row>
    <row r="1809">
      <c r="C1809" s="18"/>
      <c r="D1809" s="19"/>
      <c r="E1809" s="57"/>
      <c r="H1809" s="18"/>
    </row>
    <row r="1810">
      <c r="C1810" s="18"/>
      <c r="D1810" s="19"/>
      <c r="E1810" s="57"/>
      <c r="H1810" s="18"/>
    </row>
    <row r="1811">
      <c r="C1811" s="18"/>
      <c r="D1811" s="19"/>
      <c r="E1811" s="57"/>
      <c r="H1811" s="18"/>
    </row>
    <row r="1812">
      <c r="C1812" s="18"/>
      <c r="D1812" s="19"/>
      <c r="E1812" s="57"/>
      <c r="H1812" s="18"/>
    </row>
    <row r="1813">
      <c r="C1813" s="18"/>
      <c r="D1813" s="19"/>
      <c r="E1813" s="57"/>
      <c r="H1813" s="18"/>
    </row>
    <row r="1814">
      <c r="C1814" s="18"/>
      <c r="D1814" s="19"/>
      <c r="E1814" s="57"/>
      <c r="H1814" s="18"/>
    </row>
    <row r="1815">
      <c r="C1815" s="18"/>
      <c r="D1815" s="19"/>
      <c r="E1815" s="57"/>
      <c r="H1815" s="18"/>
    </row>
    <row r="1816">
      <c r="C1816" s="18"/>
      <c r="D1816" s="19"/>
      <c r="E1816" s="57"/>
      <c r="H1816" s="18"/>
    </row>
    <row r="1817">
      <c r="C1817" s="18"/>
      <c r="D1817" s="19"/>
      <c r="E1817" s="57"/>
      <c r="H1817" s="18"/>
    </row>
    <row r="1818">
      <c r="C1818" s="18"/>
      <c r="D1818" s="19"/>
      <c r="E1818" s="57"/>
      <c r="H1818" s="18"/>
    </row>
    <row r="1819">
      <c r="C1819" s="18"/>
      <c r="D1819" s="19"/>
      <c r="E1819" s="57"/>
      <c r="H1819" s="18"/>
    </row>
    <row r="1820">
      <c r="C1820" s="18"/>
      <c r="D1820" s="19"/>
      <c r="E1820" s="57"/>
      <c r="H1820" s="18"/>
    </row>
    <row r="1821">
      <c r="C1821" s="18"/>
      <c r="D1821" s="19"/>
      <c r="E1821" s="57"/>
      <c r="H1821" s="18"/>
    </row>
    <row r="1822">
      <c r="C1822" s="18"/>
      <c r="D1822" s="19"/>
      <c r="E1822" s="57"/>
      <c r="H1822" s="18"/>
    </row>
    <row r="1823">
      <c r="C1823" s="18"/>
      <c r="D1823" s="19"/>
      <c r="E1823" s="57"/>
      <c r="H1823" s="18"/>
    </row>
    <row r="1824">
      <c r="C1824" s="18"/>
      <c r="D1824" s="19"/>
      <c r="E1824" s="57"/>
      <c r="H1824" s="18"/>
    </row>
    <row r="1825">
      <c r="C1825" s="18"/>
      <c r="D1825" s="19"/>
      <c r="E1825" s="57"/>
      <c r="H1825" s="18"/>
    </row>
    <row r="1826">
      <c r="C1826" s="18"/>
      <c r="D1826" s="19"/>
      <c r="E1826" s="57"/>
      <c r="H1826" s="18"/>
    </row>
    <row r="1827">
      <c r="C1827" s="18"/>
      <c r="D1827" s="19"/>
      <c r="E1827" s="57"/>
      <c r="H1827" s="18"/>
    </row>
    <row r="1828">
      <c r="C1828" s="18"/>
      <c r="D1828" s="19"/>
      <c r="E1828" s="57"/>
      <c r="H1828" s="18"/>
    </row>
    <row r="1829">
      <c r="C1829" s="18"/>
      <c r="D1829" s="19"/>
      <c r="E1829" s="57"/>
      <c r="H1829" s="18"/>
    </row>
    <row r="1830">
      <c r="C1830" s="18"/>
      <c r="D1830" s="19"/>
      <c r="E1830" s="57"/>
      <c r="H1830" s="18"/>
    </row>
    <row r="1831">
      <c r="C1831" s="18"/>
      <c r="D1831" s="19"/>
      <c r="E1831" s="57"/>
      <c r="H1831" s="18"/>
    </row>
    <row r="1832">
      <c r="C1832" s="18"/>
      <c r="D1832" s="19"/>
      <c r="E1832" s="57"/>
      <c r="H1832" s="18"/>
    </row>
    <row r="1833">
      <c r="C1833" s="18"/>
      <c r="D1833" s="19"/>
      <c r="E1833" s="57"/>
      <c r="H1833" s="18"/>
    </row>
    <row r="1834">
      <c r="C1834" s="18"/>
      <c r="D1834" s="19"/>
      <c r="E1834" s="57"/>
      <c r="H1834" s="18"/>
    </row>
    <row r="1835">
      <c r="C1835" s="18"/>
      <c r="D1835" s="19"/>
      <c r="E1835" s="57"/>
      <c r="H1835" s="18"/>
    </row>
    <row r="1836">
      <c r="C1836" s="18"/>
      <c r="D1836" s="19"/>
      <c r="E1836" s="57"/>
      <c r="H1836" s="18"/>
    </row>
    <row r="1837">
      <c r="C1837" s="18"/>
      <c r="D1837" s="19"/>
      <c r="E1837" s="57"/>
      <c r="H1837" s="18"/>
    </row>
    <row r="1838">
      <c r="C1838" s="18"/>
      <c r="D1838" s="19"/>
      <c r="E1838" s="57"/>
      <c r="H1838" s="18"/>
    </row>
    <row r="1839">
      <c r="C1839" s="18"/>
      <c r="D1839" s="19"/>
      <c r="E1839" s="57"/>
      <c r="H1839" s="18"/>
    </row>
    <row r="1840">
      <c r="C1840" s="18"/>
      <c r="D1840" s="19"/>
      <c r="E1840" s="57"/>
      <c r="H1840" s="18"/>
    </row>
    <row r="1841">
      <c r="C1841" s="18"/>
      <c r="D1841" s="19"/>
      <c r="E1841" s="57"/>
      <c r="H1841" s="18"/>
    </row>
    <row r="1842">
      <c r="C1842" s="18"/>
      <c r="D1842" s="19"/>
      <c r="E1842" s="57"/>
      <c r="H1842" s="18"/>
    </row>
    <row r="1843">
      <c r="C1843" s="18"/>
      <c r="D1843" s="19"/>
      <c r="E1843" s="57"/>
      <c r="H1843" s="18"/>
    </row>
    <row r="1844">
      <c r="C1844" s="18"/>
      <c r="D1844" s="19"/>
      <c r="E1844" s="57"/>
      <c r="H1844" s="18"/>
    </row>
    <row r="1845">
      <c r="C1845" s="18"/>
      <c r="D1845" s="19"/>
      <c r="E1845" s="57"/>
      <c r="H1845" s="18"/>
    </row>
    <row r="1846">
      <c r="C1846" s="18"/>
      <c r="D1846" s="19"/>
      <c r="E1846" s="57"/>
      <c r="H1846" s="18"/>
    </row>
    <row r="1847">
      <c r="C1847" s="18"/>
      <c r="D1847" s="19"/>
      <c r="E1847" s="57"/>
      <c r="H1847" s="18"/>
    </row>
    <row r="1848">
      <c r="C1848" s="18"/>
      <c r="D1848" s="19"/>
      <c r="E1848" s="57"/>
      <c r="H1848" s="18"/>
    </row>
    <row r="1849">
      <c r="C1849" s="18"/>
      <c r="D1849" s="19"/>
      <c r="E1849" s="57"/>
      <c r="H1849" s="18"/>
    </row>
    <row r="1850">
      <c r="C1850" s="18"/>
      <c r="D1850" s="19"/>
      <c r="E1850" s="57"/>
      <c r="H1850" s="18"/>
    </row>
    <row r="1851">
      <c r="C1851" s="18"/>
      <c r="D1851" s="19"/>
      <c r="E1851" s="57"/>
      <c r="H1851" s="18"/>
    </row>
    <row r="1852">
      <c r="C1852" s="18"/>
      <c r="D1852" s="19"/>
      <c r="E1852" s="57"/>
      <c r="H1852" s="18"/>
    </row>
    <row r="1853">
      <c r="C1853" s="18"/>
      <c r="D1853" s="19"/>
      <c r="E1853" s="57"/>
      <c r="H1853" s="18"/>
    </row>
    <row r="1854">
      <c r="C1854" s="18"/>
      <c r="D1854" s="19"/>
      <c r="E1854" s="57"/>
      <c r="H1854" s="18"/>
    </row>
    <row r="1855">
      <c r="C1855" s="18"/>
      <c r="D1855" s="19"/>
      <c r="E1855" s="57"/>
      <c r="H1855" s="18"/>
    </row>
    <row r="1856">
      <c r="C1856" s="18"/>
      <c r="D1856" s="19"/>
      <c r="E1856" s="57"/>
      <c r="H1856" s="18"/>
    </row>
    <row r="1857">
      <c r="C1857" s="18"/>
      <c r="D1857" s="19"/>
      <c r="E1857" s="57"/>
      <c r="H1857" s="18"/>
    </row>
    <row r="1858">
      <c r="C1858" s="18"/>
      <c r="D1858" s="19"/>
      <c r="E1858" s="57"/>
      <c r="H1858" s="18"/>
    </row>
    <row r="1859">
      <c r="C1859" s="18"/>
      <c r="D1859" s="19"/>
      <c r="E1859" s="57"/>
      <c r="H1859" s="18"/>
    </row>
    <row r="1860">
      <c r="C1860" s="18"/>
      <c r="D1860" s="19"/>
      <c r="E1860" s="57"/>
      <c r="H1860" s="18"/>
    </row>
    <row r="1861">
      <c r="C1861" s="18"/>
      <c r="D1861" s="19"/>
      <c r="E1861" s="57"/>
      <c r="H1861" s="18"/>
    </row>
    <row r="1862">
      <c r="C1862" s="18"/>
      <c r="D1862" s="19"/>
      <c r="E1862" s="57"/>
      <c r="H1862" s="18"/>
    </row>
    <row r="1863">
      <c r="C1863" s="18"/>
      <c r="D1863" s="19"/>
      <c r="E1863" s="57"/>
      <c r="H1863" s="18"/>
    </row>
    <row r="1864">
      <c r="C1864" s="18"/>
      <c r="D1864" s="19"/>
      <c r="E1864" s="57"/>
      <c r="H1864" s="18"/>
    </row>
    <row r="1865">
      <c r="C1865" s="18"/>
      <c r="D1865" s="19"/>
      <c r="E1865" s="57"/>
      <c r="H1865" s="18"/>
    </row>
    <row r="1866">
      <c r="C1866" s="18"/>
      <c r="D1866" s="19"/>
      <c r="E1866" s="57"/>
      <c r="H1866" s="18"/>
    </row>
    <row r="1867">
      <c r="C1867" s="18"/>
      <c r="D1867" s="19"/>
      <c r="E1867" s="57"/>
      <c r="H1867" s="18"/>
    </row>
    <row r="1868">
      <c r="C1868" s="18"/>
      <c r="D1868" s="19"/>
      <c r="E1868" s="57"/>
      <c r="H1868" s="18"/>
    </row>
    <row r="1869">
      <c r="C1869" s="18"/>
      <c r="D1869" s="19"/>
      <c r="E1869" s="57"/>
      <c r="H1869" s="18"/>
    </row>
    <row r="1870">
      <c r="C1870" s="18"/>
      <c r="D1870" s="19"/>
      <c r="E1870" s="57"/>
      <c r="H1870" s="18"/>
    </row>
    <row r="1871">
      <c r="C1871" s="18"/>
      <c r="D1871" s="19"/>
      <c r="E1871" s="57"/>
      <c r="H1871" s="18"/>
    </row>
    <row r="1872">
      <c r="C1872" s="18"/>
      <c r="D1872" s="19"/>
      <c r="E1872" s="57"/>
      <c r="H1872" s="18"/>
    </row>
    <row r="1873">
      <c r="C1873" s="18"/>
      <c r="D1873" s="19"/>
      <c r="E1873" s="57"/>
      <c r="H1873" s="18"/>
    </row>
    <row r="1874">
      <c r="C1874" s="18"/>
      <c r="D1874" s="19"/>
      <c r="E1874" s="57"/>
      <c r="H1874" s="18"/>
    </row>
    <row r="1875">
      <c r="C1875" s="18"/>
      <c r="D1875" s="19"/>
      <c r="E1875" s="57"/>
      <c r="H1875" s="18"/>
    </row>
    <row r="1876">
      <c r="C1876" s="18"/>
      <c r="D1876" s="19"/>
      <c r="E1876" s="57"/>
      <c r="H1876" s="18"/>
    </row>
    <row r="1877">
      <c r="C1877" s="18"/>
      <c r="D1877" s="19"/>
      <c r="E1877" s="57"/>
      <c r="H1877" s="18"/>
    </row>
    <row r="1878">
      <c r="C1878" s="18"/>
      <c r="D1878" s="19"/>
      <c r="E1878" s="57"/>
      <c r="H1878" s="18"/>
    </row>
    <row r="1879">
      <c r="C1879" s="18"/>
      <c r="D1879" s="19"/>
      <c r="E1879" s="57"/>
      <c r="H1879" s="18"/>
    </row>
    <row r="1880">
      <c r="C1880" s="18"/>
      <c r="D1880" s="19"/>
      <c r="E1880" s="57"/>
      <c r="H1880" s="18"/>
    </row>
    <row r="1881">
      <c r="C1881" s="18"/>
      <c r="D1881" s="19"/>
      <c r="E1881" s="57"/>
      <c r="H1881" s="18"/>
    </row>
    <row r="1882">
      <c r="C1882" s="18"/>
      <c r="D1882" s="19"/>
      <c r="E1882" s="57"/>
      <c r="H1882" s="18"/>
    </row>
    <row r="1883">
      <c r="C1883" s="18"/>
      <c r="D1883" s="19"/>
      <c r="E1883" s="57"/>
      <c r="H1883" s="18"/>
    </row>
    <row r="1884">
      <c r="C1884" s="18"/>
      <c r="D1884" s="19"/>
      <c r="E1884" s="57"/>
      <c r="H1884" s="18"/>
    </row>
    <row r="1885">
      <c r="C1885" s="18"/>
      <c r="D1885" s="19"/>
      <c r="E1885" s="57"/>
      <c r="H1885" s="18"/>
    </row>
    <row r="1886">
      <c r="C1886" s="18"/>
      <c r="D1886" s="19"/>
      <c r="E1886" s="57"/>
      <c r="H1886" s="18"/>
    </row>
    <row r="1887">
      <c r="C1887" s="18"/>
      <c r="D1887" s="19"/>
      <c r="E1887" s="57"/>
      <c r="H1887" s="18"/>
    </row>
    <row r="1888">
      <c r="C1888" s="18"/>
      <c r="D1888" s="19"/>
      <c r="E1888" s="57"/>
      <c r="H1888" s="18"/>
    </row>
    <row r="1889">
      <c r="C1889" s="18"/>
      <c r="D1889" s="19"/>
      <c r="E1889" s="57"/>
      <c r="H1889" s="18"/>
    </row>
    <row r="1890">
      <c r="C1890" s="18"/>
      <c r="D1890" s="19"/>
      <c r="E1890" s="57"/>
      <c r="H1890" s="18"/>
    </row>
    <row r="1891">
      <c r="C1891" s="18"/>
      <c r="D1891" s="19"/>
      <c r="E1891" s="57"/>
      <c r="H1891" s="18"/>
    </row>
    <row r="1892">
      <c r="C1892" s="18"/>
      <c r="D1892" s="19"/>
      <c r="E1892" s="57"/>
      <c r="H1892" s="18"/>
    </row>
    <row r="1893">
      <c r="C1893" s="18"/>
      <c r="D1893" s="19"/>
      <c r="E1893" s="57"/>
      <c r="H1893" s="18"/>
    </row>
    <row r="1894">
      <c r="C1894" s="18"/>
      <c r="D1894" s="19"/>
      <c r="E1894" s="57"/>
      <c r="H1894" s="18"/>
    </row>
    <row r="1895">
      <c r="C1895" s="18"/>
      <c r="D1895" s="19"/>
      <c r="E1895" s="57"/>
      <c r="H1895" s="18"/>
    </row>
    <row r="1896">
      <c r="C1896" s="18"/>
      <c r="D1896" s="19"/>
      <c r="E1896" s="57"/>
      <c r="H1896" s="18"/>
    </row>
    <row r="1897">
      <c r="C1897" s="18"/>
      <c r="D1897" s="19"/>
      <c r="E1897" s="57"/>
      <c r="H1897" s="18"/>
    </row>
    <row r="1898">
      <c r="C1898" s="18"/>
      <c r="D1898" s="19"/>
      <c r="E1898" s="57"/>
      <c r="H1898" s="18"/>
    </row>
    <row r="1899">
      <c r="C1899" s="18"/>
      <c r="D1899" s="19"/>
      <c r="E1899" s="57"/>
      <c r="H1899" s="18"/>
    </row>
    <row r="1900">
      <c r="C1900" s="18"/>
      <c r="D1900" s="19"/>
      <c r="E1900" s="57"/>
      <c r="H1900" s="18"/>
    </row>
    <row r="1901">
      <c r="C1901" s="18"/>
      <c r="D1901" s="19"/>
      <c r="E1901" s="57"/>
      <c r="H1901" s="18"/>
    </row>
    <row r="1902">
      <c r="C1902" s="18"/>
      <c r="D1902" s="19"/>
      <c r="E1902" s="57"/>
      <c r="H1902" s="18"/>
    </row>
    <row r="1903">
      <c r="C1903" s="18"/>
      <c r="D1903" s="19"/>
      <c r="E1903" s="57"/>
      <c r="H1903" s="18"/>
    </row>
    <row r="1904">
      <c r="C1904" s="18"/>
      <c r="D1904" s="19"/>
      <c r="E1904" s="57"/>
      <c r="H1904" s="18"/>
    </row>
    <row r="1905">
      <c r="C1905" s="18"/>
      <c r="D1905" s="19"/>
      <c r="E1905" s="57"/>
      <c r="H1905" s="18"/>
    </row>
    <row r="1906">
      <c r="C1906" s="18"/>
      <c r="D1906" s="19"/>
      <c r="E1906" s="57"/>
      <c r="H1906" s="18"/>
    </row>
    <row r="1907">
      <c r="C1907" s="18"/>
      <c r="D1907" s="19"/>
      <c r="E1907" s="57"/>
      <c r="H1907" s="18"/>
    </row>
    <row r="1908">
      <c r="C1908" s="18"/>
      <c r="D1908" s="19"/>
      <c r="E1908" s="57"/>
      <c r="H1908" s="18"/>
    </row>
    <row r="1909">
      <c r="C1909" s="18"/>
      <c r="D1909" s="19"/>
      <c r="E1909" s="57"/>
      <c r="H1909" s="18"/>
    </row>
    <row r="1910">
      <c r="C1910" s="18"/>
      <c r="D1910" s="19"/>
      <c r="E1910" s="57"/>
      <c r="H1910" s="18"/>
    </row>
    <row r="1911">
      <c r="C1911" s="18"/>
      <c r="D1911" s="19"/>
      <c r="E1911" s="57"/>
      <c r="H1911" s="18"/>
    </row>
    <row r="1912">
      <c r="C1912" s="18"/>
      <c r="D1912" s="19"/>
      <c r="E1912" s="57"/>
      <c r="H1912" s="18"/>
    </row>
    <row r="1913">
      <c r="C1913" s="18"/>
      <c r="D1913" s="19"/>
      <c r="E1913" s="57"/>
      <c r="H1913" s="18"/>
    </row>
    <row r="1914">
      <c r="C1914" s="18"/>
      <c r="D1914" s="19"/>
      <c r="E1914" s="57"/>
      <c r="H1914" s="18"/>
    </row>
    <row r="1915">
      <c r="C1915" s="18"/>
      <c r="D1915" s="19"/>
      <c r="E1915" s="57"/>
      <c r="H1915" s="18"/>
    </row>
    <row r="1916">
      <c r="C1916" s="18"/>
      <c r="D1916" s="19"/>
      <c r="E1916" s="57"/>
      <c r="H1916" s="18"/>
    </row>
    <row r="1917">
      <c r="C1917" s="18"/>
      <c r="D1917" s="19"/>
      <c r="E1917" s="57"/>
      <c r="H1917" s="18"/>
    </row>
    <row r="1918">
      <c r="C1918" s="18"/>
      <c r="D1918" s="19"/>
      <c r="E1918" s="57"/>
      <c r="H1918" s="18"/>
    </row>
    <row r="1919">
      <c r="C1919" s="18"/>
      <c r="D1919" s="19"/>
      <c r="E1919" s="57"/>
      <c r="H1919" s="18"/>
    </row>
    <row r="1920">
      <c r="C1920" s="18"/>
      <c r="D1920" s="19"/>
      <c r="E1920" s="57"/>
      <c r="H1920" s="18"/>
    </row>
    <row r="1921">
      <c r="C1921" s="18"/>
      <c r="D1921" s="19"/>
      <c r="E1921" s="57"/>
      <c r="H1921" s="18"/>
    </row>
    <row r="1922">
      <c r="C1922" s="18"/>
      <c r="D1922" s="19"/>
      <c r="E1922" s="57"/>
      <c r="H1922" s="18"/>
    </row>
    <row r="1923">
      <c r="C1923" s="18"/>
      <c r="D1923" s="19"/>
      <c r="E1923" s="57"/>
      <c r="H1923" s="18"/>
    </row>
    <row r="1924">
      <c r="C1924" s="18"/>
      <c r="D1924" s="19"/>
      <c r="E1924" s="57"/>
      <c r="H1924" s="18"/>
    </row>
    <row r="1925">
      <c r="C1925" s="18"/>
      <c r="D1925" s="19"/>
      <c r="E1925" s="57"/>
      <c r="H1925" s="18"/>
    </row>
    <row r="1926">
      <c r="C1926" s="18"/>
      <c r="D1926" s="19"/>
      <c r="E1926" s="57"/>
      <c r="H1926" s="18"/>
    </row>
    <row r="1927">
      <c r="C1927" s="18"/>
      <c r="D1927" s="19"/>
      <c r="E1927" s="57"/>
      <c r="H1927" s="18"/>
    </row>
    <row r="1928">
      <c r="C1928" s="18"/>
      <c r="D1928" s="19"/>
      <c r="E1928" s="57"/>
      <c r="H1928" s="18"/>
    </row>
    <row r="1929">
      <c r="C1929" s="18"/>
      <c r="D1929" s="19"/>
      <c r="E1929" s="57"/>
      <c r="H1929" s="18"/>
    </row>
    <row r="1930">
      <c r="C1930" s="18"/>
      <c r="D1930" s="19"/>
      <c r="E1930" s="57"/>
      <c r="H1930" s="18"/>
    </row>
    <row r="1931">
      <c r="C1931" s="18"/>
      <c r="D1931" s="19"/>
      <c r="E1931" s="57"/>
      <c r="H1931" s="18"/>
    </row>
    <row r="1932">
      <c r="C1932" s="18"/>
      <c r="D1932" s="19"/>
      <c r="E1932" s="57"/>
      <c r="H1932" s="18"/>
    </row>
    <row r="1933">
      <c r="C1933" s="18"/>
      <c r="D1933" s="19"/>
      <c r="E1933" s="57"/>
      <c r="H1933" s="18"/>
    </row>
    <row r="1934">
      <c r="C1934" s="18"/>
      <c r="D1934" s="19"/>
      <c r="E1934" s="57"/>
      <c r="H1934" s="18"/>
    </row>
    <row r="1935">
      <c r="C1935" s="18"/>
      <c r="D1935" s="19"/>
      <c r="E1935" s="57"/>
      <c r="H1935" s="18"/>
    </row>
    <row r="1936">
      <c r="C1936" s="18"/>
      <c r="D1936" s="19"/>
      <c r="E1936" s="57"/>
      <c r="H1936" s="18"/>
    </row>
    <row r="1937">
      <c r="C1937" s="18"/>
      <c r="D1937" s="19"/>
      <c r="E1937" s="57"/>
      <c r="H1937" s="18"/>
    </row>
    <row r="1938">
      <c r="C1938" s="18"/>
      <c r="D1938" s="19"/>
      <c r="E1938" s="57"/>
      <c r="H1938" s="18"/>
    </row>
    <row r="1939">
      <c r="C1939" s="18"/>
      <c r="D1939" s="19"/>
      <c r="E1939" s="57"/>
      <c r="H1939" s="18"/>
    </row>
    <row r="1940">
      <c r="C1940" s="18"/>
      <c r="D1940" s="19"/>
      <c r="E1940" s="57"/>
      <c r="H1940" s="18"/>
    </row>
    <row r="1941">
      <c r="C1941" s="18"/>
      <c r="D1941" s="19"/>
      <c r="E1941" s="57"/>
      <c r="H1941" s="18"/>
    </row>
    <row r="1942">
      <c r="C1942" s="18"/>
      <c r="D1942" s="19"/>
      <c r="E1942" s="57"/>
      <c r="H1942" s="18"/>
    </row>
    <row r="1943">
      <c r="C1943" s="18"/>
      <c r="D1943" s="19"/>
      <c r="E1943" s="57"/>
      <c r="H1943" s="18"/>
    </row>
    <row r="1944">
      <c r="C1944" s="18"/>
      <c r="D1944" s="19"/>
      <c r="E1944" s="57"/>
      <c r="H1944" s="18"/>
    </row>
    <row r="1945">
      <c r="C1945" s="18"/>
      <c r="D1945" s="19"/>
      <c r="E1945" s="57"/>
      <c r="H1945" s="18"/>
    </row>
    <row r="1946">
      <c r="C1946" s="18"/>
      <c r="D1946" s="19"/>
      <c r="E1946" s="57"/>
      <c r="H1946" s="18"/>
    </row>
    <row r="1947">
      <c r="C1947" s="18"/>
      <c r="D1947" s="19"/>
      <c r="E1947" s="57"/>
      <c r="H1947" s="18"/>
    </row>
    <row r="1948">
      <c r="C1948" s="18"/>
      <c r="D1948" s="19"/>
      <c r="E1948" s="57"/>
      <c r="H1948" s="18"/>
    </row>
    <row r="1949">
      <c r="C1949" s="18"/>
      <c r="D1949" s="19"/>
      <c r="E1949" s="57"/>
      <c r="H1949" s="18"/>
    </row>
    <row r="1950">
      <c r="C1950" s="18"/>
      <c r="D1950" s="19"/>
      <c r="E1950" s="57"/>
      <c r="H1950" s="18"/>
    </row>
    <row r="1951">
      <c r="C1951" s="18"/>
      <c r="D1951" s="19"/>
      <c r="E1951" s="57"/>
      <c r="H1951" s="18"/>
    </row>
    <row r="1952">
      <c r="C1952" s="18"/>
      <c r="D1952" s="19"/>
      <c r="E1952" s="57"/>
      <c r="H1952" s="18"/>
    </row>
    <row r="1953">
      <c r="C1953" s="18"/>
      <c r="D1953" s="19"/>
      <c r="E1953" s="57"/>
      <c r="H1953" s="18"/>
    </row>
    <row r="1954">
      <c r="C1954" s="18"/>
      <c r="D1954" s="19"/>
      <c r="E1954" s="57"/>
      <c r="H1954" s="18"/>
    </row>
    <row r="1955">
      <c r="C1955" s="18"/>
      <c r="D1955" s="19"/>
      <c r="E1955" s="57"/>
      <c r="H1955" s="18"/>
    </row>
    <row r="1956">
      <c r="C1956" s="18"/>
      <c r="D1956" s="19"/>
      <c r="E1956" s="57"/>
      <c r="H1956" s="18"/>
    </row>
    <row r="1957">
      <c r="C1957" s="18"/>
      <c r="D1957" s="19"/>
      <c r="E1957" s="57"/>
      <c r="H1957" s="18"/>
    </row>
    <row r="1958">
      <c r="C1958" s="18"/>
      <c r="D1958" s="19"/>
      <c r="E1958" s="57"/>
      <c r="H1958" s="18"/>
    </row>
    <row r="1959">
      <c r="C1959" s="18"/>
      <c r="D1959" s="19"/>
      <c r="E1959" s="57"/>
      <c r="H1959" s="18"/>
    </row>
    <row r="1960">
      <c r="C1960" s="18"/>
      <c r="D1960" s="19"/>
      <c r="E1960" s="57"/>
      <c r="H1960" s="18"/>
    </row>
    <row r="1961">
      <c r="C1961" s="18"/>
      <c r="D1961" s="19"/>
      <c r="E1961" s="57"/>
      <c r="H1961" s="18"/>
    </row>
    <row r="1962">
      <c r="C1962" s="18"/>
      <c r="D1962" s="19"/>
      <c r="E1962" s="57"/>
      <c r="H1962" s="18"/>
    </row>
    <row r="1963">
      <c r="C1963" s="18"/>
      <c r="D1963" s="19"/>
      <c r="E1963" s="57"/>
      <c r="H1963" s="18"/>
    </row>
    <row r="1964">
      <c r="C1964" s="18"/>
      <c r="D1964" s="19"/>
      <c r="E1964" s="57"/>
      <c r="H1964" s="18"/>
    </row>
    <row r="1965">
      <c r="C1965" s="18"/>
      <c r="D1965" s="19"/>
      <c r="E1965" s="57"/>
      <c r="H1965" s="18"/>
    </row>
    <row r="1966">
      <c r="C1966" s="18"/>
      <c r="D1966" s="19"/>
      <c r="E1966" s="57"/>
      <c r="H1966" s="18"/>
    </row>
    <row r="1967">
      <c r="C1967" s="18"/>
      <c r="D1967" s="19"/>
      <c r="E1967" s="57"/>
      <c r="H1967" s="18"/>
    </row>
    <row r="1968">
      <c r="C1968" s="18"/>
      <c r="D1968" s="19"/>
      <c r="E1968" s="57"/>
      <c r="H1968" s="18"/>
    </row>
    <row r="1969">
      <c r="C1969" s="18"/>
      <c r="D1969" s="19"/>
      <c r="E1969" s="57"/>
      <c r="H1969" s="18"/>
    </row>
    <row r="1970">
      <c r="C1970" s="18"/>
      <c r="D1970" s="19"/>
      <c r="E1970" s="57"/>
      <c r="H1970" s="18"/>
    </row>
    <row r="1971">
      <c r="C1971" s="18"/>
      <c r="D1971" s="19"/>
      <c r="E1971" s="57"/>
      <c r="H1971" s="18"/>
    </row>
    <row r="1972">
      <c r="C1972" s="18"/>
      <c r="D1972" s="19"/>
      <c r="E1972" s="57"/>
      <c r="H1972" s="18"/>
    </row>
    <row r="1973">
      <c r="C1973" s="18"/>
      <c r="D1973" s="19"/>
      <c r="E1973" s="57"/>
      <c r="H1973" s="18"/>
    </row>
    <row r="1974">
      <c r="C1974" s="18"/>
      <c r="D1974" s="19"/>
      <c r="E1974" s="57"/>
      <c r="H1974" s="18"/>
    </row>
    <row r="1975">
      <c r="C1975" s="18"/>
      <c r="D1975" s="19"/>
      <c r="E1975" s="57"/>
      <c r="H1975" s="18"/>
    </row>
    <row r="1976">
      <c r="C1976" s="18"/>
      <c r="D1976" s="19"/>
      <c r="E1976" s="57"/>
      <c r="H1976" s="18"/>
    </row>
    <row r="1977">
      <c r="C1977" s="18"/>
      <c r="D1977" s="19"/>
      <c r="E1977" s="57"/>
      <c r="H1977" s="18"/>
    </row>
    <row r="1978">
      <c r="C1978" s="18"/>
      <c r="D1978" s="19"/>
      <c r="E1978" s="57"/>
      <c r="H1978" s="18"/>
    </row>
    <row r="1979">
      <c r="C1979" s="18"/>
      <c r="D1979" s="19"/>
      <c r="E1979" s="57"/>
      <c r="H1979" s="18"/>
    </row>
    <row r="1980">
      <c r="C1980" s="18"/>
      <c r="D1980" s="19"/>
      <c r="E1980" s="57"/>
      <c r="H1980" s="18"/>
    </row>
    <row r="1981">
      <c r="C1981" s="18"/>
      <c r="D1981" s="19"/>
      <c r="E1981" s="57"/>
      <c r="H1981" s="18"/>
    </row>
    <row r="1982">
      <c r="C1982" s="18"/>
      <c r="D1982" s="19"/>
      <c r="E1982" s="57"/>
      <c r="H1982" s="18"/>
    </row>
    <row r="1983">
      <c r="C1983" s="18"/>
      <c r="D1983" s="19"/>
      <c r="E1983" s="57"/>
      <c r="H1983" s="18"/>
    </row>
    <row r="1984">
      <c r="C1984" s="18"/>
      <c r="D1984" s="19"/>
      <c r="E1984" s="57"/>
      <c r="H1984" s="18"/>
    </row>
    <row r="1985">
      <c r="C1985" s="18"/>
      <c r="D1985" s="19"/>
      <c r="E1985" s="57"/>
      <c r="H1985" s="18"/>
    </row>
    <row r="1986">
      <c r="C1986" s="18"/>
      <c r="D1986" s="19"/>
      <c r="E1986" s="57"/>
      <c r="H1986" s="18"/>
    </row>
    <row r="1987">
      <c r="C1987" s="18"/>
      <c r="D1987" s="19"/>
      <c r="E1987" s="57"/>
      <c r="H1987" s="18"/>
    </row>
    <row r="1988">
      <c r="C1988" s="18"/>
      <c r="D1988" s="19"/>
      <c r="E1988" s="57"/>
      <c r="H1988" s="18"/>
    </row>
    <row r="1989">
      <c r="C1989" s="18"/>
      <c r="D1989" s="19"/>
      <c r="E1989" s="57"/>
      <c r="H1989" s="18"/>
    </row>
    <row r="1990">
      <c r="C1990" s="18"/>
      <c r="D1990" s="19"/>
      <c r="E1990" s="57"/>
      <c r="H1990" s="18"/>
    </row>
    <row r="1991">
      <c r="C1991" s="18"/>
      <c r="D1991" s="19"/>
      <c r="E1991" s="57"/>
      <c r="H1991" s="18"/>
    </row>
    <row r="1992">
      <c r="C1992" s="18"/>
      <c r="D1992" s="19"/>
      <c r="E1992" s="57"/>
      <c r="H1992" s="18"/>
    </row>
    <row r="1993">
      <c r="C1993" s="18"/>
      <c r="D1993" s="19"/>
      <c r="E1993" s="57"/>
      <c r="H1993" s="18"/>
    </row>
    <row r="1994">
      <c r="C1994" s="18"/>
      <c r="D1994" s="19"/>
      <c r="E1994" s="57"/>
      <c r="H1994" s="18"/>
    </row>
    <row r="1995">
      <c r="C1995" s="18"/>
      <c r="D1995" s="19"/>
      <c r="E1995" s="57"/>
      <c r="H1995" s="18"/>
    </row>
    <row r="1996">
      <c r="C1996" s="18"/>
      <c r="D1996" s="19"/>
      <c r="E1996" s="57"/>
      <c r="H1996" s="18"/>
    </row>
    <row r="1997">
      <c r="C1997" s="18"/>
      <c r="D1997" s="19"/>
      <c r="E1997" s="57"/>
      <c r="H1997" s="18"/>
    </row>
    <row r="1998">
      <c r="C1998" s="18"/>
      <c r="D1998" s="19"/>
      <c r="E1998" s="57"/>
      <c r="H1998" s="18"/>
    </row>
    <row r="1999">
      <c r="C1999" s="18"/>
      <c r="D1999" s="19"/>
      <c r="E1999" s="57"/>
      <c r="H1999" s="18"/>
    </row>
    <row r="2000">
      <c r="C2000" s="18"/>
      <c r="D2000" s="19"/>
      <c r="E2000" s="57"/>
      <c r="H2000" s="18"/>
    </row>
    <row r="2001">
      <c r="C2001" s="18"/>
      <c r="D2001" s="19"/>
      <c r="E2001" s="57"/>
      <c r="H2001" s="18"/>
    </row>
    <row r="2002">
      <c r="C2002" s="18"/>
      <c r="D2002" s="19"/>
      <c r="E2002" s="57"/>
      <c r="H2002" s="18"/>
    </row>
    <row r="2003">
      <c r="C2003" s="18"/>
      <c r="D2003" s="19"/>
      <c r="E2003" s="57"/>
      <c r="H2003" s="18"/>
    </row>
    <row r="2004">
      <c r="C2004" s="18"/>
      <c r="D2004" s="19"/>
      <c r="E2004" s="57"/>
      <c r="H2004" s="18"/>
    </row>
    <row r="2005">
      <c r="C2005" s="18"/>
      <c r="D2005" s="19"/>
      <c r="E2005" s="57"/>
      <c r="H2005" s="18"/>
    </row>
    <row r="2006">
      <c r="C2006" s="18"/>
      <c r="D2006" s="19"/>
      <c r="E2006" s="57"/>
      <c r="H2006" s="18"/>
    </row>
    <row r="2007">
      <c r="C2007" s="18"/>
      <c r="D2007" s="19"/>
      <c r="E2007" s="57"/>
      <c r="H2007" s="18"/>
    </row>
    <row r="2008">
      <c r="C2008" s="18"/>
      <c r="D2008" s="19"/>
      <c r="E2008" s="57"/>
      <c r="H2008" s="18"/>
    </row>
    <row r="2009">
      <c r="C2009" s="18"/>
      <c r="D2009" s="19"/>
      <c r="E2009" s="57"/>
      <c r="H2009" s="18"/>
    </row>
    <row r="2010">
      <c r="C2010" s="18"/>
      <c r="D2010" s="19"/>
      <c r="E2010" s="57"/>
      <c r="H2010" s="18"/>
    </row>
    <row r="2011">
      <c r="C2011" s="18"/>
      <c r="D2011" s="19"/>
      <c r="E2011" s="57"/>
      <c r="H2011" s="18"/>
    </row>
    <row r="2012">
      <c r="C2012" s="18"/>
      <c r="D2012" s="19"/>
      <c r="E2012" s="57"/>
      <c r="H2012" s="18"/>
    </row>
    <row r="2013">
      <c r="C2013" s="18"/>
      <c r="D2013" s="19"/>
      <c r="E2013" s="57"/>
      <c r="H2013" s="18"/>
    </row>
    <row r="2014">
      <c r="C2014" s="18"/>
      <c r="D2014" s="19"/>
      <c r="E2014" s="57"/>
      <c r="H2014" s="18"/>
    </row>
    <row r="2015">
      <c r="C2015" s="18"/>
      <c r="D2015" s="19"/>
      <c r="E2015" s="57"/>
      <c r="H2015" s="18"/>
    </row>
    <row r="2016">
      <c r="C2016" s="18"/>
      <c r="D2016" s="19"/>
      <c r="E2016" s="57"/>
      <c r="H2016" s="18"/>
    </row>
    <row r="2017">
      <c r="C2017" s="18"/>
      <c r="D2017" s="19"/>
      <c r="E2017" s="57"/>
      <c r="H2017" s="18"/>
    </row>
    <row r="2018">
      <c r="C2018" s="18"/>
      <c r="D2018" s="19"/>
      <c r="E2018" s="57"/>
      <c r="H2018" s="18"/>
    </row>
    <row r="2019">
      <c r="C2019" s="18"/>
      <c r="D2019" s="19"/>
      <c r="E2019" s="57"/>
      <c r="H2019" s="18"/>
    </row>
    <row r="2020">
      <c r="C2020" s="18"/>
      <c r="D2020" s="19"/>
      <c r="E2020" s="57"/>
      <c r="H2020" s="18"/>
    </row>
    <row r="2021">
      <c r="C2021" s="18"/>
      <c r="D2021" s="19"/>
      <c r="E2021" s="57"/>
      <c r="H2021" s="18"/>
    </row>
    <row r="2022">
      <c r="C2022" s="18"/>
      <c r="D2022" s="19"/>
      <c r="E2022" s="57"/>
      <c r="H2022" s="18"/>
    </row>
    <row r="2023">
      <c r="C2023" s="18"/>
      <c r="D2023" s="19"/>
      <c r="E2023" s="57"/>
      <c r="H2023" s="18"/>
    </row>
    <row r="2024">
      <c r="C2024" s="18"/>
      <c r="D2024" s="19"/>
      <c r="E2024" s="57"/>
      <c r="H2024" s="18"/>
    </row>
    <row r="2025">
      <c r="C2025" s="18"/>
      <c r="D2025" s="19"/>
      <c r="E2025" s="57"/>
      <c r="H2025" s="18"/>
    </row>
    <row r="2026">
      <c r="C2026" s="18"/>
      <c r="D2026" s="19"/>
      <c r="E2026" s="57"/>
      <c r="H2026" s="18"/>
    </row>
    <row r="2027">
      <c r="C2027" s="18"/>
      <c r="D2027" s="19"/>
      <c r="E2027" s="57"/>
      <c r="H2027" s="18"/>
    </row>
    <row r="2028">
      <c r="C2028" s="18"/>
      <c r="D2028" s="19"/>
      <c r="E2028" s="57"/>
      <c r="H2028" s="18"/>
    </row>
    <row r="2029">
      <c r="C2029" s="18"/>
      <c r="D2029" s="19"/>
      <c r="E2029" s="57"/>
      <c r="H2029" s="18"/>
    </row>
    <row r="2030">
      <c r="C2030" s="18"/>
      <c r="D2030" s="19"/>
      <c r="E2030" s="57"/>
      <c r="H2030" s="18"/>
    </row>
    <row r="2031">
      <c r="C2031" s="18"/>
      <c r="D2031" s="19"/>
      <c r="E2031" s="57"/>
      <c r="H2031" s="18"/>
    </row>
    <row r="2032">
      <c r="C2032" s="18"/>
      <c r="D2032" s="19"/>
      <c r="E2032" s="57"/>
      <c r="H2032" s="18"/>
    </row>
    <row r="2033">
      <c r="C2033" s="18"/>
      <c r="D2033" s="19"/>
      <c r="E2033" s="57"/>
      <c r="H2033" s="18"/>
    </row>
    <row r="2034">
      <c r="C2034" s="18"/>
      <c r="D2034" s="19"/>
      <c r="E2034" s="57"/>
      <c r="H2034" s="18"/>
    </row>
    <row r="2035">
      <c r="C2035" s="18"/>
      <c r="D2035" s="19"/>
      <c r="E2035" s="57"/>
      <c r="H2035" s="18"/>
    </row>
    <row r="2036">
      <c r="C2036" s="18"/>
      <c r="D2036" s="19"/>
      <c r="E2036" s="57"/>
      <c r="H2036" s="18"/>
    </row>
    <row r="2037">
      <c r="C2037" s="18"/>
      <c r="D2037" s="19"/>
      <c r="E2037" s="57"/>
      <c r="H2037" s="18"/>
    </row>
    <row r="2038">
      <c r="C2038" s="18"/>
      <c r="D2038" s="19"/>
      <c r="E2038" s="57"/>
      <c r="H2038" s="18"/>
    </row>
    <row r="2039">
      <c r="C2039" s="18"/>
      <c r="D2039" s="19"/>
      <c r="E2039" s="57"/>
      <c r="H2039" s="18"/>
    </row>
    <row r="2040">
      <c r="C2040" s="18"/>
      <c r="D2040" s="19"/>
      <c r="E2040" s="57"/>
      <c r="H2040" s="18"/>
    </row>
    <row r="2041">
      <c r="C2041" s="18"/>
      <c r="D2041" s="19"/>
      <c r="E2041" s="57"/>
      <c r="H2041" s="18"/>
    </row>
    <row r="2042">
      <c r="C2042" s="18"/>
      <c r="D2042" s="19"/>
      <c r="E2042" s="57"/>
      <c r="H2042" s="18"/>
    </row>
    <row r="2043">
      <c r="C2043" s="18"/>
      <c r="D2043" s="19"/>
      <c r="E2043" s="57"/>
      <c r="H2043" s="18"/>
    </row>
    <row r="2044">
      <c r="C2044" s="18"/>
      <c r="D2044" s="19"/>
      <c r="E2044" s="57"/>
      <c r="H2044" s="18"/>
    </row>
    <row r="2045">
      <c r="C2045" s="18"/>
      <c r="D2045" s="19"/>
      <c r="E2045" s="57"/>
      <c r="H2045" s="18"/>
    </row>
    <row r="2046">
      <c r="C2046" s="18"/>
      <c r="D2046" s="19"/>
      <c r="E2046" s="57"/>
      <c r="H2046" s="18"/>
    </row>
    <row r="2047">
      <c r="C2047" s="18"/>
      <c r="D2047" s="19"/>
      <c r="E2047" s="57"/>
      <c r="H2047" s="18"/>
    </row>
    <row r="2048">
      <c r="C2048" s="18"/>
      <c r="D2048" s="19"/>
      <c r="E2048" s="57"/>
      <c r="H2048" s="18"/>
    </row>
    <row r="2049">
      <c r="C2049" s="18"/>
      <c r="D2049" s="19"/>
      <c r="E2049" s="57"/>
      <c r="H2049" s="18"/>
    </row>
    <row r="2050">
      <c r="C2050" s="18"/>
      <c r="D2050" s="19"/>
      <c r="E2050" s="57"/>
      <c r="H2050" s="18"/>
    </row>
    <row r="2051">
      <c r="C2051" s="18"/>
      <c r="D2051" s="19"/>
      <c r="E2051" s="57"/>
      <c r="H2051" s="18"/>
    </row>
    <row r="2052">
      <c r="C2052" s="18"/>
      <c r="D2052" s="19"/>
      <c r="E2052" s="57"/>
      <c r="H2052" s="18"/>
    </row>
    <row r="2053">
      <c r="C2053" s="18"/>
      <c r="D2053" s="19"/>
      <c r="E2053" s="57"/>
      <c r="H2053" s="18"/>
    </row>
    <row r="2054">
      <c r="C2054" s="18"/>
      <c r="D2054" s="19"/>
      <c r="E2054" s="57"/>
      <c r="H2054" s="18"/>
    </row>
    <row r="2055">
      <c r="C2055" s="18"/>
      <c r="D2055" s="19"/>
      <c r="E2055" s="57"/>
      <c r="H2055" s="18"/>
    </row>
    <row r="2056">
      <c r="C2056" s="18"/>
      <c r="D2056" s="19"/>
      <c r="E2056" s="57"/>
      <c r="H2056" s="18"/>
    </row>
    <row r="2057">
      <c r="C2057" s="18"/>
      <c r="D2057" s="19"/>
      <c r="E2057" s="57"/>
      <c r="H2057" s="18"/>
    </row>
    <row r="2058">
      <c r="C2058" s="18"/>
      <c r="D2058" s="19"/>
      <c r="E2058" s="57"/>
      <c r="H2058" s="18"/>
    </row>
    <row r="2059">
      <c r="C2059" s="18"/>
      <c r="D2059" s="19"/>
      <c r="E2059" s="57"/>
      <c r="H2059" s="18"/>
    </row>
    <row r="2060">
      <c r="C2060" s="18"/>
      <c r="D2060" s="19"/>
      <c r="E2060" s="57"/>
      <c r="H2060" s="18"/>
    </row>
    <row r="2061">
      <c r="C2061" s="18"/>
      <c r="D2061" s="19"/>
      <c r="E2061" s="57"/>
      <c r="H2061" s="18"/>
    </row>
    <row r="2062">
      <c r="C2062" s="18"/>
      <c r="D2062" s="19"/>
      <c r="E2062" s="57"/>
      <c r="H2062" s="18"/>
    </row>
    <row r="2063">
      <c r="C2063" s="18"/>
      <c r="D2063" s="19"/>
      <c r="E2063" s="57"/>
      <c r="H2063" s="18"/>
    </row>
    <row r="2064">
      <c r="C2064" s="18"/>
      <c r="D2064" s="19"/>
      <c r="E2064" s="57"/>
      <c r="H2064" s="18"/>
    </row>
    <row r="2065">
      <c r="C2065" s="18"/>
      <c r="D2065" s="19"/>
      <c r="E2065" s="57"/>
      <c r="H2065" s="18"/>
    </row>
    <row r="2066">
      <c r="C2066" s="18"/>
      <c r="D2066" s="19"/>
      <c r="E2066" s="57"/>
      <c r="H2066" s="18"/>
    </row>
    <row r="2067">
      <c r="C2067" s="18"/>
      <c r="D2067" s="19"/>
      <c r="E2067" s="57"/>
      <c r="H2067" s="18"/>
    </row>
    <row r="2068">
      <c r="C2068" s="18"/>
      <c r="D2068" s="19"/>
      <c r="E2068" s="57"/>
      <c r="H2068" s="18"/>
    </row>
    <row r="2069">
      <c r="C2069" s="18"/>
      <c r="D2069" s="19"/>
      <c r="E2069" s="57"/>
      <c r="H2069" s="18"/>
    </row>
    <row r="2070">
      <c r="C2070" s="18"/>
      <c r="D2070" s="19"/>
      <c r="E2070" s="57"/>
      <c r="H2070" s="18"/>
    </row>
    <row r="2071">
      <c r="C2071" s="18"/>
      <c r="D2071" s="19"/>
      <c r="E2071" s="57"/>
      <c r="H2071" s="18"/>
    </row>
    <row r="2072">
      <c r="C2072" s="18"/>
      <c r="D2072" s="19"/>
      <c r="E2072" s="57"/>
      <c r="H2072" s="18"/>
    </row>
    <row r="2073">
      <c r="C2073" s="18"/>
      <c r="D2073" s="19"/>
      <c r="E2073" s="57"/>
      <c r="H2073" s="18"/>
    </row>
    <row r="2074">
      <c r="C2074" s="18"/>
      <c r="D2074" s="19"/>
      <c r="E2074" s="57"/>
      <c r="H2074" s="18"/>
    </row>
    <row r="2075">
      <c r="C2075" s="18"/>
      <c r="D2075" s="19"/>
      <c r="E2075" s="57"/>
      <c r="H2075" s="18"/>
    </row>
    <row r="2076">
      <c r="C2076" s="18"/>
      <c r="D2076" s="19"/>
      <c r="E2076" s="57"/>
      <c r="H2076" s="18"/>
    </row>
    <row r="2077">
      <c r="C2077" s="18"/>
      <c r="D2077" s="19"/>
      <c r="E2077" s="57"/>
      <c r="H2077" s="18"/>
    </row>
    <row r="2078">
      <c r="C2078" s="18"/>
      <c r="D2078" s="19"/>
      <c r="E2078" s="57"/>
      <c r="H2078" s="18"/>
    </row>
    <row r="2079">
      <c r="C2079" s="18"/>
      <c r="D2079" s="19"/>
      <c r="E2079" s="57"/>
      <c r="H2079" s="18"/>
    </row>
    <row r="2080">
      <c r="C2080" s="18"/>
      <c r="D2080" s="19"/>
      <c r="E2080" s="57"/>
      <c r="H2080" s="18"/>
    </row>
    <row r="2081">
      <c r="C2081" s="18"/>
      <c r="D2081" s="19"/>
      <c r="E2081" s="57"/>
      <c r="H2081" s="18"/>
    </row>
    <row r="2082">
      <c r="C2082" s="18"/>
      <c r="D2082" s="19"/>
      <c r="E2082" s="57"/>
      <c r="H2082" s="18"/>
    </row>
    <row r="2083">
      <c r="C2083" s="18"/>
      <c r="D2083" s="19"/>
      <c r="E2083" s="57"/>
      <c r="H2083" s="18"/>
    </row>
    <row r="2084">
      <c r="C2084" s="18"/>
      <c r="D2084" s="19"/>
      <c r="E2084" s="57"/>
      <c r="H2084" s="18"/>
    </row>
    <row r="2085">
      <c r="C2085" s="18"/>
      <c r="D2085" s="19"/>
      <c r="E2085" s="57"/>
      <c r="H2085" s="18"/>
    </row>
    <row r="2086">
      <c r="C2086" s="18"/>
      <c r="D2086" s="19"/>
      <c r="E2086" s="57"/>
      <c r="H2086" s="18"/>
    </row>
    <row r="2087">
      <c r="C2087" s="18"/>
      <c r="D2087" s="19"/>
      <c r="E2087" s="57"/>
      <c r="H2087" s="18"/>
    </row>
    <row r="2088">
      <c r="C2088" s="18"/>
      <c r="D2088" s="19"/>
      <c r="E2088" s="57"/>
      <c r="H2088" s="18"/>
    </row>
    <row r="2089">
      <c r="C2089" s="18"/>
      <c r="D2089" s="19"/>
      <c r="E2089" s="57"/>
      <c r="H2089" s="18"/>
    </row>
    <row r="2090">
      <c r="C2090" s="18"/>
      <c r="D2090" s="19"/>
      <c r="E2090" s="57"/>
      <c r="H2090" s="18"/>
    </row>
    <row r="2091">
      <c r="C2091" s="18"/>
      <c r="D2091" s="19"/>
      <c r="E2091" s="57"/>
      <c r="H2091" s="18"/>
    </row>
    <row r="2092">
      <c r="C2092" s="18"/>
      <c r="D2092" s="19"/>
      <c r="E2092" s="57"/>
      <c r="H2092" s="18"/>
    </row>
    <row r="2093">
      <c r="C2093" s="18"/>
      <c r="D2093" s="19"/>
      <c r="E2093" s="57"/>
      <c r="H2093" s="18"/>
    </row>
    <row r="2094">
      <c r="C2094" s="18"/>
      <c r="D2094" s="19"/>
      <c r="E2094" s="57"/>
      <c r="H2094" s="18"/>
    </row>
    <row r="2095">
      <c r="C2095" s="18"/>
      <c r="D2095" s="19"/>
      <c r="E2095" s="57"/>
      <c r="H2095" s="18"/>
    </row>
    <row r="2096">
      <c r="C2096" s="18"/>
      <c r="D2096" s="19"/>
      <c r="E2096" s="57"/>
      <c r="H2096" s="18"/>
    </row>
    <row r="2097">
      <c r="C2097" s="18"/>
      <c r="D2097" s="19"/>
      <c r="E2097" s="57"/>
      <c r="H2097" s="18"/>
    </row>
    <row r="2098">
      <c r="C2098" s="18"/>
      <c r="D2098" s="19"/>
      <c r="E2098" s="57"/>
      <c r="H2098" s="18"/>
    </row>
    <row r="2099">
      <c r="C2099" s="18"/>
      <c r="D2099" s="19"/>
      <c r="E2099" s="57"/>
      <c r="H2099" s="18"/>
    </row>
    <row r="2100">
      <c r="C2100" s="18"/>
      <c r="D2100" s="19"/>
      <c r="E2100" s="57"/>
      <c r="H2100" s="18"/>
    </row>
    <row r="2101">
      <c r="C2101" s="18"/>
      <c r="D2101" s="19"/>
      <c r="E2101" s="57"/>
      <c r="H2101" s="18"/>
    </row>
    <row r="2102">
      <c r="C2102" s="18"/>
      <c r="D2102" s="19"/>
      <c r="E2102" s="57"/>
      <c r="H2102" s="18"/>
    </row>
    <row r="2103">
      <c r="C2103" s="18"/>
      <c r="D2103" s="19"/>
      <c r="E2103" s="57"/>
      <c r="H2103" s="18"/>
    </row>
    <row r="2104">
      <c r="C2104" s="18"/>
      <c r="D2104" s="19"/>
      <c r="E2104" s="57"/>
      <c r="H2104" s="18"/>
    </row>
    <row r="2105">
      <c r="C2105" s="18"/>
      <c r="D2105" s="19"/>
      <c r="E2105" s="57"/>
      <c r="H2105" s="18"/>
    </row>
    <row r="2106">
      <c r="C2106" s="18"/>
      <c r="D2106" s="19"/>
      <c r="E2106" s="57"/>
      <c r="H2106" s="18"/>
    </row>
    <row r="2107">
      <c r="C2107" s="18"/>
      <c r="D2107" s="19"/>
      <c r="E2107" s="57"/>
      <c r="H2107" s="18"/>
    </row>
    <row r="2108">
      <c r="C2108" s="18"/>
      <c r="D2108" s="19"/>
      <c r="E2108" s="57"/>
      <c r="H2108" s="18"/>
    </row>
    <row r="2109">
      <c r="C2109" s="18"/>
      <c r="D2109" s="19"/>
      <c r="E2109" s="57"/>
      <c r="H2109" s="18"/>
    </row>
    <row r="2110">
      <c r="C2110" s="18"/>
      <c r="D2110" s="19"/>
      <c r="E2110" s="57"/>
      <c r="H2110" s="18"/>
    </row>
    <row r="2111">
      <c r="C2111" s="18"/>
      <c r="D2111" s="19"/>
      <c r="E2111" s="57"/>
      <c r="H2111" s="18"/>
    </row>
    <row r="2112">
      <c r="C2112" s="18"/>
      <c r="D2112" s="19"/>
      <c r="E2112" s="57"/>
      <c r="H2112" s="18"/>
    </row>
    <row r="2113">
      <c r="C2113" s="18"/>
      <c r="D2113" s="19"/>
      <c r="E2113" s="57"/>
      <c r="H2113" s="18"/>
    </row>
    <row r="2114">
      <c r="C2114" s="18"/>
      <c r="D2114" s="19"/>
      <c r="E2114" s="57"/>
      <c r="H2114" s="18"/>
    </row>
    <row r="2115">
      <c r="C2115" s="18"/>
      <c r="D2115" s="19"/>
      <c r="E2115" s="57"/>
      <c r="H2115" s="18"/>
    </row>
    <row r="2116">
      <c r="C2116" s="18"/>
      <c r="D2116" s="19"/>
      <c r="E2116" s="57"/>
      <c r="H2116" s="18"/>
    </row>
    <row r="2117">
      <c r="C2117" s="18"/>
      <c r="D2117" s="19"/>
      <c r="E2117" s="57"/>
      <c r="H2117" s="18"/>
    </row>
    <row r="2118">
      <c r="C2118" s="18"/>
      <c r="D2118" s="19"/>
      <c r="E2118" s="57"/>
      <c r="H2118" s="18"/>
    </row>
    <row r="2119">
      <c r="C2119" s="18"/>
      <c r="D2119" s="19"/>
      <c r="E2119" s="57"/>
      <c r="H2119" s="18"/>
    </row>
    <row r="2120">
      <c r="C2120" s="18"/>
      <c r="D2120" s="19"/>
      <c r="E2120" s="57"/>
      <c r="H2120" s="18"/>
    </row>
    <row r="2121">
      <c r="C2121" s="18"/>
      <c r="D2121" s="19"/>
      <c r="E2121" s="57"/>
      <c r="H2121" s="18"/>
    </row>
    <row r="2122">
      <c r="C2122" s="18"/>
      <c r="D2122" s="19"/>
      <c r="E2122" s="57"/>
      <c r="H2122" s="18"/>
    </row>
    <row r="2123">
      <c r="C2123" s="18"/>
      <c r="D2123" s="19"/>
      <c r="E2123" s="57"/>
      <c r="H2123" s="18"/>
    </row>
    <row r="2124">
      <c r="C2124" s="18"/>
      <c r="D2124" s="19"/>
      <c r="E2124" s="57"/>
      <c r="H2124" s="18"/>
    </row>
    <row r="2125">
      <c r="C2125" s="18"/>
      <c r="D2125" s="19"/>
      <c r="E2125" s="57"/>
      <c r="H2125" s="18"/>
    </row>
    <row r="2126">
      <c r="C2126" s="18"/>
      <c r="D2126" s="19"/>
      <c r="E2126" s="57"/>
      <c r="H2126" s="18"/>
    </row>
    <row r="2127">
      <c r="C2127" s="18"/>
      <c r="D2127" s="19"/>
      <c r="E2127" s="57"/>
      <c r="H2127" s="18"/>
    </row>
    <row r="2128">
      <c r="C2128" s="18"/>
      <c r="D2128" s="19"/>
      <c r="E2128" s="57"/>
      <c r="H2128" s="18"/>
    </row>
    <row r="2129">
      <c r="C2129" s="18"/>
      <c r="D2129" s="19"/>
      <c r="E2129" s="57"/>
      <c r="H2129" s="18"/>
    </row>
    <row r="2130">
      <c r="C2130" s="18"/>
      <c r="D2130" s="19"/>
      <c r="E2130" s="57"/>
      <c r="H2130" s="18"/>
    </row>
    <row r="2131">
      <c r="C2131" s="18"/>
      <c r="D2131" s="19"/>
      <c r="E2131" s="57"/>
      <c r="H2131" s="18"/>
    </row>
    <row r="2132">
      <c r="C2132" s="18"/>
      <c r="D2132" s="19"/>
      <c r="E2132" s="57"/>
      <c r="H2132" s="18"/>
    </row>
    <row r="2133">
      <c r="C2133" s="18"/>
      <c r="D2133" s="19"/>
      <c r="E2133" s="57"/>
      <c r="H2133" s="18"/>
    </row>
    <row r="2134">
      <c r="C2134" s="18"/>
      <c r="D2134" s="19"/>
      <c r="E2134" s="57"/>
      <c r="H2134" s="18"/>
    </row>
    <row r="2135">
      <c r="C2135" s="18"/>
      <c r="D2135" s="19"/>
      <c r="E2135" s="57"/>
      <c r="H2135" s="18"/>
    </row>
    <row r="2136">
      <c r="C2136" s="18"/>
      <c r="D2136" s="19"/>
      <c r="E2136" s="57"/>
      <c r="H2136" s="18"/>
    </row>
    <row r="2137">
      <c r="C2137" s="18"/>
      <c r="D2137" s="19"/>
      <c r="E2137" s="57"/>
      <c r="H2137" s="18"/>
    </row>
    <row r="2138">
      <c r="C2138" s="18"/>
      <c r="D2138" s="19"/>
      <c r="E2138" s="57"/>
      <c r="H2138" s="18"/>
    </row>
    <row r="2139">
      <c r="C2139" s="18"/>
      <c r="D2139" s="19"/>
      <c r="E2139" s="57"/>
      <c r="H2139" s="18"/>
    </row>
    <row r="2140">
      <c r="C2140" s="18"/>
      <c r="D2140" s="19"/>
      <c r="E2140" s="57"/>
      <c r="H2140" s="18"/>
    </row>
    <row r="2141">
      <c r="C2141" s="18"/>
      <c r="D2141" s="19"/>
      <c r="E2141" s="57"/>
      <c r="H2141" s="18"/>
    </row>
    <row r="2142">
      <c r="C2142" s="18"/>
      <c r="D2142" s="19"/>
      <c r="E2142" s="57"/>
      <c r="H2142" s="18"/>
    </row>
    <row r="2143">
      <c r="C2143" s="18"/>
      <c r="D2143" s="19"/>
      <c r="E2143" s="57"/>
      <c r="H2143" s="18"/>
    </row>
    <row r="2144">
      <c r="C2144" s="18"/>
      <c r="D2144" s="19"/>
      <c r="E2144" s="57"/>
      <c r="H2144" s="18"/>
    </row>
    <row r="2145">
      <c r="C2145" s="18"/>
      <c r="D2145" s="19"/>
      <c r="E2145" s="57"/>
      <c r="H2145" s="18"/>
    </row>
    <row r="2146">
      <c r="C2146" s="18"/>
      <c r="D2146" s="19"/>
      <c r="E2146" s="57"/>
      <c r="H2146" s="18"/>
    </row>
    <row r="2147">
      <c r="C2147" s="18"/>
      <c r="D2147" s="19"/>
      <c r="E2147" s="57"/>
      <c r="H2147" s="18"/>
    </row>
    <row r="2148">
      <c r="C2148" s="18"/>
      <c r="D2148" s="19"/>
      <c r="E2148" s="57"/>
      <c r="H2148" s="18"/>
    </row>
    <row r="2149">
      <c r="C2149" s="18"/>
      <c r="D2149" s="19"/>
      <c r="E2149" s="57"/>
      <c r="H2149" s="18"/>
    </row>
    <row r="2150">
      <c r="C2150" s="18"/>
      <c r="D2150" s="19"/>
      <c r="E2150" s="57"/>
      <c r="H2150" s="18"/>
    </row>
    <row r="2151">
      <c r="C2151" s="18"/>
      <c r="D2151" s="19"/>
      <c r="E2151" s="57"/>
      <c r="H2151" s="18"/>
    </row>
    <row r="2152">
      <c r="C2152" s="18"/>
      <c r="D2152" s="19"/>
      <c r="E2152" s="57"/>
      <c r="H2152" s="18"/>
    </row>
    <row r="2153">
      <c r="C2153" s="18"/>
      <c r="D2153" s="19"/>
      <c r="E2153" s="57"/>
      <c r="H2153" s="18"/>
    </row>
    <row r="2154">
      <c r="C2154" s="18"/>
      <c r="D2154" s="19"/>
      <c r="E2154" s="57"/>
      <c r="H2154" s="18"/>
    </row>
    <row r="2155">
      <c r="C2155" s="18"/>
      <c r="D2155" s="19"/>
      <c r="E2155" s="57"/>
      <c r="H2155" s="18"/>
    </row>
    <row r="2156">
      <c r="C2156" s="18"/>
      <c r="D2156" s="19"/>
      <c r="E2156" s="57"/>
      <c r="H2156" s="18"/>
    </row>
    <row r="2157">
      <c r="C2157" s="18"/>
      <c r="D2157" s="19"/>
      <c r="E2157" s="57"/>
      <c r="H2157" s="18"/>
    </row>
    <row r="2158">
      <c r="C2158" s="18"/>
      <c r="D2158" s="19"/>
      <c r="E2158" s="57"/>
      <c r="H2158" s="18"/>
    </row>
    <row r="2159">
      <c r="C2159" s="18"/>
      <c r="D2159" s="19"/>
      <c r="E2159" s="57"/>
      <c r="H2159" s="18"/>
    </row>
    <row r="2160">
      <c r="C2160" s="18"/>
      <c r="D2160" s="19"/>
      <c r="E2160" s="57"/>
      <c r="H2160" s="18"/>
    </row>
    <row r="2161">
      <c r="C2161" s="18"/>
      <c r="D2161" s="19"/>
      <c r="E2161" s="57"/>
      <c r="H2161" s="18"/>
    </row>
    <row r="2162">
      <c r="C2162" s="18"/>
      <c r="D2162" s="19"/>
      <c r="E2162" s="57"/>
      <c r="H2162" s="18"/>
    </row>
    <row r="2163">
      <c r="C2163" s="18"/>
      <c r="D2163" s="19"/>
      <c r="E2163" s="57"/>
      <c r="H2163" s="18"/>
    </row>
    <row r="2164">
      <c r="C2164" s="18"/>
      <c r="D2164" s="19"/>
      <c r="E2164" s="57"/>
      <c r="H2164" s="18"/>
    </row>
    <row r="2165">
      <c r="C2165" s="18"/>
      <c r="D2165" s="19"/>
      <c r="E2165" s="57"/>
      <c r="H2165" s="18"/>
    </row>
    <row r="2166">
      <c r="C2166" s="18"/>
      <c r="D2166" s="19"/>
      <c r="E2166" s="57"/>
      <c r="H2166" s="18"/>
    </row>
    <row r="2167">
      <c r="C2167" s="18"/>
      <c r="D2167" s="19"/>
      <c r="E2167" s="57"/>
      <c r="H2167" s="18"/>
    </row>
    <row r="2168">
      <c r="C2168" s="18"/>
      <c r="D2168" s="19"/>
      <c r="E2168" s="57"/>
      <c r="H2168" s="18"/>
    </row>
    <row r="2169">
      <c r="C2169" s="18"/>
      <c r="D2169" s="19"/>
      <c r="E2169" s="57"/>
      <c r="H2169" s="18"/>
    </row>
    <row r="2170">
      <c r="C2170" s="18"/>
      <c r="D2170" s="19"/>
      <c r="E2170" s="57"/>
      <c r="H2170" s="18"/>
    </row>
    <row r="2171">
      <c r="C2171" s="18"/>
      <c r="D2171" s="19"/>
      <c r="E2171" s="57"/>
      <c r="H2171" s="18"/>
    </row>
    <row r="2172">
      <c r="C2172" s="18"/>
      <c r="D2172" s="19"/>
      <c r="E2172" s="57"/>
      <c r="H2172" s="18"/>
    </row>
    <row r="2173">
      <c r="C2173" s="18"/>
      <c r="D2173" s="19"/>
      <c r="E2173" s="57"/>
      <c r="H2173" s="18"/>
    </row>
    <row r="2174">
      <c r="C2174" s="18"/>
      <c r="D2174" s="19"/>
      <c r="E2174" s="57"/>
      <c r="H2174" s="18"/>
    </row>
    <row r="2175">
      <c r="C2175" s="18"/>
      <c r="D2175" s="19"/>
      <c r="E2175" s="57"/>
      <c r="H2175" s="18"/>
    </row>
    <row r="2176">
      <c r="C2176" s="18"/>
      <c r="D2176" s="19"/>
      <c r="E2176" s="57"/>
      <c r="H2176" s="18"/>
    </row>
    <row r="2177">
      <c r="C2177" s="18"/>
      <c r="D2177" s="19"/>
      <c r="E2177" s="57"/>
      <c r="H2177" s="18"/>
    </row>
    <row r="2178">
      <c r="C2178" s="18"/>
      <c r="D2178" s="19"/>
      <c r="E2178" s="57"/>
      <c r="H2178" s="18"/>
    </row>
    <row r="2179">
      <c r="C2179" s="18"/>
      <c r="D2179" s="19"/>
      <c r="E2179" s="57"/>
      <c r="H2179" s="18"/>
    </row>
    <row r="2180">
      <c r="C2180" s="18"/>
      <c r="D2180" s="19"/>
      <c r="E2180" s="57"/>
      <c r="H2180" s="18"/>
    </row>
    <row r="2181">
      <c r="C2181" s="18"/>
      <c r="D2181" s="19"/>
      <c r="E2181" s="57"/>
      <c r="H2181" s="18"/>
    </row>
    <row r="2182">
      <c r="C2182" s="18"/>
      <c r="D2182" s="19"/>
      <c r="E2182" s="57"/>
      <c r="H2182" s="18"/>
    </row>
    <row r="2183">
      <c r="C2183" s="18"/>
      <c r="D2183" s="19"/>
      <c r="E2183" s="57"/>
      <c r="H2183" s="18"/>
    </row>
    <row r="2184">
      <c r="C2184" s="18"/>
      <c r="D2184" s="19"/>
      <c r="E2184" s="57"/>
      <c r="H2184" s="18"/>
    </row>
    <row r="2185">
      <c r="C2185" s="18"/>
      <c r="D2185" s="19"/>
      <c r="E2185" s="57"/>
      <c r="H2185" s="18"/>
    </row>
    <row r="2186">
      <c r="C2186" s="18"/>
      <c r="D2186" s="19"/>
      <c r="E2186" s="57"/>
      <c r="H2186" s="18"/>
    </row>
    <row r="2187">
      <c r="C2187" s="18"/>
      <c r="D2187" s="19"/>
      <c r="E2187" s="57"/>
      <c r="H2187" s="18"/>
    </row>
    <row r="2188">
      <c r="C2188" s="18"/>
      <c r="D2188" s="19"/>
      <c r="E2188" s="57"/>
      <c r="H2188" s="18"/>
    </row>
    <row r="2189">
      <c r="C2189" s="18"/>
      <c r="D2189" s="19"/>
      <c r="E2189" s="57"/>
      <c r="H2189" s="18"/>
    </row>
    <row r="2190">
      <c r="C2190" s="18"/>
      <c r="D2190" s="19"/>
      <c r="E2190" s="57"/>
      <c r="H2190" s="18"/>
    </row>
    <row r="2191">
      <c r="C2191" s="18"/>
      <c r="D2191" s="19"/>
      <c r="E2191" s="57"/>
      <c r="H2191" s="18"/>
    </row>
    <row r="2192">
      <c r="C2192" s="18"/>
      <c r="D2192" s="19"/>
      <c r="E2192" s="57"/>
      <c r="H2192" s="18"/>
    </row>
    <row r="2193">
      <c r="C2193" s="18"/>
      <c r="D2193" s="19"/>
      <c r="E2193" s="57"/>
      <c r="H2193" s="18"/>
    </row>
    <row r="2194">
      <c r="C2194" s="18"/>
      <c r="D2194" s="19"/>
      <c r="E2194" s="57"/>
      <c r="H2194" s="18"/>
    </row>
    <row r="2195">
      <c r="C2195" s="18"/>
      <c r="D2195" s="19"/>
      <c r="E2195" s="57"/>
      <c r="H2195" s="18"/>
    </row>
    <row r="2196">
      <c r="C2196" s="18"/>
      <c r="D2196" s="19"/>
      <c r="E2196" s="57"/>
      <c r="H2196" s="18"/>
    </row>
    <row r="2197">
      <c r="C2197" s="18"/>
      <c r="D2197" s="19"/>
      <c r="E2197" s="57"/>
      <c r="H2197" s="18"/>
    </row>
    <row r="2198">
      <c r="C2198" s="18"/>
      <c r="D2198" s="19"/>
      <c r="E2198" s="57"/>
      <c r="H2198" s="18"/>
    </row>
    <row r="2199">
      <c r="C2199" s="18"/>
      <c r="D2199" s="19"/>
      <c r="E2199" s="57"/>
      <c r="H2199" s="18"/>
    </row>
    <row r="2200">
      <c r="C2200" s="18"/>
      <c r="D2200" s="19"/>
      <c r="E2200" s="57"/>
      <c r="H2200" s="18"/>
    </row>
    <row r="2201">
      <c r="C2201" s="18"/>
      <c r="D2201" s="19"/>
      <c r="E2201" s="57"/>
      <c r="H2201" s="18"/>
    </row>
    <row r="2202">
      <c r="C2202" s="18"/>
      <c r="D2202" s="19"/>
      <c r="E2202" s="57"/>
      <c r="H2202" s="18"/>
    </row>
    <row r="2203">
      <c r="C2203" s="18"/>
      <c r="D2203" s="19"/>
      <c r="E2203" s="57"/>
      <c r="H2203" s="18"/>
    </row>
    <row r="2204">
      <c r="C2204" s="18"/>
      <c r="D2204" s="19"/>
      <c r="E2204" s="57"/>
      <c r="H2204" s="18"/>
    </row>
    <row r="2205">
      <c r="C2205" s="18"/>
      <c r="D2205" s="19"/>
      <c r="E2205" s="57"/>
      <c r="H2205" s="18"/>
    </row>
    <row r="2206">
      <c r="C2206" s="18"/>
      <c r="D2206" s="19"/>
      <c r="E2206" s="57"/>
      <c r="H2206" s="18"/>
    </row>
    <row r="2207">
      <c r="C2207" s="18"/>
      <c r="D2207" s="19"/>
      <c r="E2207" s="57"/>
      <c r="H2207" s="18"/>
    </row>
    <row r="2208">
      <c r="C2208" s="18"/>
      <c r="D2208" s="19"/>
      <c r="E2208" s="57"/>
      <c r="H2208" s="18"/>
    </row>
    <row r="2209">
      <c r="C2209" s="18"/>
      <c r="D2209" s="19"/>
      <c r="E2209" s="57"/>
      <c r="H2209" s="18"/>
    </row>
    <row r="2210">
      <c r="C2210" s="18"/>
      <c r="D2210" s="19"/>
      <c r="E2210" s="57"/>
      <c r="H2210" s="18"/>
    </row>
    <row r="2211">
      <c r="C2211" s="18"/>
      <c r="D2211" s="19"/>
      <c r="E2211" s="57"/>
      <c r="H2211" s="18"/>
    </row>
    <row r="2212">
      <c r="C2212" s="18"/>
      <c r="D2212" s="19"/>
      <c r="E2212" s="57"/>
      <c r="H2212" s="18"/>
    </row>
    <row r="2213">
      <c r="C2213" s="18"/>
      <c r="D2213" s="19"/>
      <c r="E2213" s="57"/>
      <c r="H2213" s="18"/>
    </row>
    <row r="2214">
      <c r="C2214" s="18"/>
      <c r="D2214" s="19"/>
      <c r="E2214" s="57"/>
      <c r="H2214" s="18"/>
    </row>
    <row r="2215">
      <c r="C2215" s="18"/>
      <c r="D2215" s="19"/>
      <c r="E2215" s="57"/>
      <c r="H2215" s="18"/>
    </row>
    <row r="2216">
      <c r="C2216" s="18"/>
      <c r="D2216" s="19"/>
      <c r="E2216" s="57"/>
      <c r="H2216" s="18"/>
    </row>
    <row r="2217">
      <c r="C2217" s="18"/>
      <c r="D2217" s="19"/>
      <c r="E2217" s="57"/>
      <c r="H2217" s="18"/>
    </row>
    <row r="2218">
      <c r="C2218" s="18"/>
      <c r="D2218" s="19"/>
      <c r="E2218" s="57"/>
      <c r="H2218" s="18"/>
    </row>
    <row r="2219">
      <c r="C2219" s="18"/>
      <c r="D2219" s="19"/>
      <c r="E2219" s="57"/>
      <c r="H2219" s="18"/>
    </row>
    <row r="2220">
      <c r="C2220" s="18"/>
      <c r="D2220" s="19"/>
      <c r="E2220" s="57"/>
      <c r="H2220" s="18"/>
    </row>
    <row r="2221">
      <c r="C2221" s="18"/>
      <c r="D2221" s="19"/>
      <c r="E2221" s="57"/>
      <c r="H2221" s="18"/>
    </row>
    <row r="2222">
      <c r="C2222" s="18"/>
      <c r="D2222" s="19"/>
      <c r="E2222" s="57"/>
      <c r="H2222" s="18"/>
    </row>
    <row r="2223">
      <c r="C2223" s="18"/>
      <c r="D2223" s="19"/>
      <c r="E2223" s="57"/>
      <c r="H2223" s="18"/>
    </row>
    <row r="2224">
      <c r="C2224" s="18"/>
      <c r="D2224" s="19"/>
      <c r="E2224" s="57"/>
      <c r="H2224" s="18"/>
    </row>
    <row r="2225">
      <c r="C2225" s="18"/>
      <c r="D2225" s="19"/>
      <c r="E2225" s="57"/>
      <c r="H2225" s="18"/>
    </row>
    <row r="2226">
      <c r="C2226" s="18"/>
      <c r="D2226" s="19"/>
      <c r="E2226" s="57"/>
      <c r="H2226" s="18"/>
    </row>
    <row r="2227">
      <c r="C2227" s="18"/>
      <c r="D2227" s="19"/>
      <c r="E2227" s="57"/>
      <c r="H2227" s="18"/>
    </row>
    <row r="2228">
      <c r="C2228" s="18"/>
      <c r="D2228" s="19"/>
      <c r="E2228" s="57"/>
      <c r="H2228" s="18"/>
    </row>
    <row r="2229">
      <c r="C2229" s="18"/>
      <c r="D2229" s="19"/>
      <c r="E2229" s="57"/>
      <c r="H2229" s="18"/>
    </row>
    <row r="2230">
      <c r="C2230" s="18"/>
      <c r="D2230" s="19"/>
      <c r="E2230" s="57"/>
      <c r="H2230" s="18"/>
    </row>
    <row r="2231">
      <c r="C2231" s="18"/>
      <c r="D2231" s="19"/>
      <c r="E2231" s="57"/>
      <c r="H2231" s="18"/>
    </row>
    <row r="2232">
      <c r="C2232" s="18"/>
      <c r="D2232" s="19"/>
      <c r="E2232" s="57"/>
      <c r="H2232" s="18"/>
    </row>
    <row r="2233">
      <c r="C2233" s="18"/>
      <c r="D2233" s="19"/>
      <c r="E2233" s="57"/>
      <c r="H2233" s="18"/>
    </row>
    <row r="2234">
      <c r="C2234" s="18"/>
      <c r="D2234" s="19"/>
      <c r="E2234" s="57"/>
      <c r="H2234" s="18"/>
    </row>
    <row r="2235">
      <c r="C2235" s="18"/>
      <c r="D2235" s="19"/>
      <c r="E2235" s="57"/>
      <c r="H2235" s="18"/>
    </row>
    <row r="2236">
      <c r="C2236" s="18"/>
      <c r="D2236" s="19"/>
      <c r="E2236" s="57"/>
      <c r="H2236" s="18"/>
    </row>
    <row r="2237">
      <c r="C2237" s="18"/>
      <c r="D2237" s="19"/>
      <c r="E2237" s="57"/>
      <c r="H2237" s="18"/>
    </row>
    <row r="2238">
      <c r="C2238" s="18"/>
      <c r="D2238" s="19"/>
      <c r="E2238" s="57"/>
      <c r="H2238" s="18"/>
    </row>
    <row r="2239">
      <c r="C2239" s="18"/>
      <c r="D2239" s="19"/>
      <c r="E2239" s="57"/>
      <c r="H2239" s="18"/>
    </row>
    <row r="2240">
      <c r="C2240" s="18"/>
      <c r="D2240" s="19"/>
      <c r="E2240" s="57"/>
      <c r="H2240" s="18"/>
    </row>
    <row r="2241">
      <c r="C2241" s="18"/>
      <c r="D2241" s="19"/>
      <c r="E2241" s="57"/>
      <c r="H2241" s="18"/>
    </row>
    <row r="2242">
      <c r="C2242" s="18"/>
      <c r="D2242" s="19"/>
      <c r="E2242" s="57"/>
      <c r="H2242" s="18"/>
    </row>
    <row r="2243">
      <c r="C2243" s="18"/>
      <c r="D2243" s="19"/>
      <c r="E2243" s="57"/>
      <c r="H2243" s="18"/>
    </row>
    <row r="2244">
      <c r="C2244" s="18"/>
      <c r="D2244" s="19"/>
      <c r="E2244" s="57"/>
      <c r="H2244" s="18"/>
    </row>
    <row r="2245">
      <c r="C2245" s="18"/>
      <c r="D2245" s="19"/>
      <c r="E2245" s="57"/>
      <c r="H2245" s="18"/>
    </row>
    <row r="2246">
      <c r="C2246" s="18"/>
      <c r="D2246" s="19"/>
      <c r="E2246" s="57"/>
      <c r="H2246" s="18"/>
    </row>
    <row r="2247">
      <c r="C2247" s="18"/>
      <c r="D2247" s="19"/>
      <c r="E2247" s="57"/>
      <c r="H2247" s="18"/>
    </row>
    <row r="2248">
      <c r="C2248" s="18"/>
      <c r="D2248" s="19"/>
      <c r="E2248" s="57"/>
      <c r="H2248" s="18"/>
    </row>
    <row r="2249">
      <c r="C2249" s="18"/>
      <c r="D2249" s="19"/>
      <c r="E2249" s="57"/>
      <c r="H2249" s="18"/>
    </row>
    <row r="2250">
      <c r="C2250" s="18"/>
      <c r="D2250" s="19"/>
      <c r="E2250" s="57"/>
      <c r="H2250" s="18"/>
    </row>
    <row r="2251">
      <c r="C2251" s="18"/>
      <c r="D2251" s="19"/>
      <c r="E2251" s="57"/>
      <c r="H2251" s="18"/>
    </row>
    <row r="2252">
      <c r="C2252" s="18"/>
      <c r="D2252" s="19"/>
      <c r="E2252" s="57"/>
      <c r="H2252" s="18"/>
    </row>
    <row r="2253">
      <c r="C2253" s="18"/>
      <c r="D2253" s="19"/>
      <c r="E2253" s="57"/>
      <c r="H2253" s="18"/>
    </row>
    <row r="2254">
      <c r="C2254" s="18"/>
      <c r="D2254" s="19"/>
      <c r="E2254" s="57"/>
      <c r="H2254" s="18"/>
    </row>
    <row r="2255">
      <c r="C2255" s="18"/>
      <c r="D2255" s="19"/>
      <c r="E2255" s="57"/>
      <c r="H2255" s="18"/>
    </row>
    <row r="2256">
      <c r="C2256" s="18"/>
      <c r="D2256" s="19"/>
      <c r="E2256" s="57"/>
      <c r="H2256" s="18"/>
    </row>
    <row r="2257">
      <c r="C2257" s="18"/>
      <c r="D2257" s="19"/>
      <c r="E2257" s="57"/>
      <c r="H2257" s="18"/>
    </row>
    <row r="2258">
      <c r="C2258" s="18"/>
      <c r="D2258" s="19"/>
      <c r="E2258" s="57"/>
      <c r="H2258" s="18"/>
    </row>
    <row r="2259">
      <c r="C2259" s="18"/>
      <c r="D2259" s="19"/>
      <c r="E2259" s="57"/>
      <c r="H2259" s="18"/>
    </row>
    <row r="2260">
      <c r="C2260" s="18"/>
      <c r="D2260" s="19"/>
      <c r="E2260" s="57"/>
      <c r="H2260" s="18"/>
    </row>
    <row r="2261">
      <c r="C2261" s="18"/>
      <c r="D2261" s="19"/>
      <c r="E2261" s="57"/>
      <c r="H2261" s="18"/>
    </row>
    <row r="2262">
      <c r="C2262" s="18"/>
      <c r="D2262" s="19"/>
      <c r="E2262" s="57"/>
      <c r="H2262" s="18"/>
    </row>
    <row r="2263">
      <c r="C2263" s="18"/>
      <c r="D2263" s="19"/>
      <c r="E2263" s="57"/>
      <c r="H2263" s="18"/>
    </row>
    <row r="2264">
      <c r="C2264" s="18"/>
      <c r="D2264" s="19"/>
      <c r="E2264" s="57"/>
      <c r="H2264" s="18"/>
    </row>
    <row r="2265">
      <c r="C2265" s="18"/>
      <c r="D2265" s="19"/>
      <c r="E2265" s="57"/>
      <c r="H2265" s="18"/>
    </row>
    <row r="2266">
      <c r="C2266" s="18"/>
      <c r="D2266" s="19"/>
      <c r="E2266" s="57"/>
      <c r="H2266" s="18"/>
    </row>
    <row r="2267">
      <c r="C2267" s="18"/>
      <c r="D2267" s="19"/>
      <c r="E2267" s="57"/>
      <c r="H2267" s="18"/>
    </row>
    <row r="2268">
      <c r="C2268" s="18"/>
      <c r="D2268" s="19"/>
      <c r="E2268" s="57"/>
      <c r="H2268" s="18"/>
    </row>
    <row r="2269">
      <c r="C2269" s="18"/>
      <c r="D2269" s="19"/>
      <c r="E2269" s="57"/>
      <c r="H2269" s="18"/>
    </row>
    <row r="2270">
      <c r="C2270" s="18"/>
      <c r="D2270" s="19"/>
      <c r="E2270" s="57"/>
      <c r="H2270" s="18"/>
    </row>
    <row r="2271">
      <c r="C2271" s="18"/>
      <c r="D2271" s="19"/>
      <c r="E2271" s="57"/>
      <c r="H2271" s="18"/>
    </row>
    <row r="2272">
      <c r="C2272" s="18"/>
      <c r="D2272" s="19"/>
      <c r="E2272" s="57"/>
      <c r="H2272" s="18"/>
    </row>
    <row r="2273">
      <c r="C2273" s="18"/>
      <c r="D2273" s="19"/>
      <c r="E2273" s="57"/>
      <c r="H2273" s="18"/>
    </row>
    <row r="2274">
      <c r="C2274" s="18"/>
      <c r="D2274" s="19"/>
      <c r="E2274" s="57"/>
      <c r="H2274" s="18"/>
    </row>
    <row r="2275">
      <c r="C2275" s="18"/>
      <c r="D2275" s="19"/>
      <c r="E2275" s="57"/>
      <c r="H2275" s="18"/>
    </row>
    <row r="2276">
      <c r="C2276" s="18"/>
      <c r="D2276" s="19"/>
      <c r="E2276" s="57"/>
      <c r="H2276" s="18"/>
    </row>
    <row r="2277">
      <c r="C2277" s="18"/>
      <c r="D2277" s="19"/>
      <c r="E2277" s="57"/>
      <c r="H2277" s="18"/>
    </row>
    <row r="2278">
      <c r="C2278" s="18"/>
      <c r="D2278" s="19"/>
      <c r="E2278" s="57"/>
      <c r="H2278" s="18"/>
    </row>
    <row r="2279">
      <c r="C2279" s="18"/>
      <c r="D2279" s="19"/>
      <c r="E2279" s="57"/>
      <c r="H2279" s="18"/>
    </row>
    <row r="2280">
      <c r="C2280" s="18"/>
      <c r="D2280" s="19"/>
      <c r="E2280" s="57"/>
      <c r="H2280" s="18"/>
    </row>
    <row r="2281">
      <c r="C2281" s="18"/>
      <c r="D2281" s="19"/>
      <c r="E2281" s="57"/>
      <c r="H2281" s="18"/>
    </row>
    <row r="2282">
      <c r="C2282" s="18"/>
      <c r="D2282" s="19"/>
      <c r="E2282" s="57"/>
      <c r="H2282" s="18"/>
    </row>
    <row r="2283">
      <c r="C2283" s="18"/>
      <c r="D2283" s="19"/>
      <c r="E2283" s="57"/>
      <c r="H2283" s="18"/>
    </row>
    <row r="2284">
      <c r="C2284" s="18"/>
      <c r="D2284" s="19"/>
      <c r="E2284" s="57"/>
      <c r="H2284" s="18"/>
    </row>
    <row r="2285">
      <c r="C2285" s="18"/>
      <c r="D2285" s="19"/>
      <c r="E2285" s="57"/>
      <c r="H2285" s="18"/>
    </row>
    <row r="2286">
      <c r="C2286" s="18"/>
      <c r="D2286" s="19"/>
      <c r="E2286" s="57"/>
      <c r="H2286" s="18"/>
    </row>
    <row r="2287">
      <c r="C2287" s="18"/>
      <c r="D2287" s="19"/>
      <c r="E2287" s="57"/>
      <c r="H2287" s="18"/>
    </row>
    <row r="2288">
      <c r="C2288" s="18"/>
      <c r="D2288" s="19"/>
      <c r="E2288" s="57"/>
      <c r="H2288" s="18"/>
    </row>
    <row r="2289">
      <c r="C2289" s="18"/>
      <c r="D2289" s="19"/>
      <c r="E2289" s="57"/>
      <c r="H2289" s="18"/>
    </row>
    <row r="2290">
      <c r="C2290" s="18"/>
      <c r="D2290" s="19"/>
      <c r="E2290" s="57"/>
      <c r="H2290" s="18"/>
    </row>
    <row r="2291">
      <c r="C2291" s="18"/>
      <c r="D2291" s="19"/>
      <c r="E2291" s="57"/>
      <c r="H2291" s="18"/>
    </row>
    <row r="2292">
      <c r="C2292" s="18"/>
      <c r="D2292" s="19"/>
      <c r="E2292" s="57"/>
      <c r="H2292" s="18"/>
    </row>
    <row r="2293">
      <c r="C2293" s="18"/>
      <c r="D2293" s="19"/>
      <c r="E2293" s="57"/>
      <c r="H2293" s="18"/>
    </row>
    <row r="2294">
      <c r="C2294" s="18"/>
      <c r="D2294" s="19"/>
      <c r="E2294" s="57"/>
      <c r="H2294" s="18"/>
    </row>
    <row r="2295">
      <c r="C2295" s="18"/>
      <c r="D2295" s="19"/>
      <c r="E2295" s="57"/>
      <c r="H2295" s="18"/>
    </row>
    <row r="2296">
      <c r="C2296" s="18"/>
      <c r="D2296" s="19"/>
      <c r="E2296" s="57"/>
      <c r="H2296" s="18"/>
    </row>
    <row r="2297">
      <c r="C2297" s="18"/>
      <c r="D2297" s="19"/>
      <c r="E2297" s="57"/>
      <c r="H2297" s="18"/>
    </row>
    <row r="2298">
      <c r="C2298" s="18"/>
      <c r="D2298" s="19"/>
      <c r="E2298" s="57"/>
      <c r="H2298" s="18"/>
    </row>
    <row r="2299">
      <c r="C2299" s="18"/>
      <c r="D2299" s="19"/>
      <c r="E2299" s="57"/>
      <c r="H2299" s="18"/>
    </row>
    <row r="2300">
      <c r="C2300" s="18"/>
      <c r="D2300" s="19"/>
      <c r="E2300" s="57"/>
      <c r="H2300" s="18"/>
    </row>
    <row r="2301">
      <c r="C2301" s="18"/>
      <c r="D2301" s="19"/>
      <c r="E2301" s="57"/>
      <c r="H2301" s="18"/>
    </row>
    <row r="2302">
      <c r="C2302" s="18"/>
      <c r="D2302" s="19"/>
      <c r="E2302" s="57"/>
      <c r="H2302" s="18"/>
    </row>
    <row r="2303">
      <c r="C2303" s="18"/>
      <c r="D2303" s="19"/>
      <c r="E2303" s="57"/>
      <c r="H2303" s="18"/>
    </row>
    <row r="2304">
      <c r="C2304" s="18"/>
      <c r="D2304" s="19"/>
      <c r="E2304" s="57"/>
      <c r="H2304" s="18"/>
    </row>
    <row r="2305">
      <c r="C2305" s="18"/>
      <c r="D2305" s="19"/>
      <c r="E2305" s="57"/>
      <c r="H2305" s="18"/>
    </row>
    <row r="2306">
      <c r="C2306" s="18"/>
      <c r="D2306" s="19"/>
      <c r="E2306" s="57"/>
      <c r="H2306" s="18"/>
    </row>
    <row r="2307">
      <c r="C2307" s="18"/>
      <c r="D2307" s="19"/>
      <c r="E2307" s="57"/>
      <c r="H2307" s="18"/>
    </row>
    <row r="2308">
      <c r="C2308" s="18"/>
      <c r="D2308" s="19"/>
      <c r="E2308" s="57"/>
      <c r="H2308" s="18"/>
    </row>
    <row r="2309">
      <c r="C2309" s="18"/>
      <c r="D2309" s="19"/>
      <c r="E2309" s="57"/>
      <c r="H2309" s="18"/>
    </row>
    <row r="2310">
      <c r="C2310" s="18"/>
      <c r="D2310" s="19"/>
      <c r="E2310" s="57"/>
      <c r="H2310" s="18"/>
    </row>
    <row r="2311">
      <c r="C2311" s="18"/>
      <c r="D2311" s="19"/>
      <c r="E2311" s="57"/>
      <c r="H2311" s="18"/>
    </row>
    <row r="2312">
      <c r="C2312" s="18"/>
      <c r="D2312" s="19"/>
      <c r="E2312" s="57"/>
      <c r="H2312" s="18"/>
    </row>
    <row r="2313">
      <c r="C2313" s="18"/>
      <c r="D2313" s="19"/>
      <c r="E2313" s="57"/>
      <c r="H2313" s="18"/>
    </row>
    <row r="2314">
      <c r="C2314" s="18"/>
      <c r="D2314" s="19"/>
      <c r="E2314" s="57"/>
      <c r="H2314" s="18"/>
    </row>
    <row r="2315">
      <c r="C2315" s="18"/>
      <c r="D2315" s="19"/>
      <c r="E2315" s="57"/>
      <c r="H2315" s="18"/>
    </row>
    <row r="2316">
      <c r="C2316" s="18"/>
      <c r="D2316" s="19"/>
      <c r="E2316" s="57"/>
      <c r="H2316" s="18"/>
    </row>
    <row r="2317">
      <c r="C2317" s="18"/>
      <c r="D2317" s="19"/>
      <c r="E2317" s="57"/>
      <c r="H2317" s="18"/>
    </row>
    <row r="2318">
      <c r="C2318" s="18"/>
      <c r="D2318" s="19"/>
      <c r="E2318" s="57"/>
      <c r="H2318" s="18"/>
    </row>
    <row r="2319">
      <c r="C2319" s="18"/>
      <c r="D2319" s="19"/>
      <c r="E2319" s="57"/>
      <c r="H2319" s="18"/>
    </row>
    <row r="2320">
      <c r="C2320" s="18"/>
      <c r="D2320" s="19"/>
      <c r="E2320" s="57"/>
      <c r="H2320" s="18"/>
    </row>
    <row r="2321">
      <c r="C2321" s="18"/>
      <c r="D2321" s="19"/>
      <c r="E2321" s="57"/>
      <c r="H2321" s="18"/>
    </row>
    <row r="2322">
      <c r="C2322" s="18"/>
      <c r="D2322" s="19"/>
      <c r="E2322" s="57"/>
      <c r="H2322" s="18"/>
    </row>
    <row r="2323">
      <c r="C2323" s="18"/>
      <c r="D2323" s="19"/>
      <c r="E2323" s="57"/>
      <c r="H2323" s="18"/>
    </row>
    <row r="2324">
      <c r="C2324" s="18"/>
      <c r="D2324" s="19"/>
      <c r="E2324" s="57"/>
      <c r="H2324" s="18"/>
    </row>
    <row r="2325">
      <c r="C2325" s="18"/>
      <c r="D2325" s="19"/>
      <c r="E2325" s="57"/>
      <c r="H2325" s="18"/>
    </row>
    <row r="2326">
      <c r="C2326" s="18"/>
      <c r="D2326" s="19"/>
      <c r="E2326" s="57"/>
      <c r="H2326" s="18"/>
    </row>
    <row r="2327">
      <c r="C2327" s="18"/>
      <c r="D2327" s="19"/>
      <c r="E2327" s="57"/>
      <c r="H2327" s="18"/>
    </row>
    <row r="2328">
      <c r="C2328" s="18"/>
      <c r="D2328" s="19"/>
      <c r="E2328" s="57"/>
      <c r="H2328" s="18"/>
    </row>
    <row r="2329">
      <c r="C2329" s="18"/>
      <c r="D2329" s="19"/>
      <c r="E2329" s="57"/>
      <c r="H2329" s="18"/>
    </row>
    <row r="2330">
      <c r="C2330" s="18"/>
      <c r="D2330" s="19"/>
      <c r="E2330" s="57"/>
      <c r="H2330" s="18"/>
    </row>
    <row r="2331">
      <c r="C2331" s="18"/>
      <c r="D2331" s="19"/>
      <c r="E2331" s="57"/>
      <c r="H2331" s="18"/>
    </row>
    <row r="2332">
      <c r="C2332" s="18"/>
      <c r="D2332" s="19"/>
      <c r="E2332" s="57"/>
      <c r="H2332" s="18"/>
    </row>
    <row r="2333">
      <c r="C2333" s="18"/>
      <c r="D2333" s="19"/>
      <c r="E2333" s="57"/>
      <c r="H2333" s="18"/>
    </row>
    <row r="2334">
      <c r="C2334" s="18"/>
      <c r="D2334" s="19"/>
      <c r="E2334" s="57"/>
      <c r="H2334" s="18"/>
    </row>
    <row r="2335">
      <c r="C2335" s="18"/>
      <c r="D2335" s="19"/>
      <c r="E2335" s="57"/>
      <c r="H2335" s="18"/>
    </row>
    <row r="2336">
      <c r="C2336" s="18"/>
      <c r="D2336" s="19"/>
      <c r="E2336" s="57"/>
      <c r="H2336" s="18"/>
    </row>
    <row r="2337">
      <c r="C2337" s="18"/>
      <c r="D2337" s="19"/>
      <c r="E2337" s="57"/>
      <c r="H2337" s="18"/>
    </row>
    <row r="2338">
      <c r="C2338" s="18"/>
      <c r="D2338" s="19"/>
      <c r="E2338" s="57"/>
      <c r="H2338" s="18"/>
    </row>
    <row r="2339">
      <c r="C2339" s="18"/>
      <c r="D2339" s="19"/>
      <c r="E2339" s="57"/>
      <c r="H2339" s="18"/>
    </row>
    <row r="2340">
      <c r="C2340" s="18"/>
      <c r="D2340" s="19"/>
      <c r="E2340" s="57"/>
      <c r="H2340" s="18"/>
    </row>
    <row r="2341">
      <c r="C2341" s="18"/>
      <c r="D2341" s="19"/>
      <c r="E2341" s="57"/>
      <c r="H2341" s="18"/>
    </row>
    <row r="2342">
      <c r="C2342" s="18"/>
      <c r="D2342" s="19"/>
      <c r="E2342" s="57"/>
      <c r="H2342" s="18"/>
    </row>
    <row r="2343">
      <c r="C2343" s="18"/>
      <c r="D2343" s="19"/>
      <c r="E2343" s="57"/>
      <c r="H2343" s="18"/>
    </row>
    <row r="2344">
      <c r="C2344" s="18"/>
      <c r="D2344" s="19"/>
      <c r="E2344" s="57"/>
      <c r="H2344" s="18"/>
    </row>
    <row r="2345">
      <c r="C2345" s="18"/>
      <c r="D2345" s="19"/>
      <c r="E2345" s="57"/>
      <c r="H2345" s="18"/>
    </row>
    <row r="2346">
      <c r="C2346" s="18"/>
      <c r="D2346" s="19"/>
      <c r="E2346" s="57"/>
      <c r="H2346" s="18"/>
    </row>
    <row r="2347">
      <c r="C2347" s="18"/>
      <c r="D2347" s="19"/>
      <c r="E2347" s="57"/>
      <c r="H2347" s="18"/>
    </row>
    <row r="2348">
      <c r="C2348" s="18"/>
      <c r="D2348" s="19"/>
      <c r="E2348" s="57"/>
      <c r="H2348" s="18"/>
    </row>
    <row r="2349">
      <c r="C2349" s="18"/>
      <c r="D2349" s="19"/>
      <c r="E2349" s="57"/>
      <c r="H2349" s="18"/>
    </row>
    <row r="2350">
      <c r="C2350" s="18"/>
      <c r="D2350" s="19"/>
      <c r="E2350" s="57"/>
      <c r="H2350" s="18"/>
    </row>
    <row r="2351">
      <c r="C2351" s="18"/>
      <c r="D2351" s="19"/>
      <c r="E2351" s="57"/>
      <c r="H2351" s="18"/>
    </row>
    <row r="2352">
      <c r="C2352" s="18"/>
      <c r="D2352" s="19"/>
      <c r="E2352" s="57"/>
      <c r="H2352" s="18"/>
    </row>
    <row r="2353">
      <c r="C2353" s="18"/>
      <c r="D2353" s="19"/>
      <c r="E2353" s="57"/>
      <c r="H2353" s="18"/>
    </row>
    <row r="2354">
      <c r="C2354" s="18"/>
      <c r="D2354" s="19"/>
      <c r="E2354" s="57"/>
      <c r="H2354" s="18"/>
    </row>
    <row r="2355">
      <c r="C2355" s="18"/>
      <c r="D2355" s="19"/>
      <c r="E2355" s="57"/>
      <c r="H2355" s="18"/>
    </row>
    <row r="2356">
      <c r="C2356" s="18"/>
      <c r="D2356" s="19"/>
      <c r="E2356" s="57"/>
      <c r="H2356" s="18"/>
    </row>
    <row r="2357">
      <c r="C2357" s="18"/>
      <c r="D2357" s="19"/>
      <c r="E2357" s="57"/>
      <c r="H2357" s="18"/>
    </row>
    <row r="2358">
      <c r="C2358" s="18"/>
      <c r="D2358" s="19"/>
      <c r="E2358" s="57"/>
      <c r="H2358" s="18"/>
    </row>
    <row r="2359">
      <c r="C2359" s="18"/>
      <c r="D2359" s="19"/>
      <c r="E2359" s="57"/>
      <c r="H2359" s="18"/>
    </row>
    <row r="2360">
      <c r="C2360" s="18"/>
      <c r="D2360" s="19"/>
      <c r="E2360" s="57"/>
      <c r="H2360" s="18"/>
    </row>
    <row r="2361">
      <c r="C2361" s="18"/>
      <c r="D2361" s="19"/>
      <c r="E2361" s="57"/>
      <c r="H2361" s="18"/>
    </row>
    <row r="2362">
      <c r="C2362" s="18"/>
      <c r="D2362" s="19"/>
      <c r="E2362" s="57"/>
      <c r="H2362" s="18"/>
    </row>
    <row r="2363">
      <c r="C2363" s="18"/>
      <c r="D2363" s="19"/>
      <c r="E2363" s="57"/>
      <c r="H2363" s="18"/>
    </row>
    <row r="2364">
      <c r="C2364" s="18"/>
      <c r="D2364" s="19"/>
      <c r="E2364" s="57"/>
      <c r="H2364" s="18"/>
    </row>
    <row r="2365">
      <c r="C2365" s="18"/>
      <c r="D2365" s="19"/>
      <c r="E2365" s="57"/>
      <c r="H2365" s="18"/>
    </row>
    <row r="2366">
      <c r="C2366" s="18"/>
      <c r="D2366" s="19"/>
      <c r="E2366" s="57"/>
      <c r="H2366" s="18"/>
    </row>
    <row r="2367">
      <c r="C2367" s="18"/>
      <c r="D2367" s="19"/>
      <c r="E2367" s="57"/>
      <c r="H2367" s="18"/>
    </row>
    <row r="2368">
      <c r="C2368" s="18"/>
      <c r="D2368" s="19"/>
      <c r="E2368" s="57"/>
      <c r="H2368" s="18"/>
    </row>
    <row r="2369">
      <c r="C2369" s="18"/>
      <c r="D2369" s="19"/>
      <c r="E2369" s="57"/>
      <c r="H2369" s="18"/>
    </row>
    <row r="2370">
      <c r="C2370" s="18"/>
      <c r="D2370" s="19"/>
      <c r="E2370" s="57"/>
      <c r="H2370" s="18"/>
    </row>
    <row r="2371">
      <c r="C2371" s="18"/>
      <c r="D2371" s="19"/>
      <c r="E2371" s="57"/>
      <c r="H2371" s="18"/>
    </row>
    <row r="2372">
      <c r="C2372" s="18"/>
      <c r="D2372" s="19"/>
      <c r="E2372" s="57"/>
      <c r="H2372" s="18"/>
    </row>
    <row r="2373">
      <c r="C2373" s="18"/>
      <c r="D2373" s="19"/>
      <c r="E2373" s="57"/>
      <c r="H2373" s="18"/>
    </row>
    <row r="2374">
      <c r="C2374" s="18"/>
      <c r="D2374" s="19"/>
      <c r="E2374" s="57"/>
      <c r="H2374" s="18"/>
    </row>
    <row r="2375">
      <c r="C2375" s="18"/>
      <c r="D2375" s="19"/>
      <c r="E2375" s="57"/>
      <c r="H2375" s="18"/>
    </row>
    <row r="2376">
      <c r="C2376" s="18"/>
      <c r="D2376" s="19"/>
      <c r="E2376" s="57"/>
      <c r="H2376" s="18"/>
    </row>
    <row r="2377">
      <c r="C2377" s="18"/>
      <c r="D2377" s="19"/>
      <c r="E2377" s="57"/>
      <c r="H2377" s="18"/>
    </row>
    <row r="2378">
      <c r="C2378" s="18"/>
      <c r="D2378" s="19"/>
      <c r="E2378" s="57"/>
      <c r="H2378" s="18"/>
    </row>
    <row r="2379">
      <c r="C2379" s="18"/>
      <c r="D2379" s="19"/>
      <c r="E2379" s="57"/>
      <c r="H2379" s="18"/>
    </row>
    <row r="2380">
      <c r="C2380" s="18"/>
      <c r="D2380" s="19"/>
      <c r="E2380" s="57"/>
      <c r="H2380" s="18"/>
    </row>
    <row r="2381">
      <c r="C2381" s="18"/>
      <c r="D2381" s="19"/>
      <c r="E2381" s="57"/>
      <c r="H2381" s="18"/>
    </row>
    <row r="2382">
      <c r="C2382" s="18"/>
      <c r="D2382" s="19"/>
      <c r="E2382" s="57"/>
      <c r="H2382" s="18"/>
    </row>
    <row r="2383">
      <c r="C2383" s="18"/>
      <c r="D2383" s="19"/>
      <c r="E2383" s="57"/>
      <c r="H2383" s="18"/>
    </row>
    <row r="2384">
      <c r="C2384" s="18"/>
      <c r="D2384" s="19"/>
      <c r="E2384" s="57"/>
      <c r="H2384" s="18"/>
    </row>
    <row r="2385">
      <c r="C2385" s="18"/>
      <c r="D2385" s="19"/>
      <c r="E2385" s="57"/>
      <c r="H2385" s="18"/>
    </row>
    <row r="2386">
      <c r="C2386" s="18"/>
      <c r="D2386" s="19"/>
      <c r="E2386" s="57"/>
      <c r="H2386" s="18"/>
    </row>
    <row r="2387">
      <c r="C2387" s="18"/>
      <c r="D2387" s="19"/>
      <c r="E2387" s="57"/>
      <c r="H2387" s="18"/>
    </row>
    <row r="2388">
      <c r="C2388" s="18"/>
      <c r="D2388" s="19"/>
      <c r="E2388" s="57"/>
      <c r="H2388" s="18"/>
    </row>
    <row r="2389">
      <c r="C2389" s="18"/>
      <c r="D2389" s="19"/>
      <c r="E2389" s="57"/>
      <c r="H2389" s="18"/>
    </row>
    <row r="2390">
      <c r="C2390" s="18"/>
      <c r="D2390" s="19"/>
      <c r="E2390" s="57"/>
      <c r="H2390" s="18"/>
    </row>
    <row r="2391">
      <c r="C2391" s="18"/>
      <c r="D2391" s="19"/>
      <c r="E2391" s="57"/>
      <c r="H2391" s="18"/>
    </row>
    <row r="2392">
      <c r="C2392" s="18"/>
      <c r="D2392" s="19"/>
      <c r="E2392" s="57"/>
      <c r="H2392" s="18"/>
    </row>
    <row r="2393">
      <c r="C2393" s="18"/>
      <c r="D2393" s="19"/>
      <c r="E2393" s="57"/>
      <c r="H2393" s="18"/>
    </row>
    <row r="2394">
      <c r="C2394" s="18"/>
      <c r="D2394" s="19"/>
      <c r="E2394" s="57"/>
      <c r="H2394" s="18"/>
    </row>
    <row r="2395">
      <c r="C2395" s="18"/>
      <c r="D2395" s="19"/>
      <c r="E2395" s="57"/>
      <c r="H2395" s="18"/>
    </row>
    <row r="2396">
      <c r="C2396" s="18"/>
      <c r="D2396" s="19"/>
      <c r="E2396" s="57"/>
      <c r="H2396" s="18"/>
    </row>
    <row r="2397">
      <c r="C2397" s="18"/>
      <c r="D2397" s="19"/>
      <c r="E2397" s="57"/>
      <c r="H2397" s="18"/>
    </row>
    <row r="2398">
      <c r="C2398" s="18"/>
      <c r="D2398" s="19"/>
      <c r="E2398" s="57"/>
      <c r="H2398" s="18"/>
    </row>
    <row r="2399">
      <c r="C2399" s="18"/>
      <c r="D2399" s="19"/>
      <c r="E2399" s="57"/>
      <c r="H2399" s="18"/>
    </row>
    <row r="2400">
      <c r="C2400" s="18"/>
      <c r="D2400" s="19"/>
      <c r="E2400" s="57"/>
      <c r="H2400" s="18"/>
    </row>
    <row r="2401">
      <c r="C2401" s="18"/>
      <c r="D2401" s="19"/>
      <c r="E2401" s="57"/>
      <c r="H2401" s="18"/>
    </row>
    <row r="2402">
      <c r="C2402" s="18"/>
      <c r="D2402" s="19"/>
      <c r="E2402" s="57"/>
      <c r="H2402" s="18"/>
    </row>
    <row r="2403">
      <c r="C2403" s="18"/>
      <c r="D2403" s="19"/>
      <c r="E2403" s="57"/>
      <c r="H2403" s="18"/>
    </row>
    <row r="2404">
      <c r="C2404" s="18"/>
      <c r="D2404" s="19"/>
      <c r="E2404" s="57"/>
      <c r="H2404" s="18"/>
    </row>
    <row r="2405">
      <c r="C2405" s="18"/>
      <c r="D2405" s="19"/>
      <c r="E2405" s="57"/>
      <c r="H2405" s="18"/>
    </row>
    <row r="2406">
      <c r="C2406" s="18"/>
      <c r="D2406" s="19"/>
      <c r="E2406" s="57"/>
      <c r="H2406" s="18"/>
    </row>
    <row r="2407">
      <c r="C2407" s="18"/>
      <c r="D2407" s="19"/>
      <c r="E2407" s="57"/>
      <c r="H2407" s="18"/>
    </row>
    <row r="2408">
      <c r="C2408" s="18"/>
      <c r="D2408" s="19"/>
      <c r="E2408" s="57"/>
      <c r="H2408" s="18"/>
    </row>
    <row r="2409">
      <c r="C2409" s="18"/>
      <c r="D2409" s="19"/>
      <c r="E2409" s="57"/>
      <c r="H2409" s="18"/>
    </row>
    <row r="2410">
      <c r="C2410" s="18"/>
      <c r="D2410" s="19"/>
      <c r="E2410" s="57"/>
      <c r="H2410" s="18"/>
    </row>
    <row r="2411">
      <c r="C2411" s="18"/>
      <c r="D2411" s="19"/>
      <c r="E2411" s="57"/>
      <c r="H2411" s="18"/>
    </row>
    <row r="2412">
      <c r="C2412" s="18"/>
      <c r="D2412" s="19"/>
      <c r="E2412" s="57"/>
      <c r="H2412" s="18"/>
    </row>
    <row r="2413">
      <c r="C2413" s="18"/>
      <c r="D2413" s="19"/>
      <c r="E2413" s="57"/>
      <c r="H2413" s="18"/>
    </row>
    <row r="2414">
      <c r="C2414" s="18"/>
      <c r="D2414" s="19"/>
      <c r="E2414" s="57"/>
      <c r="H2414" s="18"/>
    </row>
    <row r="2415">
      <c r="C2415" s="18"/>
      <c r="D2415" s="19"/>
      <c r="E2415" s="57"/>
      <c r="H2415" s="18"/>
    </row>
    <row r="2416">
      <c r="C2416" s="18"/>
      <c r="D2416" s="19"/>
      <c r="E2416" s="57"/>
      <c r="H2416" s="18"/>
    </row>
    <row r="2417">
      <c r="C2417" s="18"/>
      <c r="D2417" s="19"/>
      <c r="E2417" s="57"/>
      <c r="H2417" s="18"/>
    </row>
    <row r="2418">
      <c r="C2418" s="18"/>
      <c r="D2418" s="19"/>
      <c r="E2418" s="57"/>
      <c r="H2418" s="18"/>
    </row>
    <row r="2419">
      <c r="C2419" s="18"/>
      <c r="D2419" s="19"/>
      <c r="E2419" s="57"/>
      <c r="H2419" s="18"/>
    </row>
    <row r="2420">
      <c r="C2420" s="18"/>
      <c r="D2420" s="19"/>
      <c r="E2420" s="57"/>
      <c r="H2420" s="18"/>
    </row>
    <row r="2421">
      <c r="C2421" s="18"/>
      <c r="D2421" s="19"/>
      <c r="E2421" s="57"/>
      <c r="H2421" s="18"/>
    </row>
    <row r="2422">
      <c r="C2422" s="18"/>
      <c r="D2422" s="19"/>
      <c r="E2422" s="57"/>
      <c r="H2422" s="18"/>
    </row>
    <row r="2423">
      <c r="C2423" s="18"/>
      <c r="D2423" s="19"/>
      <c r="E2423" s="57"/>
      <c r="H2423" s="18"/>
    </row>
    <row r="2424">
      <c r="C2424" s="18"/>
      <c r="D2424" s="19"/>
      <c r="E2424" s="57"/>
      <c r="H2424" s="18"/>
    </row>
    <row r="2425">
      <c r="C2425" s="18"/>
      <c r="D2425" s="19"/>
      <c r="E2425" s="57"/>
      <c r="H2425" s="18"/>
    </row>
    <row r="2426">
      <c r="C2426" s="18"/>
      <c r="D2426" s="19"/>
      <c r="E2426" s="57"/>
      <c r="H2426" s="18"/>
    </row>
    <row r="2427">
      <c r="C2427" s="18"/>
      <c r="D2427" s="19"/>
      <c r="E2427" s="57"/>
      <c r="H2427" s="18"/>
    </row>
    <row r="2428">
      <c r="C2428" s="18"/>
      <c r="D2428" s="19"/>
      <c r="E2428" s="57"/>
      <c r="H2428" s="18"/>
    </row>
    <row r="2429">
      <c r="C2429" s="18"/>
      <c r="D2429" s="19"/>
      <c r="E2429" s="57"/>
      <c r="H2429" s="18"/>
    </row>
    <row r="2430">
      <c r="C2430" s="18"/>
      <c r="D2430" s="19"/>
      <c r="E2430" s="57"/>
      <c r="H2430" s="18"/>
    </row>
    <row r="2431">
      <c r="C2431" s="18"/>
      <c r="D2431" s="19"/>
      <c r="E2431" s="57"/>
      <c r="H2431" s="18"/>
    </row>
    <row r="2432">
      <c r="C2432" s="18"/>
      <c r="D2432" s="19"/>
      <c r="E2432" s="57"/>
      <c r="H2432" s="18"/>
    </row>
    <row r="2433">
      <c r="C2433" s="18"/>
      <c r="D2433" s="19"/>
      <c r="E2433" s="57"/>
      <c r="H2433" s="18"/>
    </row>
    <row r="2434">
      <c r="C2434" s="18"/>
      <c r="D2434" s="19"/>
      <c r="E2434" s="57"/>
      <c r="H2434" s="18"/>
    </row>
    <row r="2435">
      <c r="C2435" s="18"/>
      <c r="D2435" s="19"/>
      <c r="E2435" s="57"/>
      <c r="H2435" s="18"/>
    </row>
    <row r="2436">
      <c r="C2436" s="18"/>
      <c r="D2436" s="19"/>
      <c r="E2436" s="57"/>
      <c r="H2436" s="18"/>
    </row>
    <row r="2437">
      <c r="C2437" s="18"/>
      <c r="D2437" s="19"/>
      <c r="E2437" s="57"/>
      <c r="H2437" s="18"/>
    </row>
    <row r="2438">
      <c r="C2438" s="18"/>
      <c r="D2438" s="19"/>
      <c r="E2438" s="57"/>
      <c r="H2438" s="18"/>
    </row>
    <row r="2439">
      <c r="C2439" s="18"/>
      <c r="D2439" s="19"/>
      <c r="E2439" s="57"/>
      <c r="H2439" s="18"/>
    </row>
    <row r="2440">
      <c r="C2440" s="18"/>
      <c r="D2440" s="19"/>
      <c r="E2440" s="57"/>
      <c r="H2440" s="18"/>
    </row>
    <row r="2441">
      <c r="C2441" s="18"/>
      <c r="D2441" s="19"/>
      <c r="E2441" s="57"/>
      <c r="H2441" s="18"/>
    </row>
    <row r="2442">
      <c r="C2442" s="18"/>
      <c r="D2442" s="19"/>
      <c r="E2442" s="57"/>
      <c r="H2442" s="18"/>
    </row>
    <row r="2443">
      <c r="C2443" s="18"/>
      <c r="D2443" s="19"/>
      <c r="E2443" s="57"/>
      <c r="H2443" s="18"/>
    </row>
    <row r="2444">
      <c r="C2444" s="18"/>
      <c r="D2444" s="19"/>
      <c r="E2444" s="57"/>
      <c r="H2444" s="18"/>
    </row>
    <row r="2445">
      <c r="C2445" s="18"/>
      <c r="D2445" s="19"/>
      <c r="E2445" s="57"/>
      <c r="H2445" s="18"/>
    </row>
    <row r="2446">
      <c r="C2446" s="18"/>
      <c r="D2446" s="19"/>
      <c r="E2446" s="57"/>
      <c r="H2446" s="18"/>
    </row>
    <row r="2447">
      <c r="C2447" s="18"/>
      <c r="D2447" s="19"/>
      <c r="E2447" s="57"/>
      <c r="H2447" s="18"/>
    </row>
    <row r="2448">
      <c r="C2448" s="18"/>
      <c r="D2448" s="19"/>
      <c r="E2448" s="57"/>
      <c r="H2448" s="18"/>
    </row>
    <row r="2449">
      <c r="C2449" s="18"/>
      <c r="D2449" s="19"/>
      <c r="E2449" s="57"/>
      <c r="H2449" s="18"/>
    </row>
    <row r="2450">
      <c r="C2450" s="18"/>
      <c r="D2450" s="19"/>
      <c r="E2450" s="57"/>
      <c r="H2450" s="18"/>
    </row>
    <row r="2451">
      <c r="C2451" s="18"/>
      <c r="D2451" s="19"/>
      <c r="E2451" s="57"/>
      <c r="H2451" s="18"/>
    </row>
    <row r="2452">
      <c r="C2452" s="18"/>
      <c r="D2452" s="19"/>
      <c r="E2452" s="57"/>
      <c r="H2452" s="18"/>
    </row>
    <row r="2453">
      <c r="C2453" s="18"/>
      <c r="D2453" s="19"/>
      <c r="E2453" s="57"/>
      <c r="H2453" s="18"/>
    </row>
    <row r="2454">
      <c r="C2454" s="18"/>
      <c r="D2454" s="19"/>
      <c r="E2454" s="57"/>
      <c r="H2454" s="18"/>
    </row>
    <row r="2455">
      <c r="C2455" s="18"/>
      <c r="D2455" s="19"/>
      <c r="E2455" s="57"/>
      <c r="H2455" s="18"/>
    </row>
    <row r="2456">
      <c r="C2456" s="18"/>
      <c r="D2456" s="19"/>
      <c r="E2456" s="57"/>
      <c r="H2456" s="18"/>
    </row>
    <row r="2457">
      <c r="C2457" s="18"/>
      <c r="D2457" s="19"/>
      <c r="E2457" s="57"/>
      <c r="H2457" s="18"/>
    </row>
    <row r="2458">
      <c r="C2458" s="18"/>
      <c r="D2458" s="19"/>
      <c r="E2458" s="57"/>
      <c r="H2458" s="18"/>
    </row>
    <row r="2459">
      <c r="C2459" s="18"/>
      <c r="D2459" s="19"/>
      <c r="E2459" s="57"/>
      <c r="H2459" s="18"/>
    </row>
    <row r="2460">
      <c r="C2460" s="18"/>
      <c r="D2460" s="19"/>
      <c r="E2460" s="57"/>
      <c r="H2460" s="18"/>
    </row>
    <row r="2461">
      <c r="C2461" s="18"/>
      <c r="D2461" s="19"/>
      <c r="E2461" s="57"/>
      <c r="H2461" s="18"/>
    </row>
    <row r="2462">
      <c r="C2462" s="18"/>
      <c r="D2462" s="19"/>
      <c r="E2462" s="57"/>
      <c r="H2462" s="18"/>
    </row>
    <row r="2463">
      <c r="C2463" s="18"/>
      <c r="D2463" s="19"/>
      <c r="E2463" s="57"/>
      <c r="H2463" s="18"/>
    </row>
    <row r="2464">
      <c r="C2464" s="18"/>
      <c r="D2464" s="19"/>
      <c r="E2464" s="57"/>
      <c r="H2464" s="18"/>
    </row>
    <row r="2465">
      <c r="C2465" s="18"/>
      <c r="D2465" s="19"/>
      <c r="E2465" s="57"/>
      <c r="H2465" s="18"/>
    </row>
    <row r="2466">
      <c r="C2466" s="18"/>
      <c r="D2466" s="19"/>
      <c r="E2466" s="57"/>
      <c r="H2466" s="18"/>
    </row>
    <row r="2467">
      <c r="C2467" s="18"/>
      <c r="D2467" s="19"/>
      <c r="E2467" s="57"/>
      <c r="H2467" s="18"/>
    </row>
    <row r="2468">
      <c r="C2468" s="18"/>
      <c r="D2468" s="19"/>
      <c r="E2468" s="57"/>
      <c r="H2468" s="18"/>
    </row>
    <row r="2469">
      <c r="C2469" s="18"/>
      <c r="D2469" s="19"/>
      <c r="E2469" s="57"/>
      <c r="H2469" s="18"/>
    </row>
    <row r="2470">
      <c r="C2470" s="18"/>
      <c r="D2470" s="19"/>
      <c r="E2470" s="57"/>
      <c r="H2470" s="18"/>
    </row>
    <row r="2471">
      <c r="C2471" s="18"/>
      <c r="D2471" s="19"/>
      <c r="E2471" s="57"/>
      <c r="H2471" s="18"/>
    </row>
    <row r="2472">
      <c r="C2472" s="18"/>
      <c r="D2472" s="19"/>
      <c r="E2472" s="57"/>
      <c r="H2472" s="18"/>
    </row>
    <row r="2473">
      <c r="C2473" s="18"/>
      <c r="D2473" s="19"/>
      <c r="E2473" s="57"/>
      <c r="H2473" s="18"/>
    </row>
    <row r="2474">
      <c r="C2474" s="18"/>
      <c r="D2474" s="19"/>
      <c r="E2474" s="57"/>
      <c r="H2474" s="18"/>
    </row>
    <row r="2475">
      <c r="C2475" s="18"/>
      <c r="D2475" s="19"/>
      <c r="E2475" s="57"/>
      <c r="H2475" s="18"/>
    </row>
    <row r="2476">
      <c r="C2476" s="18"/>
      <c r="D2476" s="19"/>
      <c r="E2476" s="57"/>
      <c r="H2476" s="18"/>
    </row>
    <row r="2477">
      <c r="C2477" s="18"/>
      <c r="D2477" s="19"/>
      <c r="E2477" s="57"/>
      <c r="H2477" s="18"/>
    </row>
    <row r="2478">
      <c r="C2478" s="18"/>
      <c r="D2478" s="19"/>
      <c r="E2478" s="57"/>
      <c r="H2478" s="18"/>
    </row>
    <row r="2479">
      <c r="C2479" s="18"/>
      <c r="D2479" s="19"/>
      <c r="E2479" s="57"/>
      <c r="H2479" s="18"/>
    </row>
    <row r="2480">
      <c r="C2480" s="18"/>
      <c r="D2480" s="19"/>
      <c r="E2480" s="57"/>
      <c r="H2480" s="18"/>
    </row>
    <row r="2481">
      <c r="C2481" s="18"/>
      <c r="D2481" s="19"/>
      <c r="E2481" s="57"/>
      <c r="H2481" s="18"/>
    </row>
    <row r="2482">
      <c r="C2482" s="18"/>
      <c r="D2482" s="19"/>
      <c r="E2482" s="57"/>
      <c r="H2482" s="18"/>
    </row>
    <row r="2483">
      <c r="C2483" s="18"/>
      <c r="D2483" s="19"/>
      <c r="E2483" s="57"/>
      <c r="H2483" s="18"/>
    </row>
    <row r="2484">
      <c r="C2484" s="18"/>
      <c r="D2484" s="19"/>
      <c r="E2484" s="57"/>
      <c r="H2484" s="18"/>
    </row>
    <row r="2485">
      <c r="C2485" s="18"/>
      <c r="D2485" s="19"/>
      <c r="E2485" s="57"/>
      <c r="H2485" s="18"/>
    </row>
    <row r="2486">
      <c r="C2486" s="18"/>
      <c r="D2486" s="19"/>
      <c r="E2486" s="57"/>
      <c r="H2486" s="18"/>
    </row>
    <row r="2487">
      <c r="C2487" s="18"/>
      <c r="D2487" s="19"/>
      <c r="E2487" s="57"/>
      <c r="H2487" s="18"/>
    </row>
    <row r="2488">
      <c r="C2488" s="18"/>
      <c r="D2488" s="19"/>
      <c r="E2488" s="57"/>
      <c r="H2488" s="18"/>
    </row>
    <row r="2489">
      <c r="C2489" s="18"/>
      <c r="D2489" s="19"/>
      <c r="E2489" s="57"/>
      <c r="H2489" s="18"/>
    </row>
    <row r="2490">
      <c r="C2490" s="18"/>
      <c r="D2490" s="19"/>
      <c r="E2490" s="57"/>
      <c r="H2490" s="18"/>
    </row>
    <row r="2491">
      <c r="C2491" s="18"/>
      <c r="D2491" s="19"/>
      <c r="E2491" s="57"/>
      <c r="H2491" s="18"/>
    </row>
    <row r="2492">
      <c r="C2492" s="18"/>
      <c r="D2492" s="19"/>
      <c r="E2492" s="57"/>
      <c r="H2492" s="18"/>
    </row>
    <row r="2493">
      <c r="C2493" s="18"/>
      <c r="D2493" s="19"/>
      <c r="E2493" s="57"/>
      <c r="H2493" s="18"/>
    </row>
    <row r="2494">
      <c r="C2494" s="18"/>
      <c r="D2494" s="19"/>
      <c r="E2494" s="57"/>
      <c r="H2494" s="18"/>
    </row>
    <row r="2495">
      <c r="C2495" s="18"/>
      <c r="D2495" s="19"/>
      <c r="E2495" s="57"/>
      <c r="H2495" s="18"/>
    </row>
    <row r="2496">
      <c r="C2496" s="18"/>
      <c r="D2496" s="19"/>
      <c r="E2496" s="57"/>
      <c r="H2496" s="18"/>
    </row>
    <row r="2497">
      <c r="C2497" s="18"/>
      <c r="D2497" s="19"/>
      <c r="E2497" s="57"/>
      <c r="H2497" s="18"/>
    </row>
    <row r="2498">
      <c r="C2498" s="18"/>
      <c r="D2498" s="19"/>
      <c r="E2498" s="57"/>
      <c r="H2498" s="18"/>
    </row>
    <row r="2499">
      <c r="C2499" s="18"/>
      <c r="D2499" s="19"/>
      <c r="E2499" s="57"/>
      <c r="H2499" s="18"/>
    </row>
    <row r="2500">
      <c r="C2500" s="18"/>
      <c r="D2500" s="19"/>
      <c r="E2500" s="57"/>
      <c r="H2500" s="18"/>
    </row>
    <row r="2501">
      <c r="C2501" s="18"/>
      <c r="D2501" s="19"/>
      <c r="E2501" s="57"/>
      <c r="H2501" s="18"/>
    </row>
    <row r="2502">
      <c r="C2502" s="18"/>
      <c r="D2502" s="19"/>
      <c r="E2502" s="57"/>
      <c r="H2502" s="18"/>
    </row>
    <row r="2503">
      <c r="C2503" s="18"/>
      <c r="D2503" s="19"/>
      <c r="E2503" s="57"/>
      <c r="H2503" s="18"/>
    </row>
    <row r="2504">
      <c r="C2504" s="18"/>
      <c r="D2504" s="19"/>
      <c r="E2504" s="57"/>
      <c r="H2504" s="18"/>
    </row>
    <row r="2505">
      <c r="C2505" s="18"/>
      <c r="D2505" s="19"/>
      <c r="E2505" s="57"/>
      <c r="H2505" s="18"/>
    </row>
    <row r="2506">
      <c r="C2506" s="18"/>
      <c r="D2506" s="19"/>
      <c r="E2506" s="57"/>
      <c r="H2506" s="18"/>
    </row>
    <row r="2507">
      <c r="C2507" s="18"/>
      <c r="D2507" s="19"/>
      <c r="E2507" s="57"/>
      <c r="H2507" s="18"/>
    </row>
    <row r="2508">
      <c r="C2508" s="18"/>
      <c r="D2508" s="19"/>
      <c r="E2508" s="57"/>
      <c r="H2508" s="18"/>
    </row>
    <row r="2509">
      <c r="C2509" s="18"/>
      <c r="D2509" s="19"/>
      <c r="E2509" s="57"/>
      <c r="H2509" s="18"/>
    </row>
    <row r="2510">
      <c r="C2510" s="18"/>
      <c r="D2510" s="19"/>
      <c r="E2510" s="57"/>
      <c r="H2510" s="18"/>
    </row>
    <row r="2511">
      <c r="C2511" s="18"/>
      <c r="D2511" s="19"/>
      <c r="E2511" s="57"/>
      <c r="H2511" s="18"/>
    </row>
    <row r="2512">
      <c r="C2512" s="18"/>
      <c r="D2512" s="19"/>
      <c r="E2512" s="57"/>
      <c r="H2512" s="18"/>
    </row>
    <row r="2513">
      <c r="C2513" s="18"/>
      <c r="D2513" s="19"/>
      <c r="E2513" s="57"/>
      <c r="H2513" s="18"/>
    </row>
    <row r="2514">
      <c r="C2514" s="18"/>
      <c r="D2514" s="19"/>
      <c r="E2514" s="57"/>
      <c r="H2514" s="18"/>
    </row>
    <row r="2515">
      <c r="C2515" s="18"/>
      <c r="D2515" s="19"/>
      <c r="E2515" s="57"/>
      <c r="H2515" s="18"/>
    </row>
    <row r="2516">
      <c r="C2516" s="18"/>
      <c r="D2516" s="19"/>
      <c r="E2516" s="57"/>
      <c r="H2516" s="18"/>
    </row>
    <row r="2517">
      <c r="C2517" s="18"/>
      <c r="D2517" s="19"/>
      <c r="E2517" s="57"/>
      <c r="H2517" s="18"/>
    </row>
    <row r="2518">
      <c r="C2518" s="18"/>
      <c r="D2518" s="19"/>
      <c r="E2518" s="57"/>
      <c r="H2518" s="18"/>
    </row>
    <row r="2519">
      <c r="C2519" s="18"/>
      <c r="D2519" s="19"/>
      <c r="E2519" s="57"/>
      <c r="H2519" s="18"/>
    </row>
    <row r="2520">
      <c r="C2520" s="18"/>
      <c r="D2520" s="19"/>
      <c r="E2520" s="57"/>
      <c r="H2520" s="18"/>
    </row>
    <row r="2521">
      <c r="C2521" s="18"/>
      <c r="D2521" s="19"/>
      <c r="E2521" s="57"/>
      <c r="H2521" s="18"/>
    </row>
    <row r="2522">
      <c r="C2522" s="18"/>
      <c r="D2522" s="19"/>
      <c r="E2522" s="57"/>
      <c r="H2522" s="18"/>
    </row>
    <row r="2523">
      <c r="C2523" s="18"/>
      <c r="D2523" s="19"/>
      <c r="E2523" s="57"/>
      <c r="H2523" s="18"/>
    </row>
    <row r="2524">
      <c r="C2524" s="18"/>
      <c r="D2524" s="19"/>
      <c r="E2524" s="57"/>
      <c r="H2524" s="18"/>
    </row>
    <row r="2525">
      <c r="C2525" s="18"/>
      <c r="D2525" s="19"/>
      <c r="E2525" s="57"/>
      <c r="H2525" s="18"/>
    </row>
    <row r="2526">
      <c r="C2526" s="18"/>
      <c r="D2526" s="19"/>
      <c r="E2526" s="57"/>
      <c r="H2526" s="18"/>
    </row>
    <row r="2527">
      <c r="C2527" s="18"/>
      <c r="D2527" s="19"/>
      <c r="E2527" s="57"/>
      <c r="H2527" s="18"/>
    </row>
    <row r="2528">
      <c r="C2528" s="18"/>
      <c r="D2528" s="19"/>
      <c r="E2528" s="57"/>
      <c r="H2528" s="18"/>
    </row>
    <row r="2529">
      <c r="C2529" s="18"/>
      <c r="D2529" s="19"/>
      <c r="E2529" s="57"/>
      <c r="H2529" s="18"/>
    </row>
    <row r="2530">
      <c r="C2530" s="18"/>
      <c r="D2530" s="19"/>
      <c r="E2530" s="57"/>
      <c r="H2530" s="18"/>
    </row>
    <row r="2531">
      <c r="C2531" s="18"/>
      <c r="D2531" s="19"/>
      <c r="E2531" s="57"/>
      <c r="H2531" s="18"/>
    </row>
    <row r="2532">
      <c r="C2532" s="18"/>
      <c r="D2532" s="19"/>
      <c r="E2532" s="57"/>
      <c r="H2532" s="18"/>
    </row>
    <row r="2533">
      <c r="C2533" s="18"/>
      <c r="D2533" s="19"/>
      <c r="E2533" s="57"/>
      <c r="H2533" s="18"/>
    </row>
    <row r="2534">
      <c r="C2534" s="18"/>
      <c r="D2534" s="19"/>
      <c r="E2534" s="57"/>
      <c r="H2534" s="18"/>
    </row>
    <row r="2535">
      <c r="C2535" s="18"/>
      <c r="D2535" s="19"/>
      <c r="E2535" s="57"/>
      <c r="H2535" s="18"/>
    </row>
    <row r="2536">
      <c r="C2536" s="18"/>
      <c r="D2536" s="19"/>
      <c r="E2536" s="57"/>
      <c r="H2536" s="18"/>
    </row>
    <row r="2537">
      <c r="C2537" s="18"/>
      <c r="D2537" s="19"/>
      <c r="E2537" s="57"/>
      <c r="H2537" s="18"/>
    </row>
    <row r="2538">
      <c r="C2538" s="18"/>
      <c r="D2538" s="19"/>
      <c r="E2538" s="57"/>
      <c r="H2538" s="18"/>
    </row>
    <row r="2539">
      <c r="C2539" s="18"/>
      <c r="D2539" s="19"/>
      <c r="E2539" s="57"/>
      <c r="H2539" s="18"/>
    </row>
    <row r="2540">
      <c r="C2540" s="18"/>
      <c r="D2540" s="19"/>
      <c r="E2540" s="57"/>
      <c r="H2540" s="18"/>
    </row>
    <row r="2541">
      <c r="C2541" s="18"/>
      <c r="D2541" s="19"/>
      <c r="E2541" s="57"/>
      <c r="H2541" s="18"/>
    </row>
    <row r="2542">
      <c r="C2542" s="18"/>
      <c r="D2542" s="19"/>
      <c r="E2542" s="57"/>
      <c r="H2542" s="18"/>
    </row>
    <row r="2543">
      <c r="C2543" s="18"/>
      <c r="D2543" s="19"/>
      <c r="E2543" s="57"/>
      <c r="H2543" s="18"/>
    </row>
    <row r="2544">
      <c r="C2544" s="18"/>
      <c r="D2544" s="19"/>
      <c r="E2544" s="57"/>
      <c r="H2544" s="18"/>
    </row>
    <row r="2545">
      <c r="C2545" s="18"/>
      <c r="D2545" s="19"/>
      <c r="E2545" s="57"/>
      <c r="H2545" s="18"/>
    </row>
    <row r="2546">
      <c r="C2546" s="18"/>
      <c r="D2546" s="19"/>
      <c r="E2546" s="57"/>
      <c r="H2546" s="18"/>
    </row>
    <row r="2547">
      <c r="C2547" s="18"/>
      <c r="D2547" s="19"/>
      <c r="E2547" s="57"/>
      <c r="H2547" s="18"/>
    </row>
    <row r="2548">
      <c r="C2548" s="18"/>
      <c r="D2548" s="19"/>
      <c r="E2548" s="57"/>
      <c r="H2548" s="18"/>
    </row>
    <row r="2549">
      <c r="C2549" s="18"/>
      <c r="D2549" s="19"/>
      <c r="E2549" s="57"/>
      <c r="H2549" s="18"/>
    </row>
    <row r="2550">
      <c r="C2550" s="18"/>
      <c r="D2550" s="19"/>
      <c r="E2550" s="57"/>
      <c r="H2550" s="18"/>
    </row>
    <row r="2551">
      <c r="C2551" s="18"/>
      <c r="D2551" s="19"/>
      <c r="E2551" s="57"/>
      <c r="H2551" s="18"/>
    </row>
    <row r="2552">
      <c r="C2552" s="18"/>
      <c r="D2552" s="19"/>
      <c r="E2552" s="57"/>
      <c r="H2552" s="18"/>
    </row>
    <row r="2553">
      <c r="C2553" s="18"/>
      <c r="D2553" s="19"/>
      <c r="E2553" s="57"/>
      <c r="H2553" s="18"/>
    </row>
    <row r="2554">
      <c r="C2554" s="18"/>
      <c r="D2554" s="19"/>
      <c r="E2554" s="57"/>
      <c r="H2554" s="18"/>
    </row>
    <row r="2555">
      <c r="C2555" s="18"/>
      <c r="D2555" s="19"/>
      <c r="E2555" s="57"/>
      <c r="H2555" s="18"/>
    </row>
    <row r="2556">
      <c r="C2556" s="18"/>
      <c r="D2556" s="19"/>
      <c r="E2556" s="57"/>
      <c r="H2556" s="18"/>
    </row>
    <row r="2557">
      <c r="C2557" s="18"/>
      <c r="D2557" s="19"/>
      <c r="E2557" s="57"/>
      <c r="H2557" s="18"/>
    </row>
    <row r="2558">
      <c r="C2558" s="18"/>
      <c r="D2558" s="19"/>
      <c r="E2558" s="57"/>
      <c r="H2558" s="18"/>
    </row>
    <row r="2559">
      <c r="C2559" s="18"/>
      <c r="D2559" s="19"/>
      <c r="E2559" s="57"/>
      <c r="H2559" s="18"/>
    </row>
    <row r="2560">
      <c r="C2560" s="18"/>
      <c r="D2560" s="19"/>
      <c r="E2560" s="57"/>
      <c r="H2560" s="18"/>
    </row>
    <row r="2561">
      <c r="C2561" s="18"/>
      <c r="D2561" s="19"/>
      <c r="E2561" s="57"/>
      <c r="H2561" s="18"/>
    </row>
    <row r="2562">
      <c r="C2562" s="18"/>
      <c r="D2562" s="19"/>
      <c r="E2562" s="57"/>
      <c r="H2562" s="18"/>
    </row>
    <row r="2563">
      <c r="C2563" s="18"/>
      <c r="D2563" s="19"/>
      <c r="E2563" s="57"/>
      <c r="H2563" s="18"/>
    </row>
    <row r="2564">
      <c r="C2564" s="18"/>
      <c r="D2564" s="19"/>
      <c r="E2564" s="57"/>
      <c r="H2564" s="18"/>
    </row>
    <row r="2565">
      <c r="C2565" s="18"/>
      <c r="D2565" s="19"/>
      <c r="E2565" s="57"/>
      <c r="H2565" s="18"/>
    </row>
    <row r="2566">
      <c r="C2566" s="18"/>
      <c r="D2566" s="19"/>
      <c r="E2566" s="57"/>
      <c r="H2566" s="18"/>
    </row>
    <row r="2567">
      <c r="C2567" s="18"/>
      <c r="D2567" s="19"/>
      <c r="E2567" s="57"/>
      <c r="H2567" s="18"/>
    </row>
    <row r="2568">
      <c r="C2568" s="18"/>
      <c r="D2568" s="19"/>
      <c r="E2568" s="57"/>
      <c r="H2568" s="18"/>
    </row>
    <row r="2569">
      <c r="C2569" s="18"/>
      <c r="D2569" s="19"/>
      <c r="E2569" s="57"/>
      <c r="H2569" s="18"/>
    </row>
    <row r="2570">
      <c r="C2570" s="18"/>
      <c r="D2570" s="19"/>
      <c r="E2570" s="57"/>
      <c r="H2570" s="18"/>
    </row>
    <row r="2571">
      <c r="C2571" s="18"/>
      <c r="D2571" s="19"/>
      <c r="E2571" s="57"/>
      <c r="H2571" s="18"/>
    </row>
    <row r="2572">
      <c r="C2572" s="18"/>
      <c r="D2572" s="19"/>
      <c r="E2572" s="57"/>
      <c r="H2572" s="18"/>
    </row>
    <row r="2573">
      <c r="C2573" s="18"/>
      <c r="D2573" s="19"/>
      <c r="E2573" s="57"/>
      <c r="H2573" s="18"/>
    </row>
    <row r="2574">
      <c r="C2574" s="18"/>
      <c r="D2574" s="19"/>
      <c r="E2574" s="57"/>
      <c r="H2574" s="18"/>
    </row>
    <row r="2575">
      <c r="C2575" s="18"/>
      <c r="D2575" s="19"/>
      <c r="E2575" s="57"/>
      <c r="H2575" s="18"/>
    </row>
    <row r="2576">
      <c r="C2576" s="18"/>
      <c r="D2576" s="19"/>
      <c r="E2576" s="57"/>
      <c r="H2576" s="18"/>
    </row>
    <row r="2577">
      <c r="C2577" s="18"/>
      <c r="D2577" s="19"/>
      <c r="E2577" s="57"/>
      <c r="H2577" s="18"/>
    </row>
    <row r="2578">
      <c r="C2578" s="18"/>
      <c r="D2578" s="19"/>
      <c r="E2578" s="57"/>
      <c r="H2578" s="18"/>
    </row>
    <row r="2579">
      <c r="C2579" s="18"/>
      <c r="D2579" s="19"/>
      <c r="E2579" s="57"/>
      <c r="H2579" s="18"/>
    </row>
    <row r="2580">
      <c r="C2580" s="18"/>
      <c r="D2580" s="19"/>
      <c r="E2580" s="57"/>
      <c r="H2580" s="18"/>
    </row>
    <row r="2581">
      <c r="C2581" s="18"/>
      <c r="D2581" s="19"/>
      <c r="E2581" s="57"/>
      <c r="H2581" s="18"/>
    </row>
    <row r="2582">
      <c r="C2582" s="18"/>
      <c r="D2582" s="19"/>
      <c r="E2582" s="57"/>
      <c r="H2582" s="18"/>
    </row>
    <row r="2583">
      <c r="C2583" s="18"/>
      <c r="D2583" s="19"/>
      <c r="E2583" s="57"/>
      <c r="H2583" s="18"/>
    </row>
    <row r="2584">
      <c r="C2584" s="18"/>
      <c r="D2584" s="19"/>
      <c r="E2584" s="57"/>
      <c r="H2584" s="18"/>
    </row>
    <row r="2585">
      <c r="C2585" s="18"/>
      <c r="D2585" s="19"/>
      <c r="E2585" s="57"/>
      <c r="H2585" s="18"/>
    </row>
    <row r="2586">
      <c r="C2586" s="18"/>
      <c r="D2586" s="19"/>
      <c r="E2586" s="57"/>
      <c r="H2586" s="18"/>
    </row>
    <row r="2587">
      <c r="C2587" s="18"/>
      <c r="D2587" s="19"/>
      <c r="E2587" s="57"/>
      <c r="H2587" s="18"/>
    </row>
    <row r="2588">
      <c r="C2588" s="18"/>
      <c r="D2588" s="19"/>
      <c r="E2588" s="57"/>
      <c r="H2588" s="18"/>
    </row>
    <row r="2589">
      <c r="C2589" s="18"/>
      <c r="D2589" s="19"/>
      <c r="E2589" s="57"/>
      <c r="H2589" s="18"/>
    </row>
    <row r="2590">
      <c r="C2590" s="18"/>
      <c r="D2590" s="19"/>
      <c r="E2590" s="57"/>
      <c r="H2590" s="18"/>
    </row>
    <row r="2591">
      <c r="C2591" s="18"/>
      <c r="D2591" s="19"/>
      <c r="E2591" s="57"/>
      <c r="H2591" s="18"/>
    </row>
    <row r="2592">
      <c r="C2592" s="18"/>
      <c r="D2592" s="19"/>
      <c r="E2592" s="57"/>
      <c r="H2592" s="18"/>
    </row>
    <row r="2593">
      <c r="C2593" s="18"/>
      <c r="D2593" s="19"/>
      <c r="E2593" s="57"/>
      <c r="H2593" s="18"/>
    </row>
    <row r="2594">
      <c r="C2594" s="18"/>
      <c r="D2594" s="19"/>
      <c r="E2594" s="57"/>
      <c r="H2594" s="18"/>
    </row>
    <row r="2595">
      <c r="C2595" s="18"/>
      <c r="D2595" s="19"/>
      <c r="E2595" s="57"/>
      <c r="H2595" s="18"/>
    </row>
    <row r="2596">
      <c r="C2596" s="18"/>
      <c r="D2596" s="19"/>
      <c r="E2596" s="57"/>
      <c r="H2596" s="18"/>
    </row>
    <row r="2597">
      <c r="C2597" s="18"/>
      <c r="D2597" s="19"/>
      <c r="E2597" s="57"/>
      <c r="H2597" s="18"/>
    </row>
    <row r="2598">
      <c r="C2598" s="18"/>
      <c r="D2598" s="19"/>
      <c r="E2598" s="57"/>
      <c r="H2598" s="18"/>
    </row>
    <row r="2599">
      <c r="C2599" s="18"/>
      <c r="D2599" s="19"/>
      <c r="E2599" s="57"/>
      <c r="H2599" s="18"/>
    </row>
    <row r="2600">
      <c r="C2600" s="18"/>
      <c r="D2600" s="19"/>
      <c r="E2600" s="57"/>
      <c r="H2600" s="18"/>
    </row>
    <row r="2601">
      <c r="C2601" s="18"/>
      <c r="D2601" s="19"/>
      <c r="E2601" s="57"/>
      <c r="H2601" s="18"/>
    </row>
    <row r="2602">
      <c r="C2602" s="18"/>
      <c r="D2602" s="19"/>
      <c r="E2602" s="57"/>
      <c r="H2602" s="18"/>
    </row>
    <row r="2603">
      <c r="C2603" s="18"/>
      <c r="D2603" s="19"/>
      <c r="E2603" s="57"/>
      <c r="H2603" s="18"/>
    </row>
    <row r="2604">
      <c r="C2604" s="18"/>
      <c r="D2604" s="19"/>
      <c r="E2604" s="57"/>
      <c r="H2604" s="18"/>
    </row>
    <row r="2605">
      <c r="C2605" s="18"/>
      <c r="D2605" s="19"/>
      <c r="E2605" s="57"/>
      <c r="H2605" s="18"/>
    </row>
    <row r="2606">
      <c r="C2606" s="18"/>
      <c r="D2606" s="19"/>
      <c r="E2606" s="57"/>
      <c r="H2606" s="18"/>
    </row>
    <row r="2607">
      <c r="C2607" s="18"/>
      <c r="D2607" s="19"/>
      <c r="E2607" s="57"/>
      <c r="H2607" s="18"/>
    </row>
    <row r="2608">
      <c r="C2608" s="18"/>
      <c r="D2608" s="19"/>
      <c r="E2608" s="57"/>
      <c r="H2608" s="18"/>
    </row>
    <row r="2609">
      <c r="C2609" s="18"/>
      <c r="D2609" s="19"/>
      <c r="E2609" s="57"/>
      <c r="H2609" s="18"/>
    </row>
    <row r="2610">
      <c r="C2610" s="18"/>
      <c r="D2610" s="19"/>
      <c r="E2610" s="57"/>
      <c r="H2610" s="18"/>
    </row>
    <row r="2611">
      <c r="C2611" s="18"/>
      <c r="D2611" s="19"/>
      <c r="E2611" s="57"/>
      <c r="H2611" s="18"/>
    </row>
    <row r="2612">
      <c r="C2612" s="18"/>
      <c r="D2612" s="19"/>
      <c r="E2612" s="57"/>
      <c r="H2612" s="18"/>
    </row>
    <row r="2613">
      <c r="C2613" s="18"/>
      <c r="D2613" s="19"/>
      <c r="E2613" s="57"/>
      <c r="H2613" s="18"/>
    </row>
    <row r="2614">
      <c r="C2614" s="18"/>
      <c r="D2614" s="19"/>
      <c r="E2614" s="57"/>
      <c r="H2614" s="18"/>
    </row>
    <row r="2615">
      <c r="C2615" s="18"/>
      <c r="D2615" s="19"/>
      <c r="E2615" s="57"/>
      <c r="H2615" s="18"/>
    </row>
    <row r="2616">
      <c r="C2616" s="18"/>
      <c r="D2616" s="19"/>
      <c r="E2616" s="57"/>
      <c r="H2616" s="18"/>
    </row>
    <row r="2617">
      <c r="C2617" s="18"/>
      <c r="D2617" s="19"/>
      <c r="E2617" s="57"/>
      <c r="H2617" s="18"/>
    </row>
    <row r="2618">
      <c r="C2618" s="18"/>
      <c r="D2618" s="19"/>
      <c r="E2618" s="57"/>
      <c r="H2618" s="18"/>
    </row>
    <row r="2619">
      <c r="C2619" s="18"/>
      <c r="D2619" s="19"/>
      <c r="E2619" s="57"/>
      <c r="H2619" s="18"/>
    </row>
    <row r="2620">
      <c r="C2620" s="18"/>
      <c r="D2620" s="19"/>
      <c r="E2620" s="57"/>
      <c r="H2620" s="18"/>
    </row>
    <row r="2621">
      <c r="C2621" s="18"/>
      <c r="D2621" s="19"/>
      <c r="E2621" s="57"/>
      <c r="H2621" s="18"/>
    </row>
    <row r="2622">
      <c r="C2622" s="18"/>
      <c r="D2622" s="19"/>
      <c r="E2622" s="57"/>
      <c r="H2622" s="18"/>
    </row>
    <row r="2623">
      <c r="C2623" s="18"/>
      <c r="D2623" s="19"/>
      <c r="E2623" s="57"/>
      <c r="H2623" s="18"/>
    </row>
    <row r="2624">
      <c r="C2624" s="18"/>
      <c r="D2624" s="19"/>
      <c r="E2624" s="57"/>
      <c r="H2624" s="18"/>
    </row>
    <row r="2625">
      <c r="C2625" s="18"/>
      <c r="D2625" s="19"/>
      <c r="E2625" s="57"/>
      <c r="H2625" s="18"/>
    </row>
    <row r="2626">
      <c r="C2626" s="18"/>
      <c r="D2626" s="19"/>
      <c r="E2626" s="57"/>
      <c r="H2626" s="18"/>
    </row>
    <row r="2627">
      <c r="C2627" s="18"/>
      <c r="D2627" s="19"/>
      <c r="E2627" s="57"/>
      <c r="H2627" s="18"/>
    </row>
    <row r="2628">
      <c r="C2628" s="18"/>
      <c r="D2628" s="19"/>
      <c r="E2628" s="57"/>
      <c r="H2628" s="18"/>
    </row>
    <row r="2629">
      <c r="C2629" s="18"/>
      <c r="D2629" s="19"/>
      <c r="E2629" s="57"/>
      <c r="H2629" s="18"/>
    </row>
    <row r="2630">
      <c r="C2630" s="18"/>
      <c r="D2630" s="19"/>
      <c r="E2630" s="57"/>
      <c r="H2630" s="18"/>
    </row>
    <row r="2631">
      <c r="C2631" s="18"/>
      <c r="D2631" s="19"/>
      <c r="E2631" s="57"/>
      <c r="H2631" s="18"/>
    </row>
    <row r="2632">
      <c r="C2632" s="18"/>
      <c r="D2632" s="19"/>
      <c r="E2632" s="57"/>
      <c r="H2632" s="18"/>
    </row>
    <row r="2633">
      <c r="C2633" s="18"/>
      <c r="D2633" s="19"/>
      <c r="E2633" s="57"/>
      <c r="H2633" s="18"/>
    </row>
    <row r="2634">
      <c r="C2634" s="18"/>
      <c r="D2634" s="19"/>
      <c r="E2634" s="57"/>
      <c r="H2634" s="18"/>
    </row>
    <row r="2635">
      <c r="C2635" s="18"/>
      <c r="D2635" s="19"/>
      <c r="E2635" s="57"/>
      <c r="H2635" s="18"/>
    </row>
    <row r="2636">
      <c r="C2636" s="18"/>
      <c r="D2636" s="19"/>
      <c r="E2636" s="57"/>
      <c r="H2636" s="18"/>
    </row>
    <row r="2637">
      <c r="C2637" s="18"/>
      <c r="D2637" s="19"/>
      <c r="E2637" s="57"/>
      <c r="H2637" s="18"/>
    </row>
    <row r="2638">
      <c r="C2638" s="18"/>
      <c r="D2638" s="19"/>
      <c r="E2638" s="57"/>
      <c r="H2638" s="18"/>
    </row>
    <row r="2639">
      <c r="C2639" s="18"/>
      <c r="D2639" s="19"/>
      <c r="E2639" s="57"/>
      <c r="H2639" s="18"/>
    </row>
    <row r="2640">
      <c r="C2640" s="18"/>
      <c r="D2640" s="19"/>
      <c r="E2640" s="57"/>
      <c r="H2640" s="18"/>
    </row>
    <row r="2641">
      <c r="C2641" s="18"/>
      <c r="D2641" s="19"/>
      <c r="E2641" s="57"/>
      <c r="H2641" s="18"/>
    </row>
    <row r="2642">
      <c r="C2642" s="18"/>
      <c r="D2642" s="19"/>
      <c r="E2642" s="57"/>
      <c r="H2642" s="18"/>
    </row>
    <row r="2643">
      <c r="C2643" s="18"/>
      <c r="D2643" s="19"/>
      <c r="E2643" s="57"/>
      <c r="H2643" s="18"/>
    </row>
    <row r="2644">
      <c r="C2644" s="18"/>
      <c r="D2644" s="19"/>
      <c r="E2644" s="57"/>
      <c r="H2644" s="18"/>
    </row>
    <row r="2645">
      <c r="C2645" s="18"/>
      <c r="D2645" s="19"/>
      <c r="E2645" s="57"/>
      <c r="H2645" s="18"/>
    </row>
    <row r="2646">
      <c r="C2646" s="18"/>
      <c r="D2646" s="19"/>
      <c r="E2646" s="57"/>
      <c r="H2646" s="18"/>
    </row>
    <row r="2647">
      <c r="C2647" s="18"/>
      <c r="D2647" s="19"/>
      <c r="E2647" s="57"/>
      <c r="H2647" s="18"/>
    </row>
    <row r="2648">
      <c r="C2648" s="18"/>
      <c r="D2648" s="19"/>
      <c r="E2648" s="57"/>
      <c r="H2648" s="18"/>
    </row>
    <row r="2649">
      <c r="C2649" s="18"/>
      <c r="D2649" s="19"/>
      <c r="E2649" s="57"/>
      <c r="H2649" s="18"/>
    </row>
    <row r="2650">
      <c r="C2650" s="18"/>
      <c r="D2650" s="19"/>
      <c r="E2650" s="57"/>
      <c r="H2650" s="18"/>
    </row>
    <row r="2651">
      <c r="C2651" s="18"/>
      <c r="D2651" s="19"/>
      <c r="E2651" s="57"/>
      <c r="H2651" s="18"/>
    </row>
    <row r="2652">
      <c r="C2652" s="18"/>
      <c r="D2652" s="19"/>
      <c r="E2652" s="57"/>
      <c r="H2652" s="18"/>
    </row>
    <row r="2653">
      <c r="C2653" s="18"/>
      <c r="D2653" s="19"/>
      <c r="E2653" s="57"/>
      <c r="H2653" s="18"/>
    </row>
    <row r="2654">
      <c r="C2654" s="18"/>
      <c r="D2654" s="19"/>
      <c r="E2654" s="57"/>
      <c r="H2654" s="18"/>
    </row>
    <row r="2655">
      <c r="C2655" s="18"/>
      <c r="D2655" s="19"/>
      <c r="E2655" s="57"/>
      <c r="H2655" s="18"/>
    </row>
    <row r="2656">
      <c r="C2656" s="18"/>
      <c r="D2656" s="19"/>
      <c r="E2656" s="57"/>
      <c r="H2656" s="18"/>
    </row>
    <row r="2657">
      <c r="C2657" s="18"/>
      <c r="D2657" s="19"/>
      <c r="E2657" s="57"/>
      <c r="H2657" s="18"/>
    </row>
    <row r="2658">
      <c r="C2658" s="18"/>
      <c r="D2658" s="19"/>
      <c r="E2658" s="57"/>
      <c r="H2658" s="18"/>
    </row>
    <row r="2659">
      <c r="C2659" s="18"/>
      <c r="D2659" s="19"/>
      <c r="E2659" s="57"/>
      <c r="H2659" s="18"/>
    </row>
    <row r="2660">
      <c r="C2660" s="18"/>
      <c r="D2660" s="19"/>
      <c r="E2660" s="57"/>
      <c r="H2660" s="18"/>
    </row>
    <row r="2661">
      <c r="C2661" s="18"/>
      <c r="D2661" s="19"/>
      <c r="E2661" s="57"/>
      <c r="H2661" s="18"/>
    </row>
    <row r="2662">
      <c r="C2662" s="18"/>
      <c r="D2662" s="19"/>
      <c r="E2662" s="57"/>
      <c r="H2662" s="18"/>
    </row>
    <row r="2663">
      <c r="C2663" s="18"/>
      <c r="D2663" s="19"/>
      <c r="E2663" s="57"/>
      <c r="H2663" s="18"/>
    </row>
    <row r="2664">
      <c r="C2664" s="18"/>
      <c r="D2664" s="19"/>
      <c r="E2664" s="57"/>
      <c r="H2664" s="18"/>
    </row>
    <row r="2665">
      <c r="C2665" s="18"/>
      <c r="D2665" s="19"/>
      <c r="E2665" s="57"/>
      <c r="H2665" s="18"/>
    </row>
    <row r="2666">
      <c r="C2666" s="18"/>
      <c r="D2666" s="19"/>
      <c r="E2666" s="57"/>
      <c r="H2666" s="18"/>
    </row>
    <row r="2667">
      <c r="C2667" s="18"/>
      <c r="D2667" s="19"/>
      <c r="E2667" s="57"/>
      <c r="H2667" s="18"/>
    </row>
    <row r="2668">
      <c r="C2668" s="18"/>
      <c r="D2668" s="19"/>
      <c r="E2668" s="57"/>
      <c r="H2668" s="18"/>
    </row>
    <row r="2669">
      <c r="C2669" s="18"/>
      <c r="D2669" s="19"/>
      <c r="E2669" s="57"/>
      <c r="H2669" s="18"/>
    </row>
    <row r="2670">
      <c r="C2670" s="18"/>
      <c r="D2670" s="19"/>
      <c r="E2670" s="57"/>
      <c r="H2670" s="18"/>
    </row>
    <row r="2671">
      <c r="C2671" s="18"/>
      <c r="D2671" s="19"/>
      <c r="E2671" s="57"/>
      <c r="H2671" s="18"/>
    </row>
    <row r="2672">
      <c r="C2672" s="18"/>
      <c r="D2672" s="19"/>
      <c r="E2672" s="57"/>
      <c r="H2672" s="18"/>
    </row>
    <row r="2673">
      <c r="C2673" s="18"/>
      <c r="D2673" s="19"/>
      <c r="E2673" s="57"/>
      <c r="H2673" s="18"/>
    </row>
    <row r="2674">
      <c r="C2674" s="18"/>
      <c r="D2674" s="19"/>
      <c r="E2674" s="57"/>
      <c r="H2674" s="18"/>
    </row>
    <row r="2675">
      <c r="C2675" s="18"/>
      <c r="D2675" s="19"/>
      <c r="E2675" s="57"/>
      <c r="H2675" s="18"/>
    </row>
    <row r="2676">
      <c r="C2676" s="18"/>
      <c r="D2676" s="19"/>
      <c r="E2676" s="57"/>
      <c r="H2676" s="18"/>
    </row>
    <row r="2677">
      <c r="C2677" s="18"/>
      <c r="D2677" s="19"/>
      <c r="E2677" s="57"/>
      <c r="H2677" s="18"/>
    </row>
    <row r="2678">
      <c r="C2678" s="18"/>
      <c r="D2678" s="19"/>
      <c r="E2678" s="57"/>
      <c r="H2678" s="18"/>
    </row>
    <row r="2679">
      <c r="C2679" s="18"/>
      <c r="D2679" s="19"/>
      <c r="E2679" s="57"/>
      <c r="H2679" s="18"/>
    </row>
    <row r="2680">
      <c r="C2680" s="18"/>
      <c r="D2680" s="19"/>
      <c r="E2680" s="57"/>
      <c r="H2680" s="18"/>
    </row>
    <row r="2681">
      <c r="C2681" s="18"/>
      <c r="D2681" s="19"/>
      <c r="E2681" s="57"/>
      <c r="H2681" s="18"/>
    </row>
    <row r="2682">
      <c r="C2682" s="18"/>
      <c r="D2682" s="19"/>
      <c r="E2682" s="57"/>
      <c r="H2682" s="18"/>
    </row>
    <row r="2683">
      <c r="C2683" s="18"/>
      <c r="D2683" s="19"/>
      <c r="E2683" s="57"/>
      <c r="H2683" s="18"/>
    </row>
    <row r="2684">
      <c r="C2684" s="18"/>
      <c r="D2684" s="19"/>
      <c r="E2684" s="57"/>
      <c r="H2684" s="18"/>
    </row>
    <row r="2685">
      <c r="C2685" s="18"/>
      <c r="D2685" s="19"/>
      <c r="E2685" s="57"/>
      <c r="H2685" s="18"/>
    </row>
    <row r="2686">
      <c r="C2686" s="18"/>
      <c r="D2686" s="19"/>
      <c r="E2686" s="57"/>
      <c r="H2686" s="18"/>
    </row>
    <row r="2687">
      <c r="C2687" s="18"/>
      <c r="D2687" s="19"/>
      <c r="E2687" s="57"/>
      <c r="H2687" s="18"/>
    </row>
    <row r="2688">
      <c r="C2688" s="18"/>
      <c r="D2688" s="19"/>
      <c r="E2688" s="57"/>
      <c r="H2688" s="18"/>
    </row>
    <row r="2689">
      <c r="C2689" s="18"/>
      <c r="D2689" s="19"/>
      <c r="E2689" s="57"/>
      <c r="H2689" s="18"/>
    </row>
    <row r="2690">
      <c r="C2690" s="18"/>
      <c r="D2690" s="19"/>
      <c r="E2690" s="57"/>
      <c r="H2690" s="18"/>
    </row>
    <row r="2691">
      <c r="C2691" s="18"/>
      <c r="D2691" s="19"/>
      <c r="E2691" s="57"/>
      <c r="H2691" s="18"/>
    </row>
    <row r="2692">
      <c r="C2692" s="18"/>
      <c r="D2692" s="19"/>
      <c r="E2692" s="57"/>
      <c r="H2692" s="18"/>
    </row>
    <row r="2693">
      <c r="C2693" s="18"/>
      <c r="D2693" s="19"/>
      <c r="E2693" s="57"/>
      <c r="H2693" s="18"/>
    </row>
    <row r="2694">
      <c r="C2694" s="18"/>
      <c r="D2694" s="19"/>
      <c r="E2694" s="57"/>
      <c r="H2694" s="18"/>
    </row>
    <row r="2695">
      <c r="C2695" s="18"/>
      <c r="D2695" s="19"/>
      <c r="E2695" s="57"/>
      <c r="H2695" s="18"/>
    </row>
    <row r="2696">
      <c r="C2696" s="18"/>
      <c r="D2696" s="19"/>
      <c r="E2696" s="57"/>
      <c r="H2696" s="18"/>
    </row>
    <row r="2697">
      <c r="C2697" s="18"/>
      <c r="D2697" s="19"/>
      <c r="E2697" s="57"/>
      <c r="H2697" s="18"/>
    </row>
    <row r="2698">
      <c r="C2698" s="18"/>
      <c r="D2698" s="19"/>
      <c r="E2698" s="57"/>
      <c r="H2698" s="18"/>
    </row>
    <row r="2699">
      <c r="C2699" s="18"/>
      <c r="D2699" s="19"/>
      <c r="E2699" s="57"/>
      <c r="H2699" s="18"/>
    </row>
    <row r="2700">
      <c r="C2700" s="18"/>
      <c r="D2700" s="19"/>
      <c r="E2700" s="57"/>
      <c r="H2700" s="18"/>
    </row>
    <row r="2701">
      <c r="C2701" s="18"/>
      <c r="D2701" s="19"/>
      <c r="E2701" s="57"/>
      <c r="H2701" s="18"/>
    </row>
    <row r="2702">
      <c r="C2702" s="18"/>
      <c r="D2702" s="19"/>
      <c r="E2702" s="57"/>
      <c r="H2702" s="18"/>
    </row>
    <row r="2703">
      <c r="C2703" s="18"/>
      <c r="D2703" s="19"/>
      <c r="E2703" s="57"/>
      <c r="H2703" s="18"/>
    </row>
    <row r="2704">
      <c r="C2704" s="18"/>
      <c r="D2704" s="19"/>
      <c r="E2704" s="57"/>
      <c r="H2704" s="18"/>
    </row>
    <row r="2705">
      <c r="C2705" s="18"/>
      <c r="D2705" s="19"/>
      <c r="E2705" s="57"/>
      <c r="H2705" s="18"/>
    </row>
    <row r="2706">
      <c r="C2706" s="18"/>
      <c r="D2706" s="19"/>
      <c r="E2706" s="57"/>
      <c r="H2706" s="18"/>
    </row>
    <row r="2707">
      <c r="C2707" s="18"/>
      <c r="D2707" s="19"/>
      <c r="E2707" s="57"/>
      <c r="H2707" s="18"/>
    </row>
    <row r="2708">
      <c r="C2708" s="18"/>
      <c r="D2708" s="19"/>
      <c r="E2708" s="57"/>
      <c r="H2708" s="18"/>
    </row>
    <row r="2709">
      <c r="C2709" s="18"/>
      <c r="D2709" s="19"/>
      <c r="E2709" s="57"/>
      <c r="H2709" s="18"/>
    </row>
    <row r="2710">
      <c r="C2710" s="18"/>
      <c r="D2710" s="19"/>
      <c r="E2710" s="57"/>
      <c r="H2710" s="18"/>
    </row>
    <row r="2711">
      <c r="C2711" s="18"/>
      <c r="D2711" s="19"/>
      <c r="E2711" s="57"/>
      <c r="H2711" s="18"/>
    </row>
    <row r="2712">
      <c r="C2712" s="18"/>
      <c r="D2712" s="19"/>
      <c r="E2712" s="57"/>
      <c r="H2712" s="18"/>
    </row>
    <row r="2713">
      <c r="C2713" s="18"/>
      <c r="D2713" s="19"/>
      <c r="E2713" s="57"/>
      <c r="H2713" s="18"/>
    </row>
    <row r="2714">
      <c r="C2714" s="18"/>
      <c r="D2714" s="19"/>
      <c r="E2714" s="57"/>
      <c r="H2714" s="18"/>
    </row>
    <row r="2715">
      <c r="C2715" s="18"/>
      <c r="D2715" s="19"/>
      <c r="E2715" s="57"/>
      <c r="H2715" s="18"/>
    </row>
    <row r="2716">
      <c r="C2716" s="18"/>
      <c r="D2716" s="19"/>
      <c r="E2716" s="57"/>
      <c r="H2716" s="18"/>
    </row>
    <row r="2717">
      <c r="C2717" s="18"/>
      <c r="D2717" s="19"/>
      <c r="E2717" s="57"/>
      <c r="H2717" s="18"/>
    </row>
    <row r="2718">
      <c r="C2718" s="18"/>
      <c r="D2718" s="19"/>
      <c r="E2718" s="57"/>
      <c r="H2718" s="18"/>
    </row>
    <row r="2719">
      <c r="C2719" s="18"/>
      <c r="D2719" s="19"/>
      <c r="E2719" s="57"/>
      <c r="H2719" s="18"/>
    </row>
    <row r="2720">
      <c r="C2720" s="18"/>
      <c r="D2720" s="19"/>
      <c r="E2720" s="57"/>
      <c r="H2720" s="18"/>
    </row>
    <row r="2721">
      <c r="C2721" s="18"/>
      <c r="D2721" s="19"/>
      <c r="E2721" s="57"/>
      <c r="H2721" s="18"/>
    </row>
    <row r="2722">
      <c r="C2722" s="18"/>
      <c r="D2722" s="19"/>
      <c r="E2722" s="57"/>
      <c r="H2722" s="18"/>
    </row>
    <row r="2723">
      <c r="C2723" s="18"/>
      <c r="D2723" s="19"/>
      <c r="E2723" s="57"/>
      <c r="H2723" s="18"/>
    </row>
    <row r="2724">
      <c r="C2724" s="18"/>
      <c r="D2724" s="19"/>
      <c r="E2724" s="57"/>
      <c r="H2724" s="18"/>
    </row>
    <row r="2725">
      <c r="C2725" s="18"/>
      <c r="D2725" s="19"/>
      <c r="E2725" s="57"/>
      <c r="H2725" s="18"/>
    </row>
    <row r="2726">
      <c r="C2726" s="18"/>
      <c r="D2726" s="19"/>
      <c r="E2726" s="57"/>
      <c r="H2726" s="18"/>
    </row>
    <row r="2727">
      <c r="C2727" s="18"/>
      <c r="D2727" s="19"/>
      <c r="E2727" s="57"/>
      <c r="H2727" s="18"/>
    </row>
    <row r="2728">
      <c r="C2728" s="18"/>
      <c r="D2728" s="19"/>
      <c r="E2728" s="57"/>
      <c r="H2728" s="18"/>
    </row>
    <row r="2729">
      <c r="C2729" s="18"/>
      <c r="D2729" s="19"/>
      <c r="E2729" s="57"/>
      <c r="H2729" s="18"/>
    </row>
    <row r="2730">
      <c r="C2730" s="18"/>
      <c r="D2730" s="19"/>
      <c r="E2730" s="57"/>
      <c r="H2730" s="18"/>
    </row>
    <row r="2731">
      <c r="C2731" s="18"/>
      <c r="D2731" s="19"/>
      <c r="E2731" s="57"/>
      <c r="H2731" s="18"/>
    </row>
    <row r="2732">
      <c r="C2732" s="18"/>
      <c r="D2732" s="19"/>
      <c r="E2732" s="57"/>
      <c r="H2732" s="18"/>
    </row>
    <row r="2733">
      <c r="C2733" s="18"/>
      <c r="D2733" s="19"/>
      <c r="E2733" s="57"/>
      <c r="H2733" s="18"/>
    </row>
    <row r="2734">
      <c r="C2734" s="18"/>
      <c r="D2734" s="19"/>
      <c r="E2734" s="57"/>
      <c r="H2734" s="18"/>
    </row>
    <row r="2735">
      <c r="C2735" s="18"/>
      <c r="D2735" s="19"/>
      <c r="E2735" s="57"/>
      <c r="H2735" s="18"/>
    </row>
    <row r="2736">
      <c r="C2736" s="18"/>
      <c r="D2736" s="19"/>
      <c r="E2736" s="57"/>
      <c r="H2736" s="18"/>
    </row>
    <row r="2737">
      <c r="C2737" s="18"/>
      <c r="D2737" s="19"/>
      <c r="E2737" s="57"/>
      <c r="H2737" s="18"/>
    </row>
    <row r="2738">
      <c r="C2738" s="18"/>
      <c r="D2738" s="19"/>
      <c r="E2738" s="57"/>
      <c r="H2738" s="18"/>
    </row>
    <row r="2739">
      <c r="C2739" s="18"/>
      <c r="D2739" s="19"/>
      <c r="E2739" s="57"/>
      <c r="H2739" s="18"/>
    </row>
    <row r="2740">
      <c r="C2740" s="18"/>
      <c r="D2740" s="19"/>
      <c r="E2740" s="57"/>
      <c r="H2740" s="18"/>
    </row>
    <row r="2741">
      <c r="C2741" s="18"/>
      <c r="D2741" s="19"/>
      <c r="E2741" s="57"/>
      <c r="H2741" s="18"/>
    </row>
    <row r="2742">
      <c r="C2742" s="18"/>
      <c r="D2742" s="19"/>
      <c r="E2742" s="57"/>
      <c r="H2742" s="18"/>
    </row>
    <row r="2743">
      <c r="C2743" s="18"/>
      <c r="D2743" s="19"/>
      <c r="E2743" s="57"/>
      <c r="H2743" s="18"/>
    </row>
    <row r="2744">
      <c r="C2744" s="18"/>
      <c r="D2744" s="19"/>
      <c r="E2744" s="57"/>
      <c r="H2744" s="18"/>
    </row>
    <row r="2745">
      <c r="C2745" s="18"/>
      <c r="D2745" s="19"/>
      <c r="E2745" s="57"/>
      <c r="H2745" s="18"/>
    </row>
    <row r="2746">
      <c r="C2746" s="18"/>
      <c r="D2746" s="19"/>
      <c r="E2746" s="57"/>
      <c r="H2746" s="18"/>
    </row>
    <row r="2747">
      <c r="C2747" s="18"/>
      <c r="D2747" s="19"/>
      <c r="E2747" s="57"/>
      <c r="H2747" s="18"/>
    </row>
    <row r="2748">
      <c r="C2748" s="18"/>
      <c r="D2748" s="19"/>
      <c r="E2748" s="57"/>
      <c r="H2748" s="18"/>
    </row>
    <row r="2749">
      <c r="C2749" s="18"/>
      <c r="D2749" s="19"/>
      <c r="E2749" s="57"/>
      <c r="H2749" s="18"/>
    </row>
    <row r="2750">
      <c r="C2750" s="18"/>
      <c r="D2750" s="19"/>
      <c r="E2750" s="57"/>
      <c r="H2750" s="18"/>
    </row>
    <row r="2751">
      <c r="C2751" s="18"/>
      <c r="D2751" s="19"/>
      <c r="E2751" s="57"/>
      <c r="H2751" s="18"/>
    </row>
    <row r="2752">
      <c r="C2752" s="18"/>
      <c r="D2752" s="19"/>
      <c r="E2752" s="57"/>
      <c r="H2752" s="18"/>
    </row>
    <row r="2753">
      <c r="C2753" s="18"/>
      <c r="D2753" s="19"/>
      <c r="E2753" s="57"/>
      <c r="H2753" s="18"/>
    </row>
    <row r="2754">
      <c r="C2754" s="18"/>
      <c r="D2754" s="19"/>
      <c r="E2754" s="57"/>
      <c r="H2754" s="18"/>
    </row>
    <row r="2755">
      <c r="C2755" s="18"/>
      <c r="D2755" s="19"/>
      <c r="E2755" s="57"/>
      <c r="H2755" s="18"/>
    </row>
    <row r="2756">
      <c r="C2756" s="18"/>
      <c r="D2756" s="19"/>
      <c r="E2756" s="57"/>
      <c r="H2756" s="18"/>
    </row>
    <row r="2757">
      <c r="C2757" s="18"/>
      <c r="D2757" s="19"/>
      <c r="E2757" s="57"/>
      <c r="H2757" s="18"/>
    </row>
    <row r="2758">
      <c r="C2758" s="18"/>
      <c r="D2758" s="19"/>
      <c r="E2758" s="57"/>
      <c r="H2758" s="18"/>
    </row>
    <row r="2759">
      <c r="C2759" s="18"/>
      <c r="D2759" s="19"/>
      <c r="E2759" s="57"/>
      <c r="H2759" s="18"/>
    </row>
    <row r="2760">
      <c r="C2760" s="18"/>
      <c r="D2760" s="19"/>
      <c r="E2760" s="57"/>
      <c r="H2760" s="18"/>
    </row>
    <row r="2761">
      <c r="C2761" s="18"/>
      <c r="D2761" s="19"/>
      <c r="E2761" s="57"/>
      <c r="H2761" s="18"/>
    </row>
    <row r="2762">
      <c r="C2762" s="18"/>
      <c r="D2762" s="19"/>
      <c r="E2762" s="57"/>
      <c r="H2762" s="18"/>
    </row>
    <row r="2763">
      <c r="C2763" s="18"/>
      <c r="D2763" s="19"/>
      <c r="E2763" s="57"/>
      <c r="H2763" s="18"/>
    </row>
    <row r="2764">
      <c r="C2764" s="18"/>
      <c r="D2764" s="19"/>
      <c r="E2764" s="57"/>
      <c r="H2764" s="18"/>
    </row>
    <row r="2765">
      <c r="C2765" s="18"/>
      <c r="D2765" s="19"/>
      <c r="E2765" s="57"/>
      <c r="H2765" s="18"/>
    </row>
    <row r="2766">
      <c r="C2766" s="18"/>
      <c r="D2766" s="19"/>
      <c r="E2766" s="57"/>
      <c r="H2766" s="18"/>
    </row>
    <row r="2767">
      <c r="C2767" s="18"/>
      <c r="D2767" s="19"/>
      <c r="E2767" s="57"/>
      <c r="H2767" s="18"/>
    </row>
    <row r="2768">
      <c r="C2768" s="18"/>
      <c r="D2768" s="19"/>
      <c r="E2768" s="57"/>
      <c r="H2768" s="18"/>
    </row>
    <row r="2769">
      <c r="C2769" s="18"/>
      <c r="D2769" s="19"/>
      <c r="E2769" s="57"/>
      <c r="H2769" s="18"/>
    </row>
    <row r="2770">
      <c r="C2770" s="18"/>
      <c r="D2770" s="19"/>
      <c r="E2770" s="57"/>
      <c r="H2770" s="18"/>
    </row>
    <row r="2771">
      <c r="C2771" s="18"/>
      <c r="D2771" s="19"/>
      <c r="E2771" s="57"/>
      <c r="H2771" s="18"/>
    </row>
    <row r="2772">
      <c r="C2772" s="18"/>
      <c r="D2772" s="19"/>
      <c r="E2772" s="57"/>
      <c r="H2772" s="18"/>
    </row>
    <row r="2773">
      <c r="C2773" s="18"/>
      <c r="D2773" s="19"/>
      <c r="E2773" s="57"/>
      <c r="H2773" s="18"/>
    </row>
    <row r="2774">
      <c r="C2774" s="18"/>
      <c r="D2774" s="19"/>
      <c r="E2774" s="57"/>
      <c r="H2774" s="18"/>
    </row>
    <row r="2775">
      <c r="C2775" s="18"/>
      <c r="D2775" s="19"/>
      <c r="E2775" s="57"/>
      <c r="H2775" s="18"/>
    </row>
    <row r="2776">
      <c r="C2776" s="18"/>
      <c r="D2776" s="19"/>
      <c r="E2776" s="57"/>
      <c r="H2776" s="18"/>
    </row>
    <row r="2777">
      <c r="C2777" s="18"/>
      <c r="D2777" s="19"/>
      <c r="E2777" s="57"/>
      <c r="H2777" s="18"/>
    </row>
    <row r="2778">
      <c r="C2778" s="18"/>
      <c r="D2778" s="19"/>
      <c r="E2778" s="57"/>
      <c r="H2778" s="18"/>
    </row>
    <row r="2779">
      <c r="C2779" s="18"/>
      <c r="D2779" s="19"/>
      <c r="E2779" s="57"/>
      <c r="H2779" s="18"/>
    </row>
    <row r="2780">
      <c r="C2780" s="18"/>
      <c r="D2780" s="19"/>
      <c r="E2780" s="57"/>
      <c r="H2780" s="18"/>
    </row>
    <row r="2781">
      <c r="C2781" s="18"/>
      <c r="D2781" s="19"/>
      <c r="E2781" s="57"/>
      <c r="H2781" s="18"/>
    </row>
    <row r="2782">
      <c r="C2782" s="18"/>
      <c r="D2782" s="19"/>
      <c r="E2782" s="57"/>
      <c r="H2782" s="18"/>
    </row>
    <row r="2783">
      <c r="C2783" s="18"/>
      <c r="D2783" s="19"/>
      <c r="E2783" s="57"/>
      <c r="H2783" s="18"/>
    </row>
    <row r="2784">
      <c r="C2784" s="18"/>
      <c r="D2784" s="19"/>
      <c r="E2784" s="57"/>
      <c r="H2784" s="18"/>
    </row>
    <row r="2785">
      <c r="C2785" s="18"/>
      <c r="D2785" s="19"/>
      <c r="E2785" s="57"/>
      <c r="H2785" s="18"/>
    </row>
    <row r="2786">
      <c r="C2786" s="18"/>
      <c r="D2786" s="19"/>
      <c r="E2786" s="57"/>
      <c r="H2786" s="18"/>
    </row>
    <row r="2787">
      <c r="C2787" s="18"/>
      <c r="D2787" s="19"/>
      <c r="E2787" s="57"/>
      <c r="H2787" s="18"/>
    </row>
    <row r="2788">
      <c r="C2788" s="18"/>
      <c r="D2788" s="19"/>
      <c r="E2788" s="57"/>
      <c r="H2788" s="18"/>
    </row>
    <row r="2789">
      <c r="C2789" s="18"/>
      <c r="D2789" s="19"/>
      <c r="E2789" s="57"/>
      <c r="H2789" s="18"/>
    </row>
    <row r="2790">
      <c r="C2790" s="18"/>
      <c r="D2790" s="19"/>
      <c r="E2790" s="57"/>
      <c r="H2790" s="18"/>
    </row>
    <row r="2791">
      <c r="C2791" s="18"/>
      <c r="D2791" s="19"/>
      <c r="E2791" s="57"/>
      <c r="H2791" s="18"/>
    </row>
    <row r="2792">
      <c r="C2792" s="18"/>
      <c r="D2792" s="19"/>
      <c r="E2792" s="57"/>
      <c r="H2792" s="18"/>
    </row>
    <row r="2793">
      <c r="C2793" s="18"/>
      <c r="D2793" s="19"/>
      <c r="E2793" s="57"/>
      <c r="H2793" s="18"/>
    </row>
    <row r="2794">
      <c r="C2794" s="18"/>
      <c r="D2794" s="19"/>
      <c r="E2794" s="57"/>
      <c r="H2794" s="18"/>
    </row>
    <row r="2795">
      <c r="C2795" s="18"/>
      <c r="D2795" s="19"/>
      <c r="E2795" s="57"/>
      <c r="H2795" s="18"/>
    </row>
    <row r="2796">
      <c r="C2796" s="18"/>
      <c r="D2796" s="19"/>
      <c r="E2796" s="57"/>
      <c r="H2796" s="18"/>
    </row>
    <row r="2797">
      <c r="C2797" s="18"/>
      <c r="D2797" s="19"/>
      <c r="E2797" s="57"/>
      <c r="H2797" s="18"/>
    </row>
    <row r="2798">
      <c r="C2798" s="18"/>
      <c r="D2798" s="19"/>
      <c r="E2798" s="57"/>
      <c r="H2798" s="18"/>
    </row>
    <row r="2799">
      <c r="C2799" s="18"/>
      <c r="D2799" s="19"/>
      <c r="E2799" s="57"/>
      <c r="H2799" s="18"/>
    </row>
    <row r="2800">
      <c r="C2800" s="18"/>
      <c r="D2800" s="19"/>
      <c r="E2800" s="57"/>
      <c r="H2800" s="18"/>
    </row>
    <row r="2801">
      <c r="C2801" s="18"/>
      <c r="D2801" s="19"/>
      <c r="E2801" s="57"/>
      <c r="H2801" s="18"/>
    </row>
    <row r="2802">
      <c r="C2802" s="18"/>
      <c r="D2802" s="19"/>
      <c r="E2802" s="57"/>
      <c r="H2802" s="18"/>
    </row>
    <row r="2803">
      <c r="C2803" s="18"/>
      <c r="D2803" s="19"/>
      <c r="E2803" s="57"/>
      <c r="H2803" s="18"/>
    </row>
    <row r="2804">
      <c r="C2804" s="18"/>
      <c r="D2804" s="19"/>
      <c r="E2804" s="57"/>
      <c r="H2804" s="18"/>
    </row>
    <row r="2805">
      <c r="C2805" s="18"/>
      <c r="D2805" s="19"/>
      <c r="E2805" s="57"/>
      <c r="H2805" s="18"/>
    </row>
    <row r="2806">
      <c r="C2806" s="18"/>
      <c r="D2806" s="19"/>
      <c r="E2806" s="57"/>
      <c r="H2806" s="18"/>
    </row>
    <row r="2807">
      <c r="C2807" s="18"/>
      <c r="D2807" s="19"/>
      <c r="E2807" s="57"/>
      <c r="H2807" s="18"/>
    </row>
    <row r="2808">
      <c r="C2808" s="18"/>
      <c r="D2808" s="19"/>
      <c r="E2808" s="57"/>
      <c r="H2808" s="18"/>
    </row>
    <row r="2809">
      <c r="C2809" s="18"/>
      <c r="D2809" s="19"/>
      <c r="E2809" s="57"/>
      <c r="H2809" s="18"/>
    </row>
    <row r="2810">
      <c r="C2810" s="18"/>
      <c r="D2810" s="19"/>
      <c r="E2810" s="57"/>
      <c r="H2810" s="18"/>
    </row>
    <row r="2811">
      <c r="C2811" s="18"/>
      <c r="D2811" s="19"/>
      <c r="E2811" s="57"/>
      <c r="H2811" s="18"/>
    </row>
    <row r="2812">
      <c r="C2812" s="18"/>
      <c r="D2812" s="19"/>
      <c r="E2812" s="57"/>
      <c r="H2812" s="18"/>
    </row>
    <row r="2813">
      <c r="C2813" s="18"/>
      <c r="D2813" s="19"/>
      <c r="E2813" s="57"/>
      <c r="H2813" s="18"/>
    </row>
    <row r="2814">
      <c r="C2814" s="18"/>
      <c r="D2814" s="19"/>
      <c r="E2814" s="57"/>
      <c r="H2814" s="18"/>
    </row>
    <row r="2815">
      <c r="C2815" s="18"/>
      <c r="D2815" s="19"/>
      <c r="E2815" s="57"/>
      <c r="H2815" s="18"/>
    </row>
    <row r="2816">
      <c r="C2816" s="18"/>
      <c r="D2816" s="19"/>
      <c r="E2816" s="57"/>
      <c r="H2816" s="18"/>
    </row>
    <row r="2817">
      <c r="C2817" s="18"/>
      <c r="D2817" s="19"/>
      <c r="E2817" s="57"/>
      <c r="H2817" s="18"/>
    </row>
    <row r="2818">
      <c r="C2818" s="18"/>
      <c r="D2818" s="19"/>
      <c r="E2818" s="57"/>
      <c r="H2818" s="18"/>
    </row>
    <row r="2819">
      <c r="C2819" s="18"/>
      <c r="D2819" s="19"/>
      <c r="E2819" s="57"/>
      <c r="H2819" s="18"/>
    </row>
    <row r="2820">
      <c r="C2820" s="18"/>
      <c r="D2820" s="19"/>
      <c r="E2820" s="57"/>
      <c r="H2820" s="18"/>
    </row>
    <row r="2821">
      <c r="C2821" s="18"/>
      <c r="D2821" s="19"/>
      <c r="E2821" s="57"/>
      <c r="H2821" s="18"/>
    </row>
    <row r="2822">
      <c r="C2822" s="18"/>
      <c r="D2822" s="19"/>
      <c r="E2822" s="57"/>
      <c r="H2822" s="18"/>
    </row>
    <row r="2823">
      <c r="C2823" s="18"/>
      <c r="D2823" s="19"/>
      <c r="E2823" s="57"/>
      <c r="H2823" s="18"/>
    </row>
    <row r="2824">
      <c r="C2824" s="18"/>
      <c r="D2824" s="19"/>
      <c r="E2824" s="57"/>
      <c r="H2824" s="18"/>
    </row>
    <row r="2825">
      <c r="C2825" s="18"/>
      <c r="D2825" s="19"/>
      <c r="E2825" s="57"/>
      <c r="H2825" s="18"/>
    </row>
    <row r="2826">
      <c r="C2826" s="18"/>
      <c r="D2826" s="19"/>
      <c r="E2826" s="57"/>
      <c r="H2826" s="18"/>
    </row>
    <row r="2827">
      <c r="C2827" s="18"/>
      <c r="D2827" s="19"/>
      <c r="E2827" s="57"/>
      <c r="H2827" s="18"/>
    </row>
    <row r="2828">
      <c r="C2828" s="18"/>
      <c r="D2828" s="19"/>
      <c r="E2828" s="57"/>
      <c r="H2828" s="18"/>
    </row>
    <row r="2829">
      <c r="C2829" s="18"/>
      <c r="D2829" s="19"/>
      <c r="E2829" s="57"/>
      <c r="H2829" s="18"/>
    </row>
    <row r="2830">
      <c r="C2830" s="18"/>
      <c r="D2830" s="19"/>
      <c r="E2830" s="57"/>
      <c r="H2830" s="18"/>
    </row>
    <row r="2831">
      <c r="C2831" s="18"/>
      <c r="D2831" s="19"/>
      <c r="E2831" s="57"/>
      <c r="H2831" s="18"/>
    </row>
    <row r="2832">
      <c r="C2832" s="18"/>
      <c r="D2832" s="19"/>
      <c r="E2832" s="57"/>
      <c r="H2832" s="18"/>
    </row>
    <row r="2833">
      <c r="C2833" s="18"/>
      <c r="D2833" s="19"/>
      <c r="E2833" s="57"/>
      <c r="H2833" s="18"/>
    </row>
    <row r="2834">
      <c r="C2834" s="18"/>
      <c r="D2834" s="19"/>
      <c r="E2834" s="57"/>
      <c r="H2834" s="18"/>
    </row>
    <row r="2835">
      <c r="C2835" s="18"/>
      <c r="D2835" s="19"/>
      <c r="E2835" s="57"/>
      <c r="H2835" s="18"/>
    </row>
    <row r="2836">
      <c r="C2836" s="18"/>
      <c r="D2836" s="19"/>
      <c r="E2836" s="57"/>
      <c r="H2836" s="18"/>
    </row>
    <row r="2837">
      <c r="C2837" s="18"/>
      <c r="D2837" s="19"/>
      <c r="E2837" s="57"/>
      <c r="H2837" s="18"/>
    </row>
    <row r="2838">
      <c r="C2838" s="18"/>
      <c r="D2838" s="19"/>
      <c r="E2838" s="57"/>
      <c r="H2838" s="18"/>
    </row>
    <row r="2839">
      <c r="C2839" s="18"/>
      <c r="D2839" s="19"/>
      <c r="E2839" s="57"/>
      <c r="H2839" s="18"/>
    </row>
    <row r="2840">
      <c r="C2840" s="18"/>
      <c r="D2840" s="19"/>
      <c r="E2840" s="57"/>
      <c r="H2840" s="18"/>
    </row>
    <row r="2841">
      <c r="C2841" s="18"/>
      <c r="D2841" s="19"/>
      <c r="E2841" s="57"/>
      <c r="H2841" s="18"/>
    </row>
    <row r="2842">
      <c r="C2842" s="18"/>
      <c r="D2842" s="19"/>
      <c r="E2842" s="57"/>
      <c r="H2842" s="18"/>
    </row>
    <row r="2843">
      <c r="C2843" s="18"/>
      <c r="D2843" s="19"/>
      <c r="E2843" s="57"/>
      <c r="H2843" s="18"/>
    </row>
    <row r="2844">
      <c r="C2844" s="18"/>
      <c r="D2844" s="19"/>
      <c r="E2844" s="57"/>
      <c r="H2844" s="18"/>
    </row>
    <row r="2845">
      <c r="C2845" s="18"/>
      <c r="D2845" s="19"/>
      <c r="E2845" s="57"/>
      <c r="H2845" s="18"/>
    </row>
    <row r="2846">
      <c r="C2846" s="18"/>
      <c r="D2846" s="19"/>
      <c r="E2846" s="57"/>
      <c r="H2846" s="18"/>
    </row>
    <row r="2847">
      <c r="C2847" s="18"/>
      <c r="D2847" s="19"/>
      <c r="E2847" s="57"/>
      <c r="H2847" s="18"/>
    </row>
    <row r="2848">
      <c r="C2848" s="18"/>
      <c r="D2848" s="19"/>
      <c r="E2848" s="57"/>
      <c r="H2848" s="18"/>
    </row>
    <row r="2849">
      <c r="C2849" s="18"/>
      <c r="D2849" s="19"/>
      <c r="E2849" s="57"/>
      <c r="H2849" s="18"/>
    </row>
    <row r="2850">
      <c r="C2850" s="18"/>
      <c r="D2850" s="19"/>
      <c r="E2850" s="57"/>
      <c r="H2850" s="18"/>
    </row>
    <row r="2851">
      <c r="C2851" s="18"/>
      <c r="D2851" s="19"/>
      <c r="E2851" s="57"/>
      <c r="H2851" s="18"/>
    </row>
    <row r="2852">
      <c r="C2852" s="18"/>
      <c r="D2852" s="19"/>
      <c r="E2852" s="57"/>
      <c r="H2852" s="18"/>
    </row>
    <row r="2853">
      <c r="C2853" s="18"/>
      <c r="D2853" s="19"/>
      <c r="E2853" s="57"/>
      <c r="H2853" s="18"/>
    </row>
    <row r="2854">
      <c r="C2854" s="18"/>
      <c r="D2854" s="19"/>
      <c r="E2854" s="57"/>
      <c r="H2854" s="18"/>
    </row>
    <row r="2855">
      <c r="C2855" s="18"/>
      <c r="D2855" s="19"/>
      <c r="E2855" s="57"/>
      <c r="H2855" s="18"/>
    </row>
    <row r="2856">
      <c r="C2856" s="18"/>
      <c r="D2856" s="19"/>
      <c r="E2856" s="57"/>
      <c r="H2856" s="18"/>
    </row>
    <row r="2857">
      <c r="C2857" s="18"/>
      <c r="D2857" s="19"/>
      <c r="E2857" s="57"/>
      <c r="H2857" s="18"/>
    </row>
    <row r="2858">
      <c r="C2858" s="18"/>
      <c r="D2858" s="19"/>
      <c r="E2858" s="57"/>
      <c r="H2858" s="18"/>
    </row>
    <row r="2859">
      <c r="C2859" s="18"/>
      <c r="D2859" s="19"/>
      <c r="E2859" s="57"/>
      <c r="H2859" s="18"/>
    </row>
    <row r="2860">
      <c r="C2860" s="18"/>
      <c r="D2860" s="19"/>
      <c r="E2860" s="57"/>
      <c r="H2860" s="18"/>
    </row>
    <row r="2861">
      <c r="C2861" s="18"/>
      <c r="D2861" s="19"/>
      <c r="E2861" s="57"/>
      <c r="H2861" s="18"/>
    </row>
    <row r="2862">
      <c r="C2862" s="18"/>
      <c r="D2862" s="19"/>
      <c r="E2862" s="57"/>
      <c r="H2862" s="18"/>
    </row>
    <row r="2863">
      <c r="C2863" s="18"/>
      <c r="D2863" s="19"/>
      <c r="E2863" s="57"/>
      <c r="H2863" s="18"/>
    </row>
    <row r="2864">
      <c r="C2864" s="18"/>
      <c r="D2864" s="19"/>
      <c r="E2864" s="57"/>
      <c r="H2864" s="18"/>
    </row>
    <row r="2865">
      <c r="C2865" s="18"/>
      <c r="D2865" s="19"/>
      <c r="E2865" s="57"/>
      <c r="H2865" s="18"/>
    </row>
    <row r="2866">
      <c r="C2866" s="18"/>
      <c r="D2866" s="19"/>
      <c r="E2866" s="57"/>
      <c r="H2866" s="18"/>
    </row>
    <row r="2867">
      <c r="C2867" s="18"/>
      <c r="D2867" s="19"/>
      <c r="E2867" s="57"/>
      <c r="H2867" s="18"/>
    </row>
    <row r="2868">
      <c r="C2868" s="18"/>
      <c r="D2868" s="19"/>
      <c r="E2868" s="57"/>
      <c r="H2868" s="18"/>
    </row>
    <row r="2869">
      <c r="C2869" s="18"/>
      <c r="D2869" s="19"/>
      <c r="E2869" s="57"/>
      <c r="H2869" s="18"/>
    </row>
    <row r="2870">
      <c r="C2870" s="18"/>
      <c r="D2870" s="19"/>
      <c r="E2870" s="57"/>
      <c r="H2870" s="18"/>
    </row>
    <row r="2871">
      <c r="C2871" s="18"/>
      <c r="D2871" s="19"/>
      <c r="E2871" s="57"/>
      <c r="H2871" s="18"/>
    </row>
    <row r="2872">
      <c r="C2872" s="18"/>
      <c r="D2872" s="19"/>
      <c r="E2872" s="57"/>
      <c r="H2872" s="18"/>
    </row>
    <row r="2873">
      <c r="C2873" s="18"/>
      <c r="D2873" s="19"/>
      <c r="E2873" s="57"/>
      <c r="H2873" s="18"/>
    </row>
    <row r="2874">
      <c r="C2874" s="18"/>
      <c r="D2874" s="19"/>
      <c r="E2874" s="57"/>
      <c r="H2874" s="18"/>
    </row>
    <row r="2875">
      <c r="C2875" s="18"/>
      <c r="D2875" s="19"/>
      <c r="E2875" s="57"/>
      <c r="H2875" s="18"/>
    </row>
    <row r="2876">
      <c r="C2876" s="18"/>
      <c r="D2876" s="19"/>
      <c r="E2876" s="57"/>
      <c r="H2876" s="18"/>
    </row>
    <row r="2877">
      <c r="C2877" s="18"/>
      <c r="D2877" s="19"/>
      <c r="E2877" s="57"/>
      <c r="H2877" s="18"/>
    </row>
    <row r="2878">
      <c r="C2878" s="18"/>
      <c r="D2878" s="19"/>
      <c r="E2878" s="57"/>
      <c r="H2878" s="18"/>
    </row>
    <row r="2879">
      <c r="C2879" s="18"/>
      <c r="D2879" s="19"/>
      <c r="E2879" s="57"/>
      <c r="H2879" s="18"/>
    </row>
    <row r="2880">
      <c r="C2880" s="18"/>
      <c r="D2880" s="19"/>
      <c r="E2880" s="57"/>
      <c r="H2880" s="18"/>
    </row>
    <row r="2881">
      <c r="C2881" s="18"/>
      <c r="D2881" s="19"/>
      <c r="E2881" s="57"/>
      <c r="H2881" s="18"/>
    </row>
    <row r="2882">
      <c r="C2882" s="18"/>
      <c r="D2882" s="19"/>
      <c r="E2882" s="57"/>
      <c r="H2882" s="18"/>
    </row>
    <row r="2883">
      <c r="C2883" s="18"/>
      <c r="D2883" s="19"/>
      <c r="E2883" s="57"/>
      <c r="H2883" s="18"/>
    </row>
    <row r="2884">
      <c r="C2884" s="18"/>
      <c r="D2884" s="19"/>
      <c r="E2884" s="57"/>
      <c r="H2884" s="18"/>
    </row>
    <row r="2885">
      <c r="C2885" s="18"/>
      <c r="D2885" s="19"/>
      <c r="E2885" s="57"/>
      <c r="H2885" s="18"/>
    </row>
    <row r="2886">
      <c r="C2886" s="18"/>
      <c r="D2886" s="19"/>
      <c r="E2886" s="57"/>
      <c r="H2886" s="18"/>
    </row>
    <row r="2887">
      <c r="C2887" s="18"/>
      <c r="D2887" s="19"/>
      <c r="E2887" s="57"/>
      <c r="H2887" s="18"/>
    </row>
    <row r="2888">
      <c r="C2888" s="18"/>
      <c r="D2888" s="19"/>
      <c r="E2888" s="57"/>
      <c r="H2888" s="18"/>
    </row>
    <row r="2889">
      <c r="C2889" s="18"/>
      <c r="D2889" s="19"/>
      <c r="E2889" s="57"/>
      <c r="H2889" s="18"/>
    </row>
    <row r="2890">
      <c r="C2890" s="18"/>
      <c r="D2890" s="19"/>
      <c r="E2890" s="57"/>
      <c r="H2890" s="18"/>
    </row>
    <row r="2891">
      <c r="C2891" s="18"/>
      <c r="D2891" s="19"/>
      <c r="E2891" s="57"/>
      <c r="H2891" s="18"/>
    </row>
    <row r="2892">
      <c r="C2892" s="18"/>
      <c r="D2892" s="19"/>
      <c r="E2892" s="57"/>
      <c r="H2892" s="18"/>
    </row>
    <row r="2893">
      <c r="C2893" s="18"/>
      <c r="D2893" s="19"/>
      <c r="E2893" s="57"/>
      <c r="H2893" s="18"/>
    </row>
    <row r="2894">
      <c r="C2894" s="18"/>
      <c r="D2894" s="19"/>
      <c r="E2894" s="57"/>
      <c r="H2894" s="18"/>
    </row>
    <row r="2895">
      <c r="C2895" s="18"/>
      <c r="D2895" s="19"/>
      <c r="E2895" s="57"/>
      <c r="H2895" s="18"/>
    </row>
    <row r="2896">
      <c r="C2896" s="18"/>
      <c r="D2896" s="19"/>
      <c r="E2896" s="57"/>
      <c r="H2896" s="18"/>
    </row>
    <row r="2897">
      <c r="C2897" s="18"/>
      <c r="D2897" s="19"/>
      <c r="E2897" s="57"/>
      <c r="H2897" s="18"/>
    </row>
    <row r="2898">
      <c r="C2898" s="18"/>
      <c r="D2898" s="19"/>
      <c r="E2898" s="57"/>
      <c r="H2898" s="18"/>
    </row>
    <row r="2899">
      <c r="C2899" s="18"/>
      <c r="D2899" s="19"/>
      <c r="E2899" s="57"/>
      <c r="H2899" s="18"/>
    </row>
    <row r="2900">
      <c r="C2900" s="18"/>
      <c r="D2900" s="19"/>
      <c r="E2900" s="57"/>
      <c r="H2900" s="18"/>
    </row>
    <row r="2901">
      <c r="C2901" s="18"/>
      <c r="D2901" s="19"/>
      <c r="E2901" s="57"/>
      <c r="H2901" s="18"/>
    </row>
    <row r="2902">
      <c r="C2902" s="18"/>
      <c r="D2902" s="19"/>
      <c r="E2902" s="57"/>
      <c r="H2902" s="18"/>
    </row>
    <row r="2903">
      <c r="C2903" s="18"/>
      <c r="D2903" s="19"/>
      <c r="E2903" s="57"/>
      <c r="H2903" s="18"/>
    </row>
    <row r="2904">
      <c r="C2904" s="18"/>
      <c r="D2904" s="19"/>
      <c r="E2904" s="57"/>
      <c r="H2904" s="18"/>
    </row>
    <row r="2905">
      <c r="C2905" s="18"/>
      <c r="D2905" s="19"/>
      <c r="E2905" s="57"/>
      <c r="H2905" s="18"/>
    </row>
    <row r="2906">
      <c r="C2906" s="18"/>
      <c r="D2906" s="19"/>
      <c r="E2906" s="57"/>
      <c r="H2906" s="18"/>
    </row>
    <row r="2907">
      <c r="C2907" s="18"/>
      <c r="D2907" s="19"/>
      <c r="E2907" s="57"/>
      <c r="H2907" s="18"/>
    </row>
    <row r="2908">
      <c r="C2908" s="18"/>
      <c r="D2908" s="19"/>
      <c r="E2908" s="57"/>
      <c r="H2908" s="18"/>
    </row>
    <row r="2909">
      <c r="C2909" s="18"/>
      <c r="D2909" s="19"/>
      <c r="E2909" s="57"/>
      <c r="H2909" s="18"/>
    </row>
    <row r="2910">
      <c r="C2910" s="18"/>
      <c r="D2910" s="19"/>
      <c r="E2910" s="57"/>
      <c r="H2910" s="18"/>
    </row>
    <row r="2911">
      <c r="C2911" s="18"/>
      <c r="D2911" s="19"/>
      <c r="E2911" s="57"/>
      <c r="H2911" s="18"/>
    </row>
    <row r="2912">
      <c r="C2912" s="18"/>
      <c r="D2912" s="19"/>
      <c r="E2912" s="57"/>
      <c r="H2912" s="18"/>
    </row>
    <row r="2913">
      <c r="C2913" s="18"/>
      <c r="D2913" s="19"/>
      <c r="E2913" s="57"/>
      <c r="H2913" s="18"/>
    </row>
    <row r="2914">
      <c r="C2914" s="18"/>
      <c r="D2914" s="19"/>
      <c r="E2914" s="57"/>
      <c r="H2914" s="18"/>
    </row>
    <row r="2915">
      <c r="C2915" s="18"/>
      <c r="D2915" s="19"/>
      <c r="E2915" s="57"/>
      <c r="H2915" s="18"/>
    </row>
    <row r="2916">
      <c r="C2916" s="18"/>
      <c r="D2916" s="19"/>
      <c r="E2916" s="57"/>
      <c r="H2916" s="18"/>
    </row>
    <row r="2917">
      <c r="C2917" s="18"/>
      <c r="D2917" s="19"/>
      <c r="E2917" s="57"/>
      <c r="H2917" s="18"/>
    </row>
    <row r="2918">
      <c r="C2918" s="18"/>
      <c r="D2918" s="19"/>
      <c r="E2918" s="57"/>
      <c r="H2918" s="18"/>
    </row>
    <row r="2919">
      <c r="C2919" s="18"/>
      <c r="D2919" s="19"/>
      <c r="E2919" s="57"/>
      <c r="H2919" s="18"/>
    </row>
    <row r="2920">
      <c r="C2920" s="18"/>
      <c r="D2920" s="19"/>
      <c r="E2920" s="57"/>
      <c r="H2920" s="18"/>
    </row>
    <row r="2921">
      <c r="C2921" s="18"/>
      <c r="D2921" s="19"/>
      <c r="E2921" s="57"/>
      <c r="H2921" s="18"/>
    </row>
    <row r="2922">
      <c r="C2922" s="18"/>
      <c r="D2922" s="19"/>
      <c r="E2922" s="57"/>
      <c r="H2922" s="18"/>
    </row>
    <row r="2923">
      <c r="C2923" s="18"/>
      <c r="D2923" s="19"/>
      <c r="E2923" s="57"/>
      <c r="H2923" s="18"/>
    </row>
    <row r="2924">
      <c r="C2924" s="18"/>
      <c r="D2924" s="19"/>
      <c r="E2924" s="57"/>
      <c r="H2924" s="18"/>
    </row>
    <row r="2925">
      <c r="C2925" s="18"/>
      <c r="D2925" s="19"/>
      <c r="E2925" s="57"/>
      <c r="H2925" s="18"/>
    </row>
    <row r="2926">
      <c r="C2926" s="18"/>
      <c r="D2926" s="19"/>
      <c r="E2926" s="57"/>
      <c r="H2926" s="18"/>
    </row>
    <row r="2927">
      <c r="C2927" s="18"/>
      <c r="D2927" s="19"/>
      <c r="E2927" s="57"/>
      <c r="H2927" s="18"/>
    </row>
    <row r="2928">
      <c r="C2928" s="18"/>
      <c r="D2928" s="19"/>
      <c r="E2928" s="57"/>
      <c r="H2928" s="18"/>
    </row>
    <row r="2929">
      <c r="C2929" s="18"/>
      <c r="D2929" s="19"/>
      <c r="E2929" s="57"/>
      <c r="H2929" s="18"/>
    </row>
    <row r="2930">
      <c r="C2930" s="18"/>
      <c r="D2930" s="19"/>
      <c r="E2930" s="57"/>
      <c r="H2930" s="18"/>
    </row>
    <row r="2931">
      <c r="C2931" s="18"/>
      <c r="D2931" s="19"/>
      <c r="E2931" s="57"/>
      <c r="H2931" s="18"/>
    </row>
    <row r="2932">
      <c r="C2932" s="18"/>
      <c r="D2932" s="19"/>
      <c r="E2932" s="57"/>
      <c r="H2932" s="18"/>
    </row>
    <row r="2933">
      <c r="C2933" s="18"/>
      <c r="D2933" s="19"/>
      <c r="E2933" s="57"/>
      <c r="H2933" s="18"/>
    </row>
    <row r="2934">
      <c r="C2934" s="18"/>
      <c r="D2934" s="19"/>
      <c r="E2934" s="57"/>
      <c r="H2934" s="18"/>
    </row>
    <row r="2935">
      <c r="C2935" s="18"/>
      <c r="D2935" s="19"/>
      <c r="E2935" s="57"/>
      <c r="H2935" s="18"/>
    </row>
    <row r="2936">
      <c r="C2936" s="18"/>
      <c r="D2936" s="19"/>
      <c r="E2936" s="57"/>
      <c r="H2936" s="18"/>
    </row>
    <row r="2937">
      <c r="C2937" s="18"/>
      <c r="D2937" s="19"/>
      <c r="E2937" s="57"/>
      <c r="H2937" s="18"/>
    </row>
    <row r="2938">
      <c r="C2938" s="18"/>
      <c r="D2938" s="19"/>
      <c r="E2938" s="57"/>
      <c r="H2938" s="18"/>
    </row>
    <row r="2939">
      <c r="C2939" s="18"/>
      <c r="D2939" s="19"/>
      <c r="E2939" s="57"/>
      <c r="H2939" s="18"/>
    </row>
    <row r="2940">
      <c r="C2940" s="18"/>
      <c r="D2940" s="19"/>
      <c r="E2940" s="57"/>
      <c r="H2940" s="18"/>
    </row>
    <row r="2941">
      <c r="C2941" s="18"/>
      <c r="D2941" s="19"/>
      <c r="E2941" s="57"/>
      <c r="H2941" s="18"/>
    </row>
    <row r="2942">
      <c r="C2942" s="18"/>
      <c r="D2942" s="19"/>
      <c r="E2942" s="57"/>
      <c r="H2942" s="18"/>
    </row>
    <row r="2943">
      <c r="C2943" s="18"/>
      <c r="D2943" s="19"/>
      <c r="E2943" s="57"/>
      <c r="H2943" s="18"/>
    </row>
    <row r="2944">
      <c r="C2944" s="18"/>
      <c r="D2944" s="19"/>
      <c r="E2944" s="57"/>
      <c r="H2944" s="18"/>
    </row>
    <row r="2945">
      <c r="C2945" s="18"/>
      <c r="D2945" s="19"/>
      <c r="E2945" s="57"/>
      <c r="H2945" s="18"/>
    </row>
    <row r="2946">
      <c r="C2946" s="18"/>
      <c r="D2946" s="19"/>
      <c r="E2946" s="57"/>
      <c r="H2946" s="18"/>
    </row>
    <row r="2947">
      <c r="C2947" s="18"/>
      <c r="D2947" s="19"/>
      <c r="E2947" s="57"/>
      <c r="H2947" s="18"/>
    </row>
    <row r="2948">
      <c r="C2948" s="18"/>
      <c r="D2948" s="19"/>
      <c r="E2948" s="57"/>
      <c r="H2948" s="18"/>
    </row>
    <row r="2949">
      <c r="C2949" s="18"/>
      <c r="D2949" s="19"/>
      <c r="E2949" s="57"/>
      <c r="H2949" s="18"/>
    </row>
    <row r="2950">
      <c r="C2950" s="18"/>
      <c r="D2950" s="19"/>
      <c r="E2950" s="57"/>
      <c r="H2950" s="18"/>
    </row>
    <row r="2951">
      <c r="C2951" s="18"/>
      <c r="D2951" s="19"/>
      <c r="E2951" s="57"/>
      <c r="H2951" s="18"/>
    </row>
    <row r="2952">
      <c r="C2952" s="18"/>
      <c r="D2952" s="19"/>
      <c r="E2952" s="57"/>
      <c r="H2952" s="18"/>
    </row>
    <row r="2953">
      <c r="C2953" s="18"/>
      <c r="D2953" s="19"/>
      <c r="E2953" s="57"/>
      <c r="H2953" s="18"/>
    </row>
    <row r="2954">
      <c r="C2954" s="18"/>
      <c r="D2954" s="19"/>
      <c r="E2954" s="57"/>
      <c r="H2954" s="18"/>
    </row>
    <row r="2955">
      <c r="C2955" s="18"/>
      <c r="D2955" s="19"/>
      <c r="E2955" s="57"/>
      <c r="H2955" s="18"/>
    </row>
    <row r="2956">
      <c r="C2956" s="18"/>
      <c r="D2956" s="19"/>
      <c r="E2956" s="57"/>
      <c r="H2956" s="18"/>
    </row>
    <row r="2957">
      <c r="C2957" s="18"/>
      <c r="D2957" s="19"/>
      <c r="E2957" s="57"/>
      <c r="H2957" s="18"/>
    </row>
    <row r="2958">
      <c r="C2958" s="18"/>
      <c r="D2958" s="19"/>
      <c r="E2958" s="57"/>
      <c r="H2958" s="18"/>
    </row>
    <row r="2959">
      <c r="C2959" s="18"/>
      <c r="D2959" s="19"/>
      <c r="E2959" s="57"/>
      <c r="H2959" s="18"/>
    </row>
    <row r="2960">
      <c r="C2960" s="18"/>
      <c r="D2960" s="19"/>
      <c r="E2960" s="57"/>
      <c r="H2960" s="18"/>
    </row>
    <row r="2961">
      <c r="C2961" s="18"/>
      <c r="D2961" s="19"/>
      <c r="E2961" s="57"/>
      <c r="H2961" s="18"/>
    </row>
    <row r="2962">
      <c r="C2962" s="18"/>
      <c r="D2962" s="19"/>
      <c r="E2962" s="57"/>
      <c r="H2962" s="18"/>
    </row>
    <row r="2963">
      <c r="C2963" s="18"/>
      <c r="D2963" s="19"/>
      <c r="E2963" s="57"/>
      <c r="H2963" s="18"/>
    </row>
    <row r="2964">
      <c r="C2964" s="18"/>
      <c r="D2964" s="19"/>
      <c r="E2964" s="57"/>
      <c r="H2964" s="18"/>
    </row>
    <row r="2965">
      <c r="C2965" s="18"/>
      <c r="D2965" s="19"/>
      <c r="E2965" s="57"/>
      <c r="H2965" s="18"/>
    </row>
    <row r="2966">
      <c r="C2966" s="18"/>
      <c r="D2966" s="19"/>
      <c r="E2966" s="57"/>
      <c r="H2966" s="18"/>
    </row>
    <row r="2967">
      <c r="C2967" s="18"/>
      <c r="D2967" s="19"/>
      <c r="E2967" s="57"/>
      <c r="H2967" s="18"/>
    </row>
    <row r="2968">
      <c r="C2968" s="18"/>
      <c r="D2968" s="19"/>
      <c r="E2968" s="57"/>
      <c r="H2968" s="18"/>
    </row>
    <row r="2969">
      <c r="C2969" s="18"/>
      <c r="D2969" s="19"/>
      <c r="E2969" s="57"/>
      <c r="H2969" s="18"/>
    </row>
    <row r="2970">
      <c r="C2970" s="18"/>
      <c r="D2970" s="19"/>
      <c r="E2970" s="57"/>
      <c r="H2970" s="18"/>
    </row>
    <row r="2971">
      <c r="C2971" s="18"/>
      <c r="D2971" s="19"/>
      <c r="E2971" s="57"/>
      <c r="H2971" s="18"/>
    </row>
    <row r="2972">
      <c r="C2972" s="18"/>
      <c r="D2972" s="19"/>
      <c r="E2972" s="57"/>
      <c r="H2972" s="18"/>
    </row>
    <row r="2973">
      <c r="C2973" s="18"/>
      <c r="D2973" s="19"/>
      <c r="E2973" s="57"/>
      <c r="H2973" s="18"/>
    </row>
    <row r="2974">
      <c r="C2974" s="18"/>
      <c r="D2974" s="19"/>
      <c r="E2974" s="57"/>
      <c r="H2974" s="18"/>
    </row>
    <row r="2975">
      <c r="C2975" s="18"/>
      <c r="D2975" s="19"/>
      <c r="E2975" s="57"/>
      <c r="H2975" s="18"/>
    </row>
    <row r="2976">
      <c r="C2976" s="18"/>
      <c r="D2976" s="19"/>
      <c r="E2976" s="57"/>
      <c r="H2976" s="18"/>
    </row>
    <row r="2977">
      <c r="C2977" s="18"/>
      <c r="D2977" s="19"/>
      <c r="E2977" s="57"/>
      <c r="H2977" s="18"/>
    </row>
    <row r="2978">
      <c r="C2978" s="18"/>
      <c r="D2978" s="19"/>
      <c r="E2978" s="57"/>
      <c r="H2978" s="18"/>
    </row>
    <row r="2979">
      <c r="C2979" s="18"/>
      <c r="D2979" s="19"/>
      <c r="E2979" s="57"/>
      <c r="H2979" s="18"/>
    </row>
    <row r="2980">
      <c r="C2980" s="18"/>
      <c r="D2980" s="19"/>
      <c r="E2980" s="57"/>
      <c r="H2980" s="18"/>
    </row>
    <row r="2981">
      <c r="C2981" s="18"/>
      <c r="D2981" s="19"/>
      <c r="E2981" s="57"/>
      <c r="H2981" s="18"/>
    </row>
    <row r="2982">
      <c r="C2982" s="18"/>
      <c r="D2982" s="19"/>
      <c r="E2982" s="57"/>
      <c r="H2982" s="18"/>
    </row>
    <row r="2983">
      <c r="C2983" s="18"/>
      <c r="D2983" s="19"/>
      <c r="E2983" s="57"/>
      <c r="H2983" s="18"/>
    </row>
    <row r="2984">
      <c r="C2984" s="18"/>
      <c r="D2984" s="19"/>
      <c r="E2984" s="57"/>
      <c r="H2984" s="18"/>
    </row>
    <row r="2985">
      <c r="C2985" s="18"/>
      <c r="D2985" s="19"/>
      <c r="E2985" s="57"/>
      <c r="H2985" s="18"/>
    </row>
    <row r="2986">
      <c r="C2986" s="18"/>
      <c r="D2986" s="19"/>
      <c r="E2986" s="57"/>
      <c r="H2986" s="18"/>
    </row>
    <row r="2987">
      <c r="C2987" s="18"/>
      <c r="D2987" s="19"/>
      <c r="E2987" s="57"/>
      <c r="H2987" s="18"/>
    </row>
    <row r="2988">
      <c r="C2988" s="18"/>
      <c r="D2988" s="19"/>
      <c r="E2988" s="57"/>
      <c r="H2988" s="18"/>
    </row>
    <row r="2989">
      <c r="C2989" s="18"/>
      <c r="D2989" s="19"/>
      <c r="E2989" s="57"/>
      <c r="H2989" s="18"/>
    </row>
    <row r="2990">
      <c r="C2990" s="18"/>
      <c r="D2990" s="19"/>
      <c r="E2990" s="57"/>
      <c r="H2990" s="18"/>
    </row>
    <row r="2991">
      <c r="C2991" s="18"/>
      <c r="D2991" s="19"/>
      <c r="E2991" s="57"/>
      <c r="H2991" s="18"/>
    </row>
    <row r="2992">
      <c r="C2992" s="18"/>
      <c r="D2992" s="19"/>
      <c r="E2992" s="57"/>
      <c r="H2992" s="18"/>
    </row>
    <row r="2993">
      <c r="C2993" s="18"/>
      <c r="D2993" s="19"/>
      <c r="E2993" s="57"/>
      <c r="H2993" s="18"/>
    </row>
    <row r="2994">
      <c r="C2994" s="18"/>
      <c r="D2994" s="19"/>
      <c r="E2994" s="57"/>
      <c r="H2994" s="18"/>
    </row>
    <row r="2995">
      <c r="C2995" s="18"/>
      <c r="D2995" s="19"/>
      <c r="E2995" s="57"/>
      <c r="H2995" s="18"/>
    </row>
    <row r="2996">
      <c r="C2996" s="18"/>
      <c r="D2996" s="19"/>
      <c r="E2996" s="57"/>
      <c r="H2996" s="18"/>
    </row>
    <row r="2997">
      <c r="C2997" s="18"/>
      <c r="D2997" s="19"/>
      <c r="E2997" s="57"/>
      <c r="H2997" s="18"/>
    </row>
    <row r="2998">
      <c r="C2998" s="18"/>
      <c r="D2998" s="19"/>
      <c r="E2998" s="57"/>
      <c r="H2998" s="18"/>
    </row>
    <row r="2999">
      <c r="C2999" s="18"/>
      <c r="D2999" s="19"/>
      <c r="E2999" s="57"/>
      <c r="H2999" s="18"/>
    </row>
    <row r="3000">
      <c r="C3000" s="18"/>
      <c r="D3000" s="19"/>
      <c r="E3000" s="57"/>
      <c r="H3000" s="18"/>
    </row>
    <row r="3001">
      <c r="C3001" s="18"/>
      <c r="D3001" s="19"/>
      <c r="E3001" s="57"/>
      <c r="H3001" s="18"/>
    </row>
    <row r="3002">
      <c r="C3002" s="18"/>
      <c r="D3002" s="19"/>
      <c r="E3002" s="57"/>
      <c r="H3002" s="18"/>
    </row>
    <row r="3003">
      <c r="C3003" s="18"/>
      <c r="D3003" s="19"/>
      <c r="E3003" s="57"/>
      <c r="H3003" s="18"/>
    </row>
    <row r="3004">
      <c r="C3004" s="18"/>
      <c r="D3004" s="19"/>
      <c r="E3004" s="57"/>
      <c r="H3004" s="18"/>
    </row>
    <row r="3005">
      <c r="C3005" s="18"/>
      <c r="D3005" s="19"/>
      <c r="E3005" s="57"/>
      <c r="H3005" s="18"/>
    </row>
    <row r="3006">
      <c r="C3006" s="18"/>
      <c r="D3006" s="19"/>
      <c r="E3006" s="57"/>
      <c r="H3006" s="18"/>
    </row>
    <row r="3007">
      <c r="C3007" s="18"/>
      <c r="D3007" s="19"/>
      <c r="E3007" s="57"/>
      <c r="H3007" s="18"/>
    </row>
    <row r="3008">
      <c r="C3008" s="18"/>
      <c r="D3008" s="19"/>
      <c r="E3008" s="57"/>
      <c r="H3008" s="18"/>
    </row>
    <row r="3009">
      <c r="C3009" s="18"/>
      <c r="D3009" s="19"/>
      <c r="E3009" s="57"/>
      <c r="H3009" s="18"/>
    </row>
    <row r="3010">
      <c r="C3010" s="18"/>
      <c r="D3010" s="19"/>
      <c r="E3010" s="57"/>
      <c r="H3010" s="18"/>
    </row>
    <row r="3011">
      <c r="C3011" s="18"/>
      <c r="D3011" s="19"/>
      <c r="E3011" s="57"/>
      <c r="H3011" s="18"/>
    </row>
    <row r="3012">
      <c r="C3012" s="18"/>
      <c r="D3012" s="19"/>
      <c r="E3012" s="57"/>
      <c r="H3012" s="18"/>
    </row>
    <row r="3013">
      <c r="C3013" s="18"/>
      <c r="D3013" s="19"/>
      <c r="E3013" s="57"/>
      <c r="H3013" s="18"/>
    </row>
    <row r="3014">
      <c r="C3014" s="18"/>
      <c r="D3014" s="19"/>
      <c r="E3014" s="57"/>
      <c r="H3014" s="18"/>
    </row>
    <row r="3015">
      <c r="C3015" s="18"/>
      <c r="D3015" s="19"/>
      <c r="E3015" s="57"/>
      <c r="H3015" s="18"/>
    </row>
    <row r="3016">
      <c r="C3016" s="18"/>
      <c r="D3016" s="19"/>
      <c r="E3016" s="57"/>
      <c r="H3016" s="18"/>
    </row>
    <row r="3017">
      <c r="C3017" s="18"/>
      <c r="D3017" s="19"/>
      <c r="E3017" s="57"/>
      <c r="H3017" s="18"/>
    </row>
    <row r="3018">
      <c r="C3018" s="18"/>
      <c r="D3018" s="19"/>
      <c r="E3018" s="57"/>
      <c r="H3018" s="18"/>
    </row>
    <row r="3019">
      <c r="C3019" s="18"/>
      <c r="D3019" s="19"/>
      <c r="E3019" s="57"/>
      <c r="H3019" s="18"/>
    </row>
    <row r="3020">
      <c r="C3020" s="18"/>
      <c r="D3020" s="19"/>
      <c r="E3020" s="57"/>
      <c r="H3020" s="18"/>
    </row>
    <row r="3021">
      <c r="C3021" s="18"/>
      <c r="D3021" s="19"/>
      <c r="E3021" s="57"/>
      <c r="H3021" s="18"/>
    </row>
    <row r="3022">
      <c r="C3022" s="18"/>
      <c r="D3022" s="19"/>
      <c r="E3022" s="57"/>
      <c r="H3022" s="18"/>
    </row>
    <row r="3023">
      <c r="C3023" s="18"/>
      <c r="D3023" s="19"/>
      <c r="E3023" s="57"/>
      <c r="H3023" s="18"/>
    </row>
    <row r="3024">
      <c r="C3024" s="18"/>
      <c r="D3024" s="19"/>
      <c r="E3024" s="57"/>
      <c r="H3024" s="18"/>
    </row>
    <row r="3025">
      <c r="C3025" s="18"/>
      <c r="D3025" s="19"/>
      <c r="E3025" s="57"/>
      <c r="H3025" s="18"/>
    </row>
    <row r="3026">
      <c r="C3026" s="18"/>
      <c r="D3026" s="19"/>
      <c r="E3026" s="57"/>
      <c r="H3026" s="18"/>
    </row>
    <row r="3027">
      <c r="C3027" s="18"/>
      <c r="D3027" s="19"/>
      <c r="E3027" s="57"/>
      <c r="H3027" s="18"/>
    </row>
    <row r="3028">
      <c r="C3028" s="18"/>
      <c r="D3028" s="19"/>
      <c r="E3028" s="57"/>
      <c r="H3028" s="18"/>
    </row>
    <row r="3029">
      <c r="C3029" s="18"/>
      <c r="D3029" s="19"/>
      <c r="E3029" s="57"/>
      <c r="H3029" s="18"/>
    </row>
    <row r="3030">
      <c r="C3030" s="18"/>
      <c r="D3030" s="19"/>
      <c r="E3030" s="57"/>
      <c r="H3030" s="18"/>
    </row>
    <row r="3031">
      <c r="C3031" s="18"/>
      <c r="D3031" s="19"/>
      <c r="E3031" s="57"/>
      <c r="H3031" s="18"/>
    </row>
    <row r="3032">
      <c r="C3032" s="18"/>
      <c r="D3032" s="19"/>
      <c r="E3032" s="57"/>
      <c r="H3032" s="18"/>
    </row>
    <row r="3033">
      <c r="C3033" s="18"/>
      <c r="D3033" s="19"/>
      <c r="E3033" s="57"/>
      <c r="H3033" s="18"/>
    </row>
    <row r="3034">
      <c r="C3034" s="18"/>
      <c r="D3034" s="19"/>
      <c r="E3034" s="57"/>
      <c r="H3034" s="18"/>
    </row>
    <row r="3035">
      <c r="C3035" s="18"/>
      <c r="D3035" s="19"/>
      <c r="E3035" s="57"/>
      <c r="H3035" s="18"/>
    </row>
    <row r="3036">
      <c r="C3036" s="18"/>
      <c r="D3036" s="19"/>
      <c r="E3036" s="57"/>
      <c r="H3036" s="18"/>
    </row>
    <row r="3037">
      <c r="C3037" s="18"/>
      <c r="D3037" s="19"/>
      <c r="E3037" s="57"/>
      <c r="H3037" s="18"/>
    </row>
    <row r="3038">
      <c r="C3038" s="18"/>
      <c r="D3038" s="19"/>
      <c r="E3038" s="57"/>
      <c r="H3038" s="18"/>
    </row>
    <row r="3039">
      <c r="C3039" s="18"/>
      <c r="D3039" s="19"/>
      <c r="E3039" s="57"/>
      <c r="H3039" s="18"/>
    </row>
    <row r="3040">
      <c r="C3040" s="18"/>
      <c r="D3040" s="19"/>
      <c r="E3040" s="57"/>
      <c r="H3040" s="18"/>
    </row>
    <row r="3041">
      <c r="C3041" s="18"/>
      <c r="D3041" s="19"/>
      <c r="E3041" s="57"/>
      <c r="H3041" s="18"/>
    </row>
    <row r="3042">
      <c r="C3042" s="18"/>
      <c r="D3042" s="19"/>
      <c r="E3042" s="57"/>
      <c r="H3042" s="18"/>
    </row>
    <row r="3043">
      <c r="C3043" s="18"/>
      <c r="D3043" s="19"/>
      <c r="E3043" s="57"/>
      <c r="H3043" s="18"/>
    </row>
    <row r="3044">
      <c r="C3044" s="18"/>
      <c r="D3044" s="19"/>
      <c r="E3044" s="57"/>
      <c r="H3044" s="18"/>
    </row>
    <row r="3045">
      <c r="C3045" s="18"/>
      <c r="D3045" s="19"/>
      <c r="E3045" s="57"/>
      <c r="H3045" s="18"/>
    </row>
    <row r="3046">
      <c r="C3046" s="18"/>
      <c r="D3046" s="19"/>
      <c r="E3046" s="57"/>
      <c r="H3046" s="18"/>
    </row>
    <row r="3047">
      <c r="C3047" s="18"/>
      <c r="D3047" s="19"/>
      <c r="E3047" s="57"/>
      <c r="H3047" s="18"/>
    </row>
    <row r="3048">
      <c r="C3048" s="18"/>
      <c r="D3048" s="19"/>
      <c r="E3048" s="57"/>
      <c r="H3048" s="18"/>
    </row>
    <row r="3049">
      <c r="C3049" s="18"/>
      <c r="D3049" s="19"/>
      <c r="E3049" s="57"/>
      <c r="H3049" s="18"/>
    </row>
    <row r="3050">
      <c r="C3050" s="18"/>
      <c r="D3050" s="19"/>
      <c r="E3050" s="57"/>
      <c r="H3050" s="18"/>
    </row>
    <row r="3051">
      <c r="C3051" s="18"/>
      <c r="D3051" s="19"/>
      <c r="E3051" s="57"/>
      <c r="H3051" s="18"/>
    </row>
    <row r="3052">
      <c r="C3052" s="18"/>
      <c r="D3052" s="19"/>
      <c r="E3052" s="57"/>
      <c r="H3052" s="18"/>
    </row>
    <row r="3053">
      <c r="C3053" s="18"/>
      <c r="D3053" s="19"/>
      <c r="E3053" s="57"/>
      <c r="H3053" s="18"/>
    </row>
    <row r="3054">
      <c r="C3054" s="18"/>
      <c r="D3054" s="19"/>
      <c r="E3054" s="57"/>
      <c r="H3054" s="18"/>
    </row>
    <row r="3055">
      <c r="C3055" s="18"/>
      <c r="D3055" s="19"/>
      <c r="E3055" s="57"/>
      <c r="H3055" s="18"/>
    </row>
    <row r="3056">
      <c r="C3056" s="18"/>
      <c r="D3056" s="19"/>
      <c r="E3056" s="57"/>
      <c r="H3056" s="18"/>
    </row>
    <row r="3057">
      <c r="C3057" s="18"/>
      <c r="D3057" s="19"/>
      <c r="E3057" s="57"/>
      <c r="H3057" s="18"/>
    </row>
    <row r="3058">
      <c r="C3058" s="18"/>
      <c r="D3058" s="19"/>
      <c r="E3058" s="57"/>
      <c r="H3058" s="18"/>
    </row>
    <row r="3059">
      <c r="C3059" s="18"/>
      <c r="D3059" s="19"/>
      <c r="E3059" s="57"/>
      <c r="H3059" s="18"/>
    </row>
    <row r="3060">
      <c r="C3060" s="18"/>
      <c r="D3060" s="19"/>
      <c r="E3060" s="57"/>
      <c r="H3060" s="18"/>
    </row>
    <row r="3061">
      <c r="C3061" s="18"/>
      <c r="D3061" s="19"/>
      <c r="E3061" s="57"/>
      <c r="H3061" s="18"/>
    </row>
    <row r="3062">
      <c r="C3062" s="18"/>
      <c r="D3062" s="19"/>
      <c r="E3062" s="57"/>
      <c r="H3062" s="18"/>
    </row>
    <row r="3063">
      <c r="C3063" s="18"/>
      <c r="D3063" s="19"/>
      <c r="E3063" s="57"/>
      <c r="H3063" s="18"/>
    </row>
    <row r="3064">
      <c r="C3064" s="18"/>
      <c r="D3064" s="19"/>
      <c r="E3064" s="57"/>
      <c r="H3064" s="18"/>
    </row>
    <row r="3065">
      <c r="C3065" s="18"/>
      <c r="D3065" s="19"/>
      <c r="E3065" s="57"/>
      <c r="H3065" s="18"/>
    </row>
    <row r="3066">
      <c r="C3066" s="18"/>
      <c r="D3066" s="19"/>
      <c r="E3066" s="57"/>
      <c r="H3066" s="18"/>
    </row>
    <row r="3067">
      <c r="C3067" s="18"/>
      <c r="D3067" s="19"/>
      <c r="E3067" s="57"/>
      <c r="H3067" s="18"/>
    </row>
    <row r="3068">
      <c r="C3068" s="18"/>
      <c r="D3068" s="19"/>
      <c r="E3068" s="57"/>
      <c r="H3068" s="18"/>
    </row>
    <row r="3069">
      <c r="C3069" s="18"/>
      <c r="D3069" s="19"/>
      <c r="E3069" s="57"/>
      <c r="H3069" s="18"/>
    </row>
    <row r="3070">
      <c r="C3070" s="18"/>
      <c r="D3070" s="19"/>
      <c r="E3070" s="57"/>
      <c r="H3070" s="18"/>
    </row>
    <row r="3071">
      <c r="C3071" s="18"/>
      <c r="D3071" s="19"/>
      <c r="E3071" s="57"/>
      <c r="H3071" s="18"/>
    </row>
    <row r="3072">
      <c r="C3072" s="18"/>
      <c r="D3072" s="19"/>
      <c r="E3072" s="57"/>
      <c r="H3072" s="18"/>
    </row>
    <row r="3073">
      <c r="C3073" s="18"/>
      <c r="D3073" s="19"/>
      <c r="E3073" s="57"/>
      <c r="H3073" s="18"/>
    </row>
    <row r="3074">
      <c r="C3074" s="18"/>
      <c r="D3074" s="19"/>
      <c r="E3074" s="57"/>
      <c r="H3074" s="18"/>
    </row>
    <row r="3075">
      <c r="C3075" s="18"/>
      <c r="D3075" s="19"/>
      <c r="E3075" s="57"/>
      <c r="H3075" s="18"/>
    </row>
    <row r="3076">
      <c r="C3076" s="18"/>
      <c r="D3076" s="19"/>
      <c r="E3076" s="57"/>
      <c r="H3076" s="18"/>
    </row>
    <row r="3077">
      <c r="C3077" s="18"/>
      <c r="D3077" s="19"/>
      <c r="E3077" s="57"/>
      <c r="H3077" s="18"/>
    </row>
    <row r="3078">
      <c r="C3078" s="18"/>
      <c r="D3078" s="19"/>
      <c r="E3078" s="57"/>
      <c r="H3078" s="18"/>
    </row>
    <row r="3079">
      <c r="C3079" s="18"/>
      <c r="D3079" s="19"/>
      <c r="E3079" s="57"/>
      <c r="H3079" s="18"/>
    </row>
    <row r="3080">
      <c r="C3080" s="18"/>
      <c r="D3080" s="19"/>
      <c r="E3080" s="57"/>
      <c r="H3080" s="18"/>
    </row>
    <row r="3081">
      <c r="C3081" s="18"/>
      <c r="D3081" s="19"/>
      <c r="E3081" s="57"/>
      <c r="H3081" s="18"/>
    </row>
    <row r="3082">
      <c r="C3082" s="18"/>
      <c r="D3082" s="19"/>
      <c r="E3082" s="57"/>
      <c r="H3082" s="18"/>
    </row>
    <row r="3083">
      <c r="C3083" s="18"/>
      <c r="D3083" s="19"/>
      <c r="E3083" s="57"/>
      <c r="H3083" s="18"/>
    </row>
    <row r="3084">
      <c r="C3084" s="18"/>
      <c r="D3084" s="19"/>
      <c r="E3084" s="57"/>
      <c r="H3084" s="18"/>
    </row>
    <row r="3085">
      <c r="C3085" s="18"/>
      <c r="D3085" s="19"/>
      <c r="E3085" s="57"/>
      <c r="H3085" s="18"/>
    </row>
    <row r="3086">
      <c r="C3086" s="18"/>
      <c r="D3086" s="19"/>
      <c r="E3086" s="57"/>
      <c r="H3086" s="18"/>
    </row>
    <row r="3087">
      <c r="C3087" s="18"/>
      <c r="D3087" s="19"/>
      <c r="E3087" s="57"/>
      <c r="H3087" s="18"/>
    </row>
    <row r="3088">
      <c r="C3088" s="18"/>
      <c r="D3088" s="19"/>
      <c r="E3088" s="57"/>
      <c r="H3088" s="18"/>
    </row>
    <row r="3089">
      <c r="C3089" s="18"/>
      <c r="D3089" s="19"/>
      <c r="E3089" s="57"/>
      <c r="H3089" s="18"/>
    </row>
    <row r="3090">
      <c r="C3090" s="18"/>
      <c r="D3090" s="19"/>
      <c r="E3090" s="57"/>
      <c r="H3090" s="18"/>
    </row>
    <row r="3091">
      <c r="C3091" s="18"/>
      <c r="D3091" s="19"/>
      <c r="E3091" s="57"/>
      <c r="H3091" s="18"/>
    </row>
    <row r="3092">
      <c r="C3092" s="18"/>
      <c r="D3092" s="19"/>
      <c r="E3092" s="57"/>
      <c r="H3092" s="18"/>
    </row>
    <row r="3093">
      <c r="C3093" s="18"/>
      <c r="D3093" s="19"/>
      <c r="E3093" s="57"/>
      <c r="H3093" s="18"/>
    </row>
    <row r="3094">
      <c r="C3094" s="18"/>
      <c r="D3094" s="19"/>
      <c r="E3094" s="57"/>
      <c r="H3094" s="18"/>
    </row>
    <row r="3095">
      <c r="C3095" s="18"/>
      <c r="D3095" s="19"/>
      <c r="E3095" s="57"/>
      <c r="H3095" s="18"/>
    </row>
    <row r="3096">
      <c r="C3096" s="18"/>
      <c r="D3096" s="19"/>
      <c r="E3096" s="57"/>
      <c r="H3096" s="18"/>
    </row>
    <row r="3097">
      <c r="C3097" s="18"/>
      <c r="D3097" s="19"/>
      <c r="E3097" s="57"/>
      <c r="H3097" s="18"/>
    </row>
    <row r="3098">
      <c r="C3098" s="18"/>
      <c r="D3098" s="19"/>
      <c r="E3098" s="57"/>
      <c r="H3098" s="18"/>
    </row>
    <row r="3099">
      <c r="C3099" s="18"/>
      <c r="D3099" s="19"/>
      <c r="E3099" s="57"/>
      <c r="H3099" s="18"/>
    </row>
    <row r="3100">
      <c r="C3100" s="18"/>
      <c r="D3100" s="19"/>
      <c r="E3100" s="57"/>
      <c r="H3100" s="18"/>
    </row>
    <row r="3101">
      <c r="C3101" s="18"/>
      <c r="D3101" s="19"/>
      <c r="E3101" s="57"/>
      <c r="H3101" s="18"/>
    </row>
    <row r="3102">
      <c r="C3102" s="18"/>
      <c r="D3102" s="19"/>
      <c r="E3102" s="57"/>
      <c r="H3102" s="18"/>
    </row>
    <row r="3103">
      <c r="C3103" s="18"/>
      <c r="D3103" s="19"/>
      <c r="E3103" s="57"/>
      <c r="H3103" s="18"/>
    </row>
    <row r="3104">
      <c r="C3104" s="18"/>
      <c r="D3104" s="19"/>
      <c r="E3104" s="57"/>
      <c r="H3104" s="18"/>
    </row>
    <row r="3105">
      <c r="C3105" s="18"/>
      <c r="D3105" s="19"/>
      <c r="E3105" s="57"/>
      <c r="H3105" s="18"/>
    </row>
    <row r="3106">
      <c r="C3106" s="18"/>
      <c r="D3106" s="19"/>
      <c r="E3106" s="57"/>
      <c r="H3106" s="18"/>
    </row>
    <row r="3107">
      <c r="C3107" s="18"/>
      <c r="D3107" s="19"/>
      <c r="E3107" s="57"/>
      <c r="H3107" s="18"/>
    </row>
    <row r="3108">
      <c r="C3108" s="18"/>
      <c r="D3108" s="19"/>
      <c r="E3108" s="57"/>
      <c r="H3108" s="18"/>
    </row>
    <row r="3109">
      <c r="C3109" s="18"/>
      <c r="D3109" s="19"/>
      <c r="E3109" s="57"/>
      <c r="H3109" s="18"/>
    </row>
    <row r="3110">
      <c r="C3110" s="18"/>
      <c r="D3110" s="19"/>
      <c r="E3110" s="57"/>
      <c r="H3110" s="18"/>
    </row>
    <row r="3111">
      <c r="C3111" s="18"/>
      <c r="D3111" s="19"/>
      <c r="E3111" s="57"/>
      <c r="H3111" s="18"/>
    </row>
    <row r="3112">
      <c r="C3112" s="18"/>
      <c r="D3112" s="19"/>
      <c r="E3112" s="57"/>
      <c r="H3112" s="18"/>
    </row>
    <row r="3113">
      <c r="C3113" s="18"/>
      <c r="D3113" s="19"/>
      <c r="E3113" s="57"/>
      <c r="H3113" s="18"/>
    </row>
    <row r="3114">
      <c r="C3114" s="18"/>
      <c r="D3114" s="19"/>
      <c r="E3114" s="57"/>
      <c r="H3114" s="18"/>
    </row>
    <row r="3115">
      <c r="C3115" s="18"/>
      <c r="D3115" s="19"/>
      <c r="E3115" s="57"/>
      <c r="H3115" s="18"/>
    </row>
    <row r="3116">
      <c r="C3116" s="18"/>
      <c r="D3116" s="19"/>
      <c r="E3116" s="57"/>
      <c r="H3116" s="18"/>
    </row>
    <row r="3117">
      <c r="C3117" s="18"/>
      <c r="D3117" s="19"/>
      <c r="E3117" s="57"/>
      <c r="H3117" s="18"/>
    </row>
    <row r="3118">
      <c r="C3118" s="18"/>
      <c r="D3118" s="19"/>
      <c r="E3118" s="57"/>
      <c r="H3118" s="18"/>
    </row>
    <row r="3119">
      <c r="C3119" s="18"/>
      <c r="D3119" s="19"/>
      <c r="E3119" s="57"/>
      <c r="H3119" s="18"/>
    </row>
    <row r="3120">
      <c r="C3120" s="18"/>
      <c r="D3120" s="19"/>
      <c r="E3120" s="57"/>
      <c r="H3120" s="18"/>
    </row>
    <row r="3121">
      <c r="C3121" s="18"/>
      <c r="D3121" s="19"/>
      <c r="E3121" s="57"/>
      <c r="H3121" s="18"/>
    </row>
    <row r="3122">
      <c r="C3122" s="18"/>
      <c r="D3122" s="19"/>
      <c r="E3122" s="57"/>
      <c r="H3122" s="18"/>
    </row>
    <row r="3123">
      <c r="C3123" s="18"/>
      <c r="D3123" s="19"/>
      <c r="E3123" s="57"/>
      <c r="H3123" s="18"/>
    </row>
    <row r="3124">
      <c r="C3124" s="18"/>
      <c r="D3124" s="19"/>
      <c r="E3124" s="57"/>
      <c r="H3124" s="18"/>
    </row>
    <row r="3125">
      <c r="C3125" s="18"/>
      <c r="D3125" s="19"/>
      <c r="E3125" s="57"/>
      <c r="H3125" s="18"/>
    </row>
    <row r="3126">
      <c r="C3126" s="18"/>
      <c r="D3126" s="19"/>
      <c r="E3126" s="57"/>
      <c r="H3126" s="18"/>
    </row>
    <row r="3127">
      <c r="C3127" s="18"/>
      <c r="D3127" s="19"/>
      <c r="E3127" s="57"/>
      <c r="H3127" s="18"/>
    </row>
    <row r="3128">
      <c r="C3128" s="18"/>
      <c r="D3128" s="19"/>
      <c r="E3128" s="57"/>
      <c r="H3128" s="18"/>
    </row>
    <row r="3129">
      <c r="C3129" s="18"/>
      <c r="D3129" s="19"/>
      <c r="E3129" s="57"/>
      <c r="H3129" s="18"/>
    </row>
    <row r="3130">
      <c r="C3130" s="18"/>
      <c r="D3130" s="19"/>
      <c r="E3130" s="57"/>
      <c r="H3130" s="18"/>
    </row>
    <row r="3131">
      <c r="C3131" s="18"/>
      <c r="D3131" s="19"/>
      <c r="E3131" s="57"/>
      <c r="H3131" s="18"/>
    </row>
    <row r="3132">
      <c r="C3132" s="18"/>
      <c r="D3132" s="19"/>
      <c r="E3132" s="57"/>
      <c r="H3132" s="18"/>
    </row>
    <row r="3133">
      <c r="C3133" s="18"/>
      <c r="D3133" s="19"/>
      <c r="E3133" s="57"/>
      <c r="H3133" s="18"/>
    </row>
    <row r="3134">
      <c r="C3134" s="18"/>
      <c r="D3134" s="19"/>
      <c r="E3134" s="57"/>
      <c r="H3134" s="18"/>
    </row>
    <row r="3135">
      <c r="C3135" s="18"/>
      <c r="D3135" s="19"/>
      <c r="E3135" s="57"/>
      <c r="H3135" s="18"/>
    </row>
    <row r="3136">
      <c r="C3136" s="18"/>
      <c r="D3136" s="19"/>
      <c r="E3136" s="57"/>
      <c r="H3136" s="18"/>
    </row>
    <row r="3137">
      <c r="C3137" s="18"/>
      <c r="D3137" s="19"/>
      <c r="E3137" s="57"/>
      <c r="H3137" s="18"/>
    </row>
    <row r="3138">
      <c r="C3138" s="18"/>
      <c r="D3138" s="19"/>
      <c r="E3138" s="57"/>
      <c r="H3138" s="18"/>
    </row>
    <row r="3139">
      <c r="C3139" s="18"/>
      <c r="D3139" s="19"/>
      <c r="E3139" s="57"/>
      <c r="H3139" s="18"/>
    </row>
    <row r="3140">
      <c r="C3140" s="18"/>
      <c r="D3140" s="19"/>
      <c r="E3140" s="57"/>
      <c r="H3140" s="18"/>
    </row>
    <row r="3141">
      <c r="C3141" s="18"/>
      <c r="D3141" s="19"/>
      <c r="E3141" s="57"/>
      <c r="H3141" s="18"/>
    </row>
    <row r="3142">
      <c r="C3142" s="18"/>
      <c r="D3142" s="19"/>
      <c r="E3142" s="57"/>
      <c r="H3142" s="18"/>
    </row>
    <row r="3143">
      <c r="C3143" s="18"/>
      <c r="D3143" s="19"/>
      <c r="E3143" s="57"/>
      <c r="H3143" s="18"/>
    </row>
    <row r="3144">
      <c r="C3144" s="18"/>
      <c r="D3144" s="19"/>
      <c r="E3144" s="57"/>
      <c r="H3144" s="18"/>
    </row>
    <row r="3145">
      <c r="C3145" s="18"/>
      <c r="D3145" s="19"/>
      <c r="E3145" s="57"/>
      <c r="H3145" s="18"/>
    </row>
    <row r="3146">
      <c r="C3146" s="18"/>
      <c r="D3146" s="19"/>
      <c r="E3146" s="57"/>
      <c r="H3146" s="18"/>
    </row>
    <row r="3147">
      <c r="C3147" s="18"/>
      <c r="D3147" s="19"/>
      <c r="E3147" s="57"/>
      <c r="H3147" s="18"/>
    </row>
    <row r="3148">
      <c r="C3148" s="18"/>
      <c r="D3148" s="19"/>
      <c r="E3148" s="57"/>
      <c r="H3148" s="18"/>
    </row>
    <row r="3149">
      <c r="C3149" s="18"/>
      <c r="D3149" s="19"/>
      <c r="E3149" s="57"/>
      <c r="H3149" s="18"/>
    </row>
    <row r="3150">
      <c r="C3150" s="18"/>
      <c r="D3150" s="19"/>
      <c r="E3150" s="57"/>
      <c r="H3150" s="18"/>
    </row>
    <row r="3151">
      <c r="C3151" s="18"/>
      <c r="D3151" s="19"/>
      <c r="E3151" s="57"/>
      <c r="H3151" s="18"/>
    </row>
    <row r="3152">
      <c r="C3152" s="18"/>
      <c r="D3152" s="19"/>
      <c r="E3152" s="57"/>
      <c r="H3152" s="18"/>
    </row>
    <row r="3153">
      <c r="C3153" s="18"/>
      <c r="D3153" s="19"/>
      <c r="E3153" s="57"/>
      <c r="H3153" s="18"/>
    </row>
    <row r="3154">
      <c r="C3154" s="18"/>
      <c r="D3154" s="19"/>
      <c r="E3154" s="57"/>
      <c r="H3154" s="18"/>
    </row>
    <row r="3155">
      <c r="C3155" s="18"/>
      <c r="D3155" s="19"/>
      <c r="E3155" s="57"/>
      <c r="H3155" s="18"/>
    </row>
    <row r="3156">
      <c r="C3156" s="18"/>
      <c r="D3156" s="19"/>
      <c r="E3156" s="57"/>
      <c r="H3156" s="18"/>
    </row>
    <row r="3157">
      <c r="C3157" s="18"/>
      <c r="D3157" s="19"/>
      <c r="E3157" s="57"/>
      <c r="H3157" s="18"/>
    </row>
    <row r="3158">
      <c r="C3158" s="18"/>
      <c r="D3158" s="19"/>
      <c r="E3158" s="57"/>
      <c r="H3158" s="18"/>
    </row>
    <row r="3159">
      <c r="C3159" s="18"/>
      <c r="D3159" s="19"/>
      <c r="E3159" s="57"/>
      <c r="H3159" s="18"/>
    </row>
    <row r="3160">
      <c r="C3160" s="18"/>
      <c r="D3160" s="19"/>
      <c r="E3160" s="57"/>
      <c r="H3160" s="18"/>
    </row>
    <row r="3161">
      <c r="C3161" s="18"/>
      <c r="D3161" s="19"/>
      <c r="E3161" s="57"/>
      <c r="H3161" s="18"/>
    </row>
    <row r="3162">
      <c r="C3162" s="18"/>
      <c r="D3162" s="19"/>
      <c r="E3162" s="57"/>
      <c r="H3162" s="18"/>
    </row>
    <row r="3163">
      <c r="C3163" s="18"/>
      <c r="D3163" s="19"/>
      <c r="E3163" s="57"/>
      <c r="H3163" s="18"/>
    </row>
    <row r="3164">
      <c r="C3164" s="18"/>
      <c r="D3164" s="19"/>
      <c r="E3164" s="57"/>
      <c r="H3164" s="18"/>
    </row>
    <row r="3165">
      <c r="C3165" s="18"/>
      <c r="D3165" s="19"/>
      <c r="E3165" s="57"/>
      <c r="H3165" s="18"/>
    </row>
    <row r="3166">
      <c r="C3166" s="18"/>
      <c r="D3166" s="19"/>
      <c r="E3166" s="57"/>
      <c r="H3166" s="18"/>
    </row>
    <row r="3167">
      <c r="C3167" s="18"/>
      <c r="D3167" s="19"/>
      <c r="E3167" s="57"/>
      <c r="H3167" s="18"/>
    </row>
    <row r="3168">
      <c r="C3168" s="18"/>
      <c r="D3168" s="19"/>
      <c r="E3168" s="57"/>
      <c r="H3168" s="18"/>
    </row>
    <row r="3169">
      <c r="C3169" s="18"/>
      <c r="D3169" s="19"/>
      <c r="E3169" s="57"/>
      <c r="H3169" s="18"/>
    </row>
    <row r="3170">
      <c r="C3170" s="18"/>
      <c r="D3170" s="19"/>
      <c r="E3170" s="57"/>
      <c r="H3170" s="18"/>
    </row>
    <row r="3171">
      <c r="C3171" s="18"/>
      <c r="D3171" s="19"/>
      <c r="E3171" s="57"/>
      <c r="H3171" s="18"/>
    </row>
    <row r="3172">
      <c r="C3172" s="18"/>
      <c r="D3172" s="19"/>
      <c r="E3172" s="57"/>
      <c r="H3172" s="18"/>
    </row>
    <row r="3173">
      <c r="C3173" s="18"/>
      <c r="D3173" s="19"/>
      <c r="E3173" s="57"/>
      <c r="H3173" s="18"/>
    </row>
    <row r="3174">
      <c r="C3174" s="18"/>
      <c r="D3174" s="19"/>
      <c r="E3174" s="57"/>
      <c r="H3174" s="18"/>
    </row>
    <row r="3175">
      <c r="C3175" s="18"/>
      <c r="D3175" s="19"/>
      <c r="E3175" s="57"/>
      <c r="H3175" s="18"/>
    </row>
    <row r="3176">
      <c r="C3176" s="18"/>
      <c r="D3176" s="19"/>
      <c r="E3176" s="57"/>
      <c r="H3176" s="18"/>
    </row>
    <row r="3177">
      <c r="C3177" s="18"/>
      <c r="D3177" s="19"/>
      <c r="E3177" s="57"/>
      <c r="H3177" s="18"/>
    </row>
    <row r="3178">
      <c r="C3178" s="18"/>
      <c r="D3178" s="19"/>
      <c r="E3178" s="57"/>
      <c r="H3178" s="18"/>
    </row>
    <row r="3179">
      <c r="C3179" s="18"/>
      <c r="D3179" s="19"/>
      <c r="E3179" s="57"/>
      <c r="H3179" s="18"/>
    </row>
    <row r="3180">
      <c r="C3180" s="18"/>
      <c r="D3180" s="19"/>
      <c r="E3180" s="57"/>
      <c r="H3180" s="18"/>
    </row>
    <row r="3181">
      <c r="C3181" s="18"/>
      <c r="D3181" s="19"/>
      <c r="E3181" s="57"/>
      <c r="H3181" s="18"/>
    </row>
    <row r="3182">
      <c r="C3182" s="18"/>
      <c r="D3182" s="19"/>
      <c r="E3182" s="57"/>
      <c r="H3182" s="18"/>
    </row>
    <row r="3183">
      <c r="C3183" s="18"/>
      <c r="D3183" s="19"/>
      <c r="E3183" s="57"/>
      <c r="H3183" s="18"/>
    </row>
    <row r="3184">
      <c r="C3184" s="18"/>
      <c r="D3184" s="19"/>
      <c r="E3184" s="57"/>
      <c r="H3184" s="18"/>
    </row>
    <row r="3185">
      <c r="C3185" s="18"/>
      <c r="D3185" s="19"/>
      <c r="E3185" s="57"/>
      <c r="H3185" s="18"/>
    </row>
    <row r="3186">
      <c r="C3186" s="18"/>
      <c r="D3186" s="19"/>
      <c r="E3186" s="57"/>
      <c r="H3186" s="18"/>
    </row>
    <row r="3187">
      <c r="C3187" s="18"/>
      <c r="D3187" s="19"/>
      <c r="E3187" s="57"/>
      <c r="H3187" s="18"/>
    </row>
    <row r="3188">
      <c r="C3188" s="18"/>
      <c r="D3188" s="19"/>
      <c r="E3188" s="57"/>
      <c r="H3188" s="18"/>
    </row>
    <row r="3189">
      <c r="C3189" s="18"/>
      <c r="D3189" s="19"/>
      <c r="E3189" s="57"/>
      <c r="H3189" s="18"/>
    </row>
    <row r="3190">
      <c r="C3190" s="18"/>
      <c r="D3190" s="19"/>
      <c r="E3190" s="57"/>
      <c r="H3190" s="18"/>
    </row>
    <row r="3191">
      <c r="C3191" s="18"/>
      <c r="D3191" s="19"/>
      <c r="E3191" s="57"/>
      <c r="H3191" s="18"/>
    </row>
    <row r="3192">
      <c r="C3192" s="18"/>
      <c r="D3192" s="19"/>
      <c r="E3192" s="57"/>
      <c r="H3192" s="18"/>
    </row>
    <row r="3193">
      <c r="C3193" s="18"/>
      <c r="D3193" s="19"/>
      <c r="E3193" s="57"/>
      <c r="H3193" s="18"/>
    </row>
    <row r="3194">
      <c r="C3194" s="18"/>
      <c r="D3194" s="19"/>
      <c r="E3194" s="57"/>
      <c r="H3194" s="18"/>
    </row>
    <row r="3195">
      <c r="C3195" s="18"/>
      <c r="D3195" s="19"/>
      <c r="E3195" s="57"/>
      <c r="H3195" s="18"/>
    </row>
    <row r="3196">
      <c r="C3196" s="18"/>
      <c r="D3196" s="19"/>
      <c r="E3196" s="57"/>
      <c r="H3196" s="18"/>
    </row>
    <row r="3197">
      <c r="C3197" s="18"/>
      <c r="D3197" s="19"/>
      <c r="E3197" s="57"/>
      <c r="H3197" s="18"/>
    </row>
    <row r="3198">
      <c r="C3198" s="18"/>
      <c r="D3198" s="19"/>
      <c r="E3198" s="57"/>
      <c r="H3198" s="18"/>
    </row>
    <row r="3199">
      <c r="C3199" s="18"/>
      <c r="D3199" s="19"/>
      <c r="E3199" s="57"/>
      <c r="H3199" s="18"/>
    </row>
    <row r="3200">
      <c r="C3200" s="18"/>
      <c r="D3200" s="19"/>
      <c r="E3200" s="57"/>
      <c r="H3200" s="18"/>
    </row>
    <row r="3201">
      <c r="C3201" s="18"/>
      <c r="D3201" s="19"/>
      <c r="E3201" s="57"/>
      <c r="H3201" s="18"/>
    </row>
    <row r="3202">
      <c r="C3202" s="18"/>
      <c r="D3202" s="19"/>
      <c r="E3202" s="57"/>
      <c r="H3202" s="18"/>
    </row>
    <row r="3203">
      <c r="C3203" s="18"/>
      <c r="D3203" s="19"/>
      <c r="E3203" s="57"/>
      <c r="H3203" s="18"/>
    </row>
    <row r="3204">
      <c r="C3204" s="18"/>
      <c r="D3204" s="19"/>
      <c r="E3204" s="57"/>
      <c r="H3204" s="18"/>
    </row>
    <row r="3205">
      <c r="C3205" s="18"/>
      <c r="D3205" s="19"/>
      <c r="E3205" s="57"/>
      <c r="H3205" s="18"/>
    </row>
    <row r="3206">
      <c r="C3206" s="18"/>
      <c r="D3206" s="19"/>
      <c r="E3206" s="57"/>
      <c r="H3206" s="18"/>
    </row>
    <row r="3207">
      <c r="C3207" s="18"/>
      <c r="D3207" s="19"/>
      <c r="E3207" s="57"/>
      <c r="H3207" s="18"/>
    </row>
    <row r="3208">
      <c r="C3208" s="18"/>
      <c r="D3208" s="19"/>
      <c r="E3208" s="57"/>
      <c r="H3208" s="18"/>
    </row>
    <row r="3209">
      <c r="C3209" s="18"/>
      <c r="D3209" s="19"/>
      <c r="E3209" s="57"/>
      <c r="H3209" s="18"/>
    </row>
    <row r="3210">
      <c r="C3210" s="18"/>
      <c r="D3210" s="19"/>
      <c r="E3210" s="57"/>
      <c r="H3210" s="18"/>
    </row>
    <row r="3211">
      <c r="C3211" s="18"/>
      <c r="D3211" s="19"/>
      <c r="E3211" s="57"/>
      <c r="H3211" s="18"/>
    </row>
    <row r="3212">
      <c r="C3212" s="18"/>
      <c r="D3212" s="19"/>
      <c r="E3212" s="57"/>
      <c r="H3212" s="18"/>
    </row>
    <row r="3213">
      <c r="C3213" s="18"/>
      <c r="D3213" s="19"/>
      <c r="E3213" s="57"/>
      <c r="H3213" s="18"/>
    </row>
    <row r="3214">
      <c r="C3214" s="18"/>
      <c r="D3214" s="19"/>
      <c r="E3214" s="57"/>
      <c r="H3214" s="18"/>
    </row>
    <row r="3215">
      <c r="C3215" s="18"/>
      <c r="D3215" s="19"/>
      <c r="E3215" s="57"/>
      <c r="H3215" s="18"/>
    </row>
    <row r="3216">
      <c r="C3216" s="18"/>
      <c r="D3216" s="19"/>
      <c r="E3216" s="57"/>
      <c r="H3216" s="18"/>
    </row>
    <row r="3217">
      <c r="C3217" s="18"/>
      <c r="D3217" s="19"/>
      <c r="E3217" s="57"/>
      <c r="H3217" s="18"/>
    </row>
    <row r="3218">
      <c r="C3218" s="18"/>
      <c r="D3218" s="19"/>
      <c r="E3218" s="57"/>
      <c r="H3218" s="18"/>
    </row>
    <row r="3219">
      <c r="C3219" s="18"/>
      <c r="D3219" s="19"/>
      <c r="E3219" s="57"/>
      <c r="H3219" s="18"/>
    </row>
    <row r="3220">
      <c r="C3220" s="18"/>
      <c r="D3220" s="19"/>
      <c r="E3220" s="57"/>
      <c r="H3220" s="18"/>
    </row>
    <row r="3221">
      <c r="C3221" s="18"/>
      <c r="D3221" s="19"/>
      <c r="E3221" s="57"/>
      <c r="H3221" s="18"/>
    </row>
    <row r="3222">
      <c r="C3222" s="18"/>
      <c r="D3222" s="19"/>
      <c r="E3222" s="57"/>
      <c r="H3222" s="18"/>
    </row>
    <row r="3223">
      <c r="C3223" s="18"/>
      <c r="D3223" s="19"/>
      <c r="E3223" s="57"/>
      <c r="H3223" s="18"/>
    </row>
    <row r="3224">
      <c r="C3224" s="18"/>
      <c r="D3224" s="19"/>
      <c r="E3224" s="57"/>
      <c r="H3224" s="18"/>
    </row>
    <row r="3225">
      <c r="C3225" s="18"/>
      <c r="D3225" s="19"/>
      <c r="E3225" s="57"/>
      <c r="H3225" s="18"/>
    </row>
    <row r="3226">
      <c r="C3226" s="18"/>
      <c r="D3226" s="19"/>
      <c r="E3226" s="57"/>
      <c r="H3226" s="18"/>
    </row>
    <row r="3227">
      <c r="C3227" s="18"/>
      <c r="D3227" s="19"/>
      <c r="E3227" s="57"/>
      <c r="H3227" s="18"/>
    </row>
    <row r="3228">
      <c r="C3228" s="18"/>
      <c r="D3228" s="19"/>
      <c r="E3228" s="57"/>
      <c r="H3228" s="18"/>
    </row>
    <row r="3229">
      <c r="C3229" s="18"/>
      <c r="D3229" s="19"/>
      <c r="E3229" s="57"/>
      <c r="H3229" s="18"/>
    </row>
    <row r="3230">
      <c r="C3230" s="18"/>
      <c r="D3230" s="19"/>
      <c r="E3230" s="57"/>
      <c r="H3230" s="18"/>
    </row>
    <row r="3231">
      <c r="C3231" s="18"/>
      <c r="D3231" s="19"/>
      <c r="E3231" s="57"/>
      <c r="H3231" s="18"/>
    </row>
    <row r="3232">
      <c r="C3232" s="18"/>
      <c r="D3232" s="19"/>
      <c r="E3232" s="57"/>
      <c r="H3232" s="18"/>
    </row>
    <row r="3233">
      <c r="C3233" s="18"/>
      <c r="D3233" s="19"/>
      <c r="E3233" s="57"/>
      <c r="H3233" s="18"/>
    </row>
    <row r="3234">
      <c r="C3234" s="18"/>
      <c r="D3234" s="19"/>
      <c r="E3234" s="57"/>
      <c r="H3234" s="18"/>
    </row>
    <row r="3235">
      <c r="C3235" s="18"/>
      <c r="D3235" s="19"/>
      <c r="E3235" s="57"/>
      <c r="H3235" s="18"/>
    </row>
    <row r="3236">
      <c r="C3236" s="18"/>
      <c r="D3236" s="19"/>
      <c r="E3236" s="57"/>
      <c r="H3236" s="18"/>
    </row>
    <row r="3237">
      <c r="C3237" s="18"/>
      <c r="D3237" s="19"/>
      <c r="E3237" s="57"/>
      <c r="H3237" s="18"/>
    </row>
    <row r="3238">
      <c r="C3238" s="18"/>
      <c r="D3238" s="19"/>
      <c r="E3238" s="57"/>
      <c r="H3238" s="18"/>
    </row>
    <row r="3239">
      <c r="C3239" s="18"/>
      <c r="D3239" s="19"/>
      <c r="E3239" s="57"/>
      <c r="H3239" s="18"/>
    </row>
    <row r="3240">
      <c r="C3240" s="18"/>
      <c r="D3240" s="19"/>
      <c r="E3240" s="57"/>
      <c r="H3240" s="18"/>
    </row>
    <row r="3241">
      <c r="C3241" s="18"/>
      <c r="D3241" s="19"/>
      <c r="E3241" s="57"/>
      <c r="H3241" s="18"/>
    </row>
    <row r="3242">
      <c r="C3242" s="18"/>
      <c r="D3242" s="19"/>
      <c r="E3242" s="57"/>
      <c r="H3242" s="18"/>
    </row>
    <row r="3243">
      <c r="C3243" s="18"/>
      <c r="D3243" s="19"/>
      <c r="E3243" s="57"/>
      <c r="H3243" s="18"/>
    </row>
    <row r="3244">
      <c r="C3244" s="18"/>
      <c r="D3244" s="19"/>
      <c r="E3244" s="57"/>
      <c r="H3244" s="18"/>
    </row>
    <row r="3245">
      <c r="C3245" s="18"/>
      <c r="D3245" s="19"/>
      <c r="E3245" s="57"/>
      <c r="H3245" s="18"/>
    </row>
    <row r="3246">
      <c r="C3246" s="18"/>
      <c r="D3246" s="19"/>
      <c r="E3246" s="57"/>
      <c r="H3246" s="18"/>
    </row>
    <row r="3247">
      <c r="C3247" s="18"/>
      <c r="D3247" s="19"/>
      <c r="E3247" s="57"/>
      <c r="H3247" s="18"/>
    </row>
    <row r="3248">
      <c r="C3248" s="18"/>
      <c r="D3248" s="19"/>
      <c r="E3248" s="57"/>
      <c r="H3248" s="18"/>
    </row>
    <row r="3249">
      <c r="C3249" s="18"/>
      <c r="D3249" s="19"/>
      <c r="E3249" s="57"/>
      <c r="H3249" s="18"/>
    </row>
    <row r="3250">
      <c r="C3250" s="18"/>
      <c r="D3250" s="19"/>
      <c r="E3250" s="57"/>
      <c r="H3250" s="18"/>
    </row>
    <row r="3251">
      <c r="C3251" s="18"/>
      <c r="D3251" s="19"/>
      <c r="E3251" s="57"/>
      <c r="H3251" s="18"/>
    </row>
    <row r="3252">
      <c r="C3252" s="18"/>
      <c r="D3252" s="19"/>
      <c r="E3252" s="57"/>
      <c r="H3252" s="18"/>
    </row>
    <row r="3253">
      <c r="C3253" s="18"/>
      <c r="D3253" s="19"/>
      <c r="E3253" s="57"/>
      <c r="H3253" s="18"/>
    </row>
    <row r="3254">
      <c r="C3254" s="18"/>
      <c r="D3254" s="19"/>
      <c r="E3254" s="57"/>
      <c r="H3254" s="18"/>
    </row>
    <row r="3255">
      <c r="C3255" s="18"/>
      <c r="D3255" s="19"/>
      <c r="E3255" s="57"/>
      <c r="H3255" s="18"/>
    </row>
    <row r="3256">
      <c r="C3256" s="18"/>
      <c r="D3256" s="19"/>
      <c r="E3256" s="57"/>
      <c r="H3256" s="18"/>
    </row>
    <row r="3257">
      <c r="C3257" s="18"/>
      <c r="D3257" s="19"/>
      <c r="E3257" s="57"/>
      <c r="H3257" s="18"/>
    </row>
    <row r="3258">
      <c r="C3258" s="18"/>
      <c r="D3258" s="19"/>
      <c r="E3258" s="57"/>
      <c r="H3258" s="18"/>
    </row>
    <row r="3259">
      <c r="C3259" s="18"/>
      <c r="D3259" s="19"/>
      <c r="E3259" s="57"/>
      <c r="H3259" s="18"/>
    </row>
    <row r="3260">
      <c r="C3260" s="18"/>
      <c r="D3260" s="19"/>
      <c r="E3260" s="57"/>
      <c r="H3260" s="18"/>
    </row>
    <row r="3261">
      <c r="C3261" s="18"/>
      <c r="D3261" s="19"/>
      <c r="E3261" s="57"/>
      <c r="H3261" s="18"/>
    </row>
    <row r="3262">
      <c r="C3262" s="18"/>
      <c r="D3262" s="19"/>
      <c r="E3262" s="57"/>
      <c r="H3262" s="18"/>
    </row>
    <row r="3263">
      <c r="C3263" s="18"/>
      <c r="D3263" s="19"/>
      <c r="E3263" s="57"/>
      <c r="H3263" s="18"/>
    </row>
    <row r="3264">
      <c r="C3264" s="18"/>
      <c r="D3264" s="19"/>
      <c r="E3264" s="57"/>
      <c r="H3264" s="18"/>
    </row>
    <row r="3265">
      <c r="C3265" s="18"/>
      <c r="D3265" s="19"/>
      <c r="E3265" s="57"/>
      <c r="H3265" s="18"/>
    </row>
    <row r="3266">
      <c r="C3266" s="18"/>
      <c r="D3266" s="19"/>
      <c r="E3266" s="57"/>
      <c r="H3266" s="18"/>
    </row>
    <row r="3267">
      <c r="C3267" s="18"/>
      <c r="D3267" s="19"/>
      <c r="E3267" s="57"/>
      <c r="H3267" s="18"/>
    </row>
    <row r="3268">
      <c r="C3268" s="18"/>
      <c r="D3268" s="19"/>
      <c r="E3268" s="57"/>
      <c r="H3268" s="18"/>
    </row>
    <row r="3269">
      <c r="C3269" s="18"/>
      <c r="D3269" s="19"/>
      <c r="E3269" s="57"/>
      <c r="H3269" s="18"/>
    </row>
    <row r="3270">
      <c r="C3270" s="18"/>
      <c r="D3270" s="19"/>
      <c r="E3270" s="57"/>
      <c r="H3270" s="18"/>
    </row>
    <row r="3271">
      <c r="C3271" s="18"/>
      <c r="D3271" s="19"/>
      <c r="E3271" s="57"/>
      <c r="H3271" s="18"/>
    </row>
    <row r="3272">
      <c r="C3272" s="18"/>
      <c r="D3272" s="19"/>
      <c r="E3272" s="57"/>
      <c r="H3272" s="18"/>
    </row>
    <row r="3273">
      <c r="C3273" s="18"/>
      <c r="D3273" s="19"/>
      <c r="E3273" s="57"/>
      <c r="H3273" s="18"/>
    </row>
    <row r="3274">
      <c r="C3274" s="18"/>
      <c r="D3274" s="19"/>
      <c r="E3274" s="57"/>
      <c r="H3274" s="18"/>
    </row>
    <row r="3275">
      <c r="C3275" s="18"/>
      <c r="D3275" s="19"/>
      <c r="E3275" s="57"/>
      <c r="H3275" s="18"/>
    </row>
    <row r="3276">
      <c r="C3276" s="18"/>
      <c r="D3276" s="19"/>
      <c r="E3276" s="57"/>
      <c r="H3276" s="18"/>
    </row>
    <row r="3277">
      <c r="C3277" s="18"/>
      <c r="D3277" s="19"/>
      <c r="E3277" s="57"/>
      <c r="H3277" s="18"/>
    </row>
    <row r="3278">
      <c r="C3278" s="18"/>
      <c r="D3278" s="19"/>
      <c r="E3278" s="57"/>
      <c r="H3278" s="18"/>
    </row>
    <row r="3279">
      <c r="C3279" s="18"/>
      <c r="D3279" s="19"/>
      <c r="E3279" s="57"/>
      <c r="H3279" s="18"/>
    </row>
    <row r="3280">
      <c r="C3280" s="18"/>
      <c r="D3280" s="19"/>
      <c r="E3280" s="57"/>
      <c r="H3280" s="18"/>
    </row>
    <row r="3281">
      <c r="C3281" s="18"/>
      <c r="D3281" s="19"/>
      <c r="E3281" s="57"/>
      <c r="H3281" s="18"/>
    </row>
    <row r="3282">
      <c r="C3282" s="18"/>
      <c r="D3282" s="19"/>
      <c r="E3282" s="57"/>
      <c r="H3282" s="18"/>
    </row>
    <row r="3283">
      <c r="C3283" s="18"/>
      <c r="D3283" s="19"/>
      <c r="E3283" s="57"/>
      <c r="H3283" s="18"/>
    </row>
    <row r="3284">
      <c r="C3284" s="18"/>
      <c r="D3284" s="19"/>
      <c r="E3284" s="57"/>
      <c r="H3284" s="18"/>
    </row>
    <row r="3285">
      <c r="C3285" s="18"/>
      <c r="D3285" s="19"/>
      <c r="E3285" s="57"/>
      <c r="H3285" s="18"/>
    </row>
    <row r="3286">
      <c r="C3286" s="18"/>
      <c r="D3286" s="19"/>
      <c r="E3286" s="57"/>
      <c r="H3286" s="18"/>
    </row>
    <row r="3287">
      <c r="C3287" s="18"/>
      <c r="D3287" s="19"/>
      <c r="E3287" s="57"/>
      <c r="H3287" s="18"/>
    </row>
    <row r="3288">
      <c r="C3288" s="18"/>
      <c r="D3288" s="19"/>
      <c r="E3288" s="57"/>
      <c r="H3288" s="18"/>
    </row>
    <row r="3289">
      <c r="C3289" s="18"/>
      <c r="D3289" s="19"/>
      <c r="E3289" s="57"/>
      <c r="H3289" s="18"/>
    </row>
    <row r="3290">
      <c r="C3290" s="18"/>
      <c r="D3290" s="19"/>
      <c r="E3290" s="57"/>
      <c r="H3290" s="18"/>
    </row>
    <row r="3291">
      <c r="C3291" s="18"/>
      <c r="D3291" s="19"/>
      <c r="E3291" s="57"/>
      <c r="H3291" s="18"/>
    </row>
    <row r="3292">
      <c r="C3292" s="18"/>
      <c r="D3292" s="19"/>
      <c r="E3292" s="57"/>
      <c r="H3292" s="18"/>
    </row>
    <row r="3293">
      <c r="C3293" s="18"/>
      <c r="D3293" s="19"/>
      <c r="E3293" s="57"/>
      <c r="H3293" s="18"/>
    </row>
    <row r="3294">
      <c r="C3294" s="18"/>
      <c r="D3294" s="19"/>
      <c r="E3294" s="57"/>
      <c r="H3294" s="18"/>
    </row>
    <row r="3295">
      <c r="C3295" s="18"/>
      <c r="D3295" s="19"/>
      <c r="E3295" s="57"/>
      <c r="H3295" s="18"/>
    </row>
    <row r="3296">
      <c r="C3296" s="18"/>
      <c r="D3296" s="19"/>
      <c r="E3296" s="57"/>
      <c r="H3296" s="18"/>
    </row>
    <row r="3297">
      <c r="C3297" s="18"/>
      <c r="D3297" s="19"/>
      <c r="E3297" s="57"/>
      <c r="H3297" s="18"/>
    </row>
    <row r="3298">
      <c r="C3298" s="18"/>
      <c r="D3298" s="19"/>
      <c r="E3298" s="57"/>
      <c r="H3298" s="18"/>
    </row>
    <row r="3299">
      <c r="C3299" s="18"/>
      <c r="D3299" s="19"/>
      <c r="E3299" s="57"/>
      <c r="H3299" s="18"/>
    </row>
    <row r="3300">
      <c r="C3300" s="18"/>
      <c r="D3300" s="19"/>
      <c r="E3300" s="57"/>
      <c r="H3300" s="18"/>
    </row>
    <row r="3301">
      <c r="C3301" s="18"/>
      <c r="D3301" s="19"/>
      <c r="E3301" s="57"/>
      <c r="H3301" s="18"/>
    </row>
    <row r="3302">
      <c r="C3302" s="18"/>
      <c r="D3302" s="19"/>
      <c r="E3302" s="57"/>
      <c r="H3302" s="18"/>
    </row>
    <row r="3303">
      <c r="C3303" s="18"/>
      <c r="D3303" s="19"/>
      <c r="E3303" s="57"/>
      <c r="H3303" s="18"/>
    </row>
    <row r="3304">
      <c r="C3304" s="18"/>
      <c r="D3304" s="19"/>
      <c r="E3304" s="57"/>
      <c r="H3304" s="18"/>
    </row>
    <row r="3305">
      <c r="C3305" s="18"/>
      <c r="D3305" s="19"/>
      <c r="E3305" s="57"/>
      <c r="H3305" s="18"/>
    </row>
    <row r="3306">
      <c r="C3306" s="18"/>
      <c r="D3306" s="19"/>
      <c r="E3306" s="57"/>
      <c r="H3306" s="18"/>
    </row>
    <row r="3307">
      <c r="C3307" s="18"/>
      <c r="D3307" s="19"/>
      <c r="E3307" s="57"/>
      <c r="H3307" s="18"/>
    </row>
    <row r="3308">
      <c r="C3308" s="18"/>
      <c r="D3308" s="19"/>
      <c r="E3308" s="57"/>
      <c r="H3308" s="18"/>
    </row>
    <row r="3309">
      <c r="C3309" s="18"/>
      <c r="D3309" s="19"/>
      <c r="E3309" s="57"/>
      <c r="H3309" s="18"/>
    </row>
    <row r="3310">
      <c r="C3310" s="18"/>
      <c r="D3310" s="19"/>
      <c r="E3310" s="57"/>
      <c r="H3310" s="18"/>
    </row>
    <row r="3311">
      <c r="C3311" s="18"/>
      <c r="D3311" s="19"/>
      <c r="E3311" s="57"/>
      <c r="H3311" s="18"/>
    </row>
    <row r="3312">
      <c r="C3312" s="18"/>
      <c r="D3312" s="19"/>
      <c r="E3312" s="57"/>
      <c r="H3312" s="18"/>
    </row>
    <row r="3313">
      <c r="C3313" s="18"/>
      <c r="D3313" s="19"/>
      <c r="E3313" s="57"/>
      <c r="H3313" s="18"/>
    </row>
    <row r="3314">
      <c r="C3314" s="18"/>
      <c r="D3314" s="19"/>
      <c r="E3314" s="57"/>
      <c r="H3314" s="18"/>
    </row>
    <row r="3315">
      <c r="C3315" s="18"/>
      <c r="D3315" s="19"/>
      <c r="E3315" s="57"/>
      <c r="H3315" s="18"/>
    </row>
    <row r="3316">
      <c r="C3316" s="18"/>
      <c r="D3316" s="19"/>
      <c r="E3316" s="57"/>
      <c r="H3316" s="18"/>
    </row>
    <row r="3317">
      <c r="C3317" s="18"/>
      <c r="D3317" s="19"/>
      <c r="E3317" s="57"/>
      <c r="H3317" s="18"/>
    </row>
    <row r="3318">
      <c r="C3318" s="18"/>
      <c r="D3318" s="19"/>
      <c r="E3318" s="57"/>
      <c r="H3318" s="18"/>
    </row>
    <row r="3319">
      <c r="C3319" s="18"/>
      <c r="D3319" s="19"/>
      <c r="E3319" s="57"/>
      <c r="H3319" s="18"/>
    </row>
    <row r="3320">
      <c r="C3320" s="18"/>
      <c r="D3320" s="19"/>
      <c r="E3320" s="57"/>
      <c r="H3320" s="18"/>
    </row>
    <row r="3321">
      <c r="C3321" s="18"/>
      <c r="D3321" s="19"/>
      <c r="E3321" s="57"/>
      <c r="H3321" s="18"/>
    </row>
    <row r="3322">
      <c r="C3322" s="18"/>
      <c r="D3322" s="19"/>
      <c r="E3322" s="57"/>
      <c r="H3322" s="18"/>
    </row>
    <row r="3323">
      <c r="C3323" s="18"/>
      <c r="D3323" s="19"/>
      <c r="E3323" s="57"/>
      <c r="H3323" s="18"/>
    </row>
    <row r="3324">
      <c r="C3324" s="18"/>
      <c r="D3324" s="19"/>
      <c r="E3324" s="57"/>
      <c r="H3324" s="18"/>
    </row>
    <row r="3325">
      <c r="C3325" s="18"/>
      <c r="D3325" s="19"/>
      <c r="E3325" s="57"/>
      <c r="H3325" s="18"/>
    </row>
    <row r="3326">
      <c r="C3326" s="18"/>
      <c r="D3326" s="19"/>
      <c r="E3326" s="57"/>
      <c r="H3326" s="18"/>
    </row>
    <row r="3327">
      <c r="C3327" s="18"/>
      <c r="D3327" s="19"/>
      <c r="E3327" s="57"/>
      <c r="H3327" s="18"/>
    </row>
    <row r="3328">
      <c r="C3328" s="18"/>
      <c r="D3328" s="19"/>
      <c r="E3328" s="57"/>
      <c r="H3328" s="18"/>
    </row>
    <row r="3329">
      <c r="C3329" s="18"/>
      <c r="D3329" s="19"/>
      <c r="E3329" s="57"/>
      <c r="H3329" s="18"/>
    </row>
    <row r="3330">
      <c r="C3330" s="18"/>
      <c r="D3330" s="19"/>
      <c r="E3330" s="57"/>
      <c r="H3330" s="18"/>
    </row>
    <row r="3331">
      <c r="C3331" s="18"/>
      <c r="D3331" s="19"/>
      <c r="E3331" s="57"/>
      <c r="H3331" s="18"/>
    </row>
    <row r="3332">
      <c r="C3332" s="18"/>
      <c r="D3332" s="19"/>
      <c r="E3332" s="57"/>
      <c r="H3332" s="18"/>
    </row>
    <row r="3333">
      <c r="C3333" s="18"/>
      <c r="D3333" s="19"/>
      <c r="E3333" s="57"/>
      <c r="H3333" s="18"/>
    </row>
    <row r="3334">
      <c r="C3334" s="18"/>
      <c r="D3334" s="19"/>
      <c r="E3334" s="57"/>
      <c r="H3334" s="18"/>
    </row>
    <row r="3335">
      <c r="C3335" s="18"/>
      <c r="D3335" s="19"/>
      <c r="E3335" s="57"/>
      <c r="H3335" s="18"/>
    </row>
    <row r="3336">
      <c r="C3336" s="18"/>
      <c r="D3336" s="19"/>
      <c r="E3336" s="57"/>
      <c r="H3336" s="18"/>
    </row>
    <row r="3337">
      <c r="C3337" s="18"/>
      <c r="D3337" s="19"/>
      <c r="E3337" s="57"/>
      <c r="H3337" s="18"/>
    </row>
    <row r="3338">
      <c r="C3338" s="18"/>
      <c r="D3338" s="19"/>
      <c r="E3338" s="57"/>
      <c r="H3338" s="18"/>
    </row>
    <row r="3339">
      <c r="C3339" s="18"/>
      <c r="D3339" s="19"/>
      <c r="E3339" s="57"/>
      <c r="H3339" s="18"/>
    </row>
    <row r="3340">
      <c r="C3340" s="18"/>
      <c r="D3340" s="19"/>
      <c r="E3340" s="57"/>
      <c r="H3340" s="18"/>
    </row>
    <row r="3341">
      <c r="C3341" s="18"/>
      <c r="D3341" s="19"/>
      <c r="E3341" s="57"/>
      <c r="H3341" s="18"/>
    </row>
    <row r="3342">
      <c r="C3342" s="18"/>
      <c r="D3342" s="19"/>
      <c r="E3342" s="57"/>
      <c r="H3342" s="18"/>
    </row>
    <row r="3343">
      <c r="C3343" s="18"/>
      <c r="D3343" s="19"/>
      <c r="E3343" s="57"/>
      <c r="H3343" s="18"/>
    </row>
    <row r="3344">
      <c r="C3344" s="18"/>
      <c r="D3344" s="19"/>
      <c r="E3344" s="57"/>
      <c r="H3344" s="18"/>
    </row>
    <row r="3345">
      <c r="C3345" s="18"/>
      <c r="D3345" s="19"/>
      <c r="E3345" s="57"/>
      <c r="H3345" s="18"/>
    </row>
    <row r="3346">
      <c r="C3346" s="18"/>
      <c r="D3346" s="19"/>
      <c r="E3346" s="57"/>
      <c r="H3346" s="18"/>
    </row>
    <row r="3347">
      <c r="C3347" s="18"/>
      <c r="D3347" s="19"/>
      <c r="E3347" s="57"/>
      <c r="H3347" s="18"/>
    </row>
    <row r="3348">
      <c r="C3348" s="18"/>
      <c r="D3348" s="19"/>
      <c r="E3348" s="57"/>
      <c r="H3348" s="18"/>
    </row>
    <row r="3349">
      <c r="C3349" s="18"/>
      <c r="D3349" s="19"/>
      <c r="E3349" s="57"/>
      <c r="H3349" s="18"/>
    </row>
    <row r="3350">
      <c r="C3350" s="18"/>
      <c r="D3350" s="19"/>
      <c r="E3350" s="57"/>
      <c r="H3350" s="18"/>
    </row>
    <row r="3351">
      <c r="C3351" s="18"/>
      <c r="D3351" s="19"/>
      <c r="E3351" s="57"/>
      <c r="H3351" s="18"/>
    </row>
    <row r="3352">
      <c r="C3352" s="18"/>
      <c r="D3352" s="19"/>
      <c r="E3352" s="57"/>
      <c r="H3352" s="18"/>
    </row>
    <row r="3353">
      <c r="C3353" s="18"/>
      <c r="D3353" s="19"/>
      <c r="E3353" s="57"/>
      <c r="H3353" s="18"/>
    </row>
    <row r="3354">
      <c r="C3354" s="18"/>
      <c r="D3354" s="19"/>
      <c r="E3354" s="57"/>
      <c r="H3354" s="18"/>
    </row>
    <row r="3355">
      <c r="C3355" s="18"/>
      <c r="D3355" s="19"/>
      <c r="E3355" s="57"/>
      <c r="H3355" s="18"/>
    </row>
    <row r="3356">
      <c r="C3356" s="18"/>
      <c r="D3356" s="19"/>
      <c r="E3356" s="57"/>
      <c r="H3356" s="18"/>
    </row>
    <row r="3357">
      <c r="C3357" s="18"/>
      <c r="D3357" s="19"/>
      <c r="E3357" s="57"/>
      <c r="H3357" s="18"/>
    </row>
    <row r="3358">
      <c r="C3358" s="18"/>
      <c r="D3358" s="19"/>
      <c r="E3358" s="57"/>
      <c r="H3358" s="18"/>
    </row>
    <row r="3359">
      <c r="C3359" s="18"/>
      <c r="D3359" s="19"/>
      <c r="E3359" s="57"/>
      <c r="H3359" s="18"/>
    </row>
    <row r="3360">
      <c r="C3360" s="18"/>
      <c r="D3360" s="19"/>
      <c r="E3360" s="57"/>
      <c r="H3360" s="18"/>
    </row>
    <row r="3361">
      <c r="C3361" s="18"/>
      <c r="D3361" s="19"/>
      <c r="E3361" s="57"/>
      <c r="H3361" s="18"/>
    </row>
    <row r="3362">
      <c r="C3362" s="18"/>
      <c r="D3362" s="19"/>
      <c r="E3362" s="57"/>
      <c r="H3362" s="18"/>
    </row>
    <row r="3363">
      <c r="C3363" s="18"/>
      <c r="D3363" s="19"/>
      <c r="E3363" s="57"/>
      <c r="H3363" s="18"/>
    </row>
    <row r="3364">
      <c r="C3364" s="18"/>
      <c r="D3364" s="19"/>
      <c r="E3364" s="57"/>
      <c r="H3364" s="18"/>
    </row>
    <row r="3365">
      <c r="C3365" s="18"/>
      <c r="D3365" s="19"/>
      <c r="E3365" s="57"/>
      <c r="H3365" s="18"/>
    </row>
    <row r="3366">
      <c r="C3366" s="18"/>
      <c r="D3366" s="19"/>
      <c r="E3366" s="57"/>
      <c r="H3366" s="18"/>
    </row>
    <row r="3367">
      <c r="C3367" s="18"/>
      <c r="D3367" s="19"/>
      <c r="E3367" s="57"/>
      <c r="H3367" s="18"/>
    </row>
    <row r="3368">
      <c r="C3368" s="18"/>
      <c r="D3368" s="19"/>
      <c r="E3368" s="57"/>
      <c r="H3368" s="18"/>
    </row>
    <row r="3369">
      <c r="C3369" s="18"/>
      <c r="D3369" s="19"/>
      <c r="E3369" s="57"/>
      <c r="H3369" s="18"/>
    </row>
    <row r="3370">
      <c r="C3370" s="18"/>
      <c r="D3370" s="19"/>
      <c r="E3370" s="57"/>
      <c r="H3370" s="18"/>
    </row>
    <row r="3371">
      <c r="C3371" s="18"/>
      <c r="D3371" s="19"/>
      <c r="E3371" s="57"/>
      <c r="H3371" s="18"/>
    </row>
    <row r="3372">
      <c r="C3372" s="18"/>
      <c r="D3372" s="19"/>
      <c r="E3372" s="57"/>
      <c r="H3372" s="18"/>
    </row>
    <row r="3373">
      <c r="C3373" s="18"/>
      <c r="D3373" s="19"/>
      <c r="E3373" s="57"/>
      <c r="H3373" s="18"/>
    </row>
    <row r="3374">
      <c r="C3374" s="18"/>
      <c r="D3374" s="19"/>
      <c r="E3374" s="57"/>
      <c r="H3374" s="18"/>
    </row>
    <row r="3375">
      <c r="C3375" s="18"/>
      <c r="D3375" s="19"/>
      <c r="E3375" s="57"/>
      <c r="H3375" s="18"/>
    </row>
    <row r="3376">
      <c r="C3376" s="18"/>
      <c r="D3376" s="19"/>
      <c r="E3376" s="57"/>
      <c r="H3376" s="18"/>
    </row>
    <row r="3377">
      <c r="C3377" s="18"/>
      <c r="D3377" s="19"/>
      <c r="E3377" s="57"/>
      <c r="H3377" s="18"/>
    </row>
    <row r="3378">
      <c r="C3378" s="18"/>
      <c r="D3378" s="19"/>
      <c r="E3378" s="57"/>
      <c r="H3378" s="18"/>
    </row>
    <row r="3379">
      <c r="C3379" s="18"/>
      <c r="D3379" s="19"/>
      <c r="E3379" s="57"/>
      <c r="H3379" s="18"/>
    </row>
    <row r="3380">
      <c r="C3380" s="18"/>
      <c r="D3380" s="19"/>
      <c r="E3380" s="57"/>
      <c r="H3380" s="18"/>
    </row>
    <row r="3381">
      <c r="C3381" s="18"/>
      <c r="D3381" s="19"/>
      <c r="E3381" s="57"/>
      <c r="H3381" s="18"/>
    </row>
    <row r="3382">
      <c r="C3382" s="18"/>
      <c r="D3382" s="19"/>
      <c r="E3382" s="57"/>
      <c r="H3382" s="18"/>
    </row>
    <row r="3383">
      <c r="C3383" s="18"/>
      <c r="D3383" s="19"/>
      <c r="E3383" s="57"/>
      <c r="H3383" s="18"/>
    </row>
    <row r="3384">
      <c r="C3384" s="18"/>
      <c r="D3384" s="19"/>
      <c r="E3384" s="57"/>
      <c r="H3384" s="18"/>
    </row>
    <row r="3385">
      <c r="C3385" s="18"/>
      <c r="D3385" s="19"/>
      <c r="E3385" s="57"/>
      <c r="H3385" s="18"/>
    </row>
    <row r="3386">
      <c r="C3386" s="18"/>
      <c r="D3386" s="19"/>
      <c r="E3386" s="57"/>
      <c r="H3386" s="18"/>
    </row>
    <row r="3387">
      <c r="C3387" s="18"/>
      <c r="D3387" s="19"/>
      <c r="E3387" s="57"/>
      <c r="H3387" s="18"/>
    </row>
    <row r="3388">
      <c r="C3388" s="18"/>
      <c r="D3388" s="19"/>
      <c r="E3388" s="57"/>
      <c r="H3388" s="18"/>
    </row>
    <row r="3389">
      <c r="C3389" s="18"/>
      <c r="D3389" s="19"/>
      <c r="E3389" s="57"/>
      <c r="H3389" s="18"/>
    </row>
    <row r="3390">
      <c r="C3390" s="18"/>
      <c r="D3390" s="19"/>
      <c r="E3390" s="57"/>
      <c r="H3390" s="18"/>
    </row>
    <row r="3391">
      <c r="C3391" s="18"/>
      <c r="D3391" s="19"/>
      <c r="E3391" s="57"/>
      <c r="H3391" s="18"/>
    </row>
    <row r="3392">
      <c r="C3392" s="18"/>
      <c r="D3392" s="19"/>
      <c r="E3392" s="57"/>
      <c r="H3392" s="18"/>
    </row>
    <row r="3393">
      <c r="C3393" s="18"/>
      <c r="D3393" s="19"/>
      <c r="E3393" s="57"/>
      <c r="H3393" s="18"/>
    </row>
    <row r="3394">
      <c r="C3394" s="18"/>
      <c r="D3394" s="19"/>
      <c r="E3394" s="57"/>
      <c r="H3394" s="18"/>
    </row>
    <row r="3395">
      <c r="C3395" s="18"/>
      <c r="D3395" s="19"/>
      <c r="E3395" s="57"/>
      <c r="H3395" s="18"/>
    </row>
    <row r="3396">
      <c r="C3396" s="18"/>
      <c r="D3396" s="19"/>
      <c r="E3396" s="57"/>
      <c r="H3396" s="18"/>
    </row>
    <row r="3397">
      <c r="C3397" s="18"/>
      <c r="D3397" s="19"/>
      <c r="E3397" s="57"/>
      <c r="H3397" s="18"/>
    </row>
    <row r="3398">
      <c r="C3398" s="18"/>
      <c r="D3398" s="19"/>
      <c r="E3398" s="57"/>
      <c r="H3398" s="18"/>
    </row>
    <row r="3399">
      <c r="C3399" s="18"/>
      <c r="D3399" s="19"/>
      <c r="E3399" s="57"/>
      <c r="H3399" s="18"/>
    </row>
    <row r="3400">
      <c r="C3400" s="18"/>
      <c r="D3400" s="19"/>
      <c r="E3400" s="57"/>
      <c r="H3400" s="18"/>
    </row>
    <row r="3401">
      <c r="C3401" s="18"/>
      <c r="D3401" s="19"/>
      <c r="E3401" s="57"/>
      <c r="H3401" s="18"/>
    </row>
    <row r="3402">
      <c r="C3402" s="18"/>
      <c r="D3402" s="19"/>
      <c r="E3402" s="57"/>
      <c r="H3402" s="18"/>
    </row>
    <row r="3403">
      <c r="C3403" s="18"/>
      <c r="D3403" s="19"/>
      <c r="E3403" s="57"/>
      <c r="H3403" s="18"/>
    </row>
    <row r="3404">
      <c r="C3404" s="18"/>
      <c r="D3404" s="19"/>
      <c r="E3404" s="57"/>
      <c r="H3404" s="18"/>
    </row>
    <row r="3405">
      <c r="C3405" s="18"/>
      <c r="D3405" s="19"/>
      <c r="E3405" s="57"/>
      <c r="H3405" s="18"/>
    </row>
    <row r="3406">
      <c r="C3406" s="18"/>
      <c r="D3406" s="19"/>
      <c r="E3406" s="57"/>
      <c r="H3406" s="18"/>
    </row>
    <row r="3407">
      <c r="C3407" s="18"/>
      <c r="D3407" s="19"/>
      <c r="E3407" s="57"/>
      <c r="H3407" s="18"/>
    </row>
    <row r="3408">
      <c r="C3408" s="18"/>
      <c r="D3408" s="19"/>
      <c r="E3408" s="57"/>
      <c r="H3408" s="18"/>
    </row>
    <row r="3409">
      <c r="C3409" s="18"/>
      <c r="D3409" s="19"/>
      <c r="E3409" s="57"/>
      <c r="H3409" s="18"/>
    </row>
    <row r="3410">
      <c r="C3410" s="18"/>
      <c r="D3410" s="19"/>
      <c r="E3410" s="57"/>
      <c r="H3410" s="18"/>
    </row>
    <row r="3411">
      <c r="C3411" s="18"/>
      <c r="D3411" s="19"/>
      <c r="E3411" s="57"/>
      <c r="H3411" s="18"/>
    </row>
    <row r="3412">
      <c r="C3412" s="18"/>
      <c r="D3412" s="19"/>
      <c r="E3412" s="57"/>
      <c r="H3412" s="18"/>
    </row>
    <row r="3413">
      <c r="C3413" s="18"/>
      <c r="D3413" s="19"/>
      <c r="E3413" s="57"/>
      <c r="H3413" s="18"/>
    </row>
    <row r="3414">
      <c r="C3414" s="18"/>
      <c r="D3414" s="19"/>
      <c r="E3414" s="57"/>
      <c r="H3414" s="18"/>
    </row>
    <row r="3415">
      <c r="C3415" s="18"/>
      <c r="D3415" s="19"/>
      <c r="E3415" s="57"/>
      <c r="H3415" s="18"/>
    </row>
    <row r="3416">
      <c r="C3416" s="18"/>
      <c r="D3416" s="19"/>
      <c r="E3416" s="57"/>
      <c r="H3416" s="18"/>
    </row>
    <row r="3417">
      <c r="C3417" s="18"/>
      <c r="D3417" s="19"/>
      <c r="E3417" s="57"/>
      <c r="H3417" s="18"/>
    </row>
    <row r="3418">
      <c r="C3418" s="18"/>
      <c r="D3418" s="19"/>
      <c r="E3418" s="57"/>
      <c r="H3418" s="18"/>
    </row>
    <row r="3419">
      <c r="C3419" s="18"/>
      <c r="D3419" s="19"/>
      <c r="E3419" s="57"/>
      <c r="H3419" s="18"/>
    </row>
    <row r="3420">
      <c r="C3420" s="18"/>
      <c r="D3420" s="19"/>
      <c r="E3420" s="57"/>
      <c r="H3420" s="18"/>
    </row>
    <row r="3421">
      <c r="C3421" s="18"/>
      <c r="D3421" s="19"/>
      <c r="E3421" s="57"/>
      <c r="H3421" s="18"/>
    </row>
    <row r="3422">
      <c r="C3422" s="18"/>
      <c r="D3422" s="19"/>
      <c r="E3422" s="57"/>
      <c r="H3422" s="18"/>
    </row>
    <row r="3423">
      <c r="C3423" s="18"/>
      <c r="D3423" s="19"/>
      <c r="E3423" s="57"/>
      <c r="H3423" s="18"/>
    </row>
    <row r="3424">
      <c r="C3424" s="18"/>
      <c r="D3424" s="19"/>
      <c r="E3424" s="57"/>
      <c r="H3424" s="18"/>
    </row>
    <row r="3425">
      <c r="C3425" s="18"/>
      <c r="D3425" s="19"/>
      <c r="E3425" s="57"/>
      <c r="H3425" s="18"/>
    </row>
    <row r="3426">
      <c r="C3426" s="18"/>
      <c r="D3426" s="19"/>
      <c r="E3426" s="57"/>
      <c r="H3426" s="18"/>
    </row>
    <row r="3427">
      <c r="C3427" s="18"/>
      <c r="D3427" s="19"/>
      <c r="E3427" s="57"/>
      <c r="H3427" s="18"/>
    </row>
    <row r="3428">
      <c r="C3428" s="18"/>
      <c r="D3428" s="19"/>
      <c r="E3428" s="57"/>
      <c r="H3428" s="18"/>
    </row>
    <row r="3429">
      <c r="C3429" s="18"/>
      <c r="D3429" s="19"/>
      <c r="E3429" s="57"/>
      <c r="H3429" s="18"/>
    </row>
    <row r="3430">
      <c r="C3430" s="18"/>
      <c r="D3430" s="19"/>
      <c r="E3430" s="57"/>
      <c r="H3430" s="18"/>
    </row>
    <row r="3431">
      <c r="C3431" s="18"/>
      <c r="D3431" s="19"/>
      <c r="E3431" s="57"/>
      <c r="H3431" s="18"/>
    </row>
    <row r="3432">
      <c r="C3432" s="18"/>
      <c r="D3432" s="19"/>
      <c r="E3432" s="57"/>
      <c r="H3432" s="18"/>
    </row>
    <row r="3433">
      <c r="C3433" s="18"/>
      <c r="D3433" s="19"/>
      <c r="E3433" s="57"/>
      <c r="H3433" s="18"/>
    </row>
    <row r="3434">
      <c r="C3434" s="18"/>
      <c r="D3434" s="19"/>
      <c r="E3434" s="57"/>
      <c r="H3434" s="18"/>
    </row>
    <row r="3435">
      <c r="C3435" s="18"/>
      <c r="D3435" s="19"/>
      <c r="E3435" s="57"/>
      <c r="H3435" s="18"/>
    </row>
    <row r="3436">
      <c r="C3436" s="18"/>
      <c r="D3436" s="19"/>
      <c r="E3436" s="57"/>
      <c r="H3436" s="18"/>
    </row>
    <row r="3437">
      <c r="C3437" s="18"/>
      <c r="D3437" s="19"/>
      <c r="E3437" s="57"/>
      <c r="H3437" s="18"/>
    </row>
    <row r="3438">
      <c r="C3438" s="18"/>
      <c r="D3438" s="19"/>
      <c r="E3438" s="57"/>
      <c r="H3438" s="18"/>
    </row>
    <row r="3439">
      <c r="C3439" s="18"/>
      <c r="D3439" s="19"/>
      <c r="E3439" s="57"/>
      <c r="H3439" s="18"/>
    </row>
    <row r="3440">
      <c r="C3440" s="18"/>
      <c r="D3440" s="19"/>
      <c r="E3440" s="57"/>
      <c r="H3440" s="18"/>
    </row>
    <row r="3441">
      <c r="C3441" s="18"/>
      <c r="D3441" s="19"/>
      <c r="E3441" s="57"/>
      <c r="H3441" s="18"/>
    </row>
    <row r="3442">
      <c r="C3442" s="18"/>
      <c r="D3442" s="19"/>
      <c r="E3442" s="57"/>
      <c r="H3442" s="18"/>
    </row>
    <row r="3443">
      <c r="C3443" s="18"/>
      <c r="D3443" s="19"/>
      <c r="E3443" s="57"/>
      <c r="H3443" s="18"/>
    </row>
    <row r="3444">
      <c r="C3444" s="18"/>
      <c r="D3444" s="19"/>
      <c r="E3444" s="57"/>
      <c r="H3444" s="18"/>
    </row>
    <row r="3445">
      <c r="C3445" s="18"/>
      <c r="D3445" s="19"/>
      <c r="E3445" s="57"/>
      <c r="H3445" s="18"/>
    </row>
    <row r="3446">
      <c r="C3446" s="18"/>
      <c r="D3446" s="19"/>
      <c r="E3446" s="57"/>
      <c r="H3446" s="18"/>
    </row>
    <row r="3447">
      <c r="C3447" s="18"/>
      <c r="D3447" s="19"/>
      <c r="E3447" s="57"/>
      <c r="H3447" s="18"/>
    </row>
    <row r="3448">
      <c r="C3448" s="18"/>
      <c r="D3448" s="19"/>
      <c r="E3448" s="57"/>
      <c r="H3448" s="18"/>
    </row>
    <row r="3449">
      <c r="C3449" s="18"/>
      <c r="D3449" s="19"/>
      <c r="E3449" s="57"/>
      <c r="H3449" s="18"/>
    </row>
    <row r="3450">
      <c r="C3450" s="18"/>
      <c r="D3450" s="19"/>
      <c r="E3450" s="57"/>
      <c r="H3450" s="18"/>
    </row>
    <row r="3451">
      <c r="C3451" s="18"/>
      <c r="D3451" s="19"/>
      <c r="E3451" s="57"/>
      <c r="H3451" s="18"/>
    </row>
    <row r="3452">
      <c r="C3452" s="18"/>
      <c r="D3452" s="19"/>
      <c r="E3452" s="57"/>
      <c r="H3452" s="18"/>
    </row>
    <row r="3453">
      <c r="C3453" s="18"/>
      <c r="D3453" s="19"/>
      <c r="E3453" s="57"/>
      <c r="H3453" s="18"/>
    </row>
    <row r="3454">
      <c r="C3454" s="18"/>
      <c r="D3454" s="19"/>
      <c r="E3454" s="57"/>
      <c r="H3454" s="18"/>
    </row>
    <row r="3455">
      <c r="C3455" s="18"/>
      <c r="D3455" s="19"/>
      <c r="E3455" s="57"/>
      <c r="H3455" s="18"/>
    </row>
    <row r="3456">
      <c r="C3456" s="18"/>
      <c r="D3456" s="19"/>
      <c r="E3456" s="57"/>
      <c r="H3456" s="18"/>
    </row>
    <row r="3457">
      <c r="C3457" s="18"/>
      <c r="D3457" s="19"/>
      <c r="E3457" s="57"/>
      <c r="H3457" s="18"/>
    </row>
    <row r="3458">
      <c r="C3458" s="18"/>
      <c r="D3458" s="19"/>
      <c r="E3458" s="57"/>
      <c r="H3458" s="18"/>
    </row>
    <row r="3459">
      <c r="C3459" s="18"/>
      <c r="D3459" s="19"/>
      <c r="E3459" s="57"/>
      <c r="H3459" s="18"/>
    </row>
    <row r="3460">
      <c r="C3460" s="18"/>
      <c r="D3460" s="19"/>
      <c r="E3460" s="57"/>
      <c r="H3460" s="18"/>
    </row>
    <row r="3461">
      <c r="C3461" s="18"/>
      <c r="D3461" s="19"/>
      <c r="E3461" s="57"/>
      <c r="H3461" s="18"/>
    </row>
    <row r="3462">
      <c r="C3462" s="18"/>
      <c r="D3462" s="19"/>
      <c r="E3462" s="57"/>
      <c r="H3462" s="18"/>
    </row>
    <row r="3463">
      <c r="C3463" s="18"/>
      <c r="D3463" s="19"/>
      <c r="E3463" s="57"/>
      <c r="H3463" s="18"/>
    </row>
    <row r="3464">
      <c r="C3464" s="18"/>
      <c r="D3464" s="19"/>
      <c r="E3464" s="57"/>
      <c r="H3464" s="18"/>
    </row>
    <row r="3465">
      <c r="C3465" s="18"/>
      <c r="D3465" s="19"/>
      <c r="E3465" s="57"/>
      <c r="H3465" s="18"/>
    </row>
    <row r="3466">
      <c r="C3466" s="18"/>
      <c r="D3466" s="19"/>
      <c r="E3466" s="57"/>
      <c r="H3466" s="18"/>
    </row>
    <row r="3467">
      <c r="C3467" s="18"/>
      <c r="D3467" s="19"/>
      <c r="E3467" s="57"/>
      <c r="H3467" s="18"/>
    </row>
    <row r="3468">
      <c r="C3468" s="18"/>
      <c r="D3468" s="19"/>
      <c r="E3468" s="57"/>
      <c r="H3468" s="18"/>
    </row>
    <row r="3469">
      <c r="C3469" s="18"/>
      <c r="D3469" s="19"/>
      <c r="E3469" s="57"/>
      <c r="H3469" s="18"/>
    </row>
    <row r="3470">
      <c r="C3470" s="18"/>
      <c r="D3470" s="19"/>
      <c r="E3470" s="57"/>
      <c r="H3470" s="18"/>
    </row>
    <row r="3471">
      <c r="C3471" s="18"/>
      <c r="D3471" s="19"/>
      <c r="E3471" s="57"/>
      <c r="H3471" s="18"/>
    </row>
    <row r="3472">
      <c r="C3472" s="18"/>
      <c r="D3472" s="19"/>
      <c r="E3472" s="57"/>
      <c r="H3472" s="18"/>
    </row>
    <row r="3473">
      <c r="C3473" s="18"/>
      <c r="D3473" s="19"/>
      <c r="E3473" s="57"/>
      <c r="H3473" s="18"/>
    </row>
    <row r="3474">
      <c r="C3474" s="18"/>
      <c r="D3474" s="19"/>
      <c r="E3474" s="57"/>
      <c r="H3474" s="18"/>
    </row>
    <row r="3475">
      <c r="C3475" s="18"/>
      <c r="D3475" s="19"/>
      <c r="E3475" s="57"/>
      <c r="H3475" s="18"/>
    </row>
    <row r="3476">
      <c r="C3476" s="18"/>
      <c r="D3476" s="19"/>
      <c r="E3476" s="57"/>
      <c r="H3476" s="18"/>
    </row>
    <row r="3477">
      <c r="C3477" s="18"/>
      <c r="D3477" s="19"/>
      <c r="E3477" s="57"/>
      <c r="H3477" s="18"/>
    </row>
    <row r="3478">
      <c r="C3478" s="18"/>
      <c r="D3478" s="19"/>
      <c r="E3478" s="57"/>
      <c r="H3478" s="18"/>
    </row>
    <row r="3479">
      <c r="C3479" s="18"/>
      <c r="D3479" s="19"/>
      <c r="E3479" s="57"/>
      <c r="H3479" s="18"/>
    </row>
    <row r="3480">
      <c r="C3480" s="18"/>
      <c r="D3480" s="19"/>
      <c r="E3480" s="57"/>
      <c r="H3480" s="18"/>
    </row>
    <row r="3481">
      <c r="C3481" s="18"/>
      <c r="D3481" s="19"/>
      <c r="E3481" s="57"/>
      <c r="H3481" s="18"/>
    </row>
    <row r="3482">
      <c r="C3482" s="18"/>
      <c r="D3482" s="19"/>
      <c r="E3482" s="57"/>
      <c r="H3482" s="18"/>
    </row>
    <row r="3483">
      <c r="C3483" s="18"/>
      <c r="D3483" s="19"/>
      <c r="E3483" s="57"/>
      <c r="H3483" s="18"/>
    </row>
    <row r="3484">
      <c r="C3484" s="18"/>
      <c r="D3484" s="19"/>
      <c r="E3484" s="57"/>
      <c r="H3484" s="18"/>
    </row>
    <row r="3485">
      <c r="C3485" s="18"/>
      <c r="D3485" s="19"/>
      <c r="E3485" s="57"/>
      <c r="H3485" s="18"/>
    </row>
    <row r="3486">
      <c r="C3486" s="18"/>
      <c r="D3486" s="19"/>
      <c r="E3486" s="57"/>
      <c r="H3486" s="18"/>
    </row>
    <row r="3487">
      <c r="C3487" s="18"/>
      <c r="D3487" s="19"/>
      <c r="E3487" s="57"/>
      <c r="H3487" s="18"/>
    </row>
    <row r="3488">
      <c r="C3488" s="18"/>
      <c r="D3488" s="19"/>
      <c r="E3488" s="57"/>
      <c r="H3488" s="18"/>
    </row>
    <row r="3489">
      <c r="C3489" s="18"/>
      <c r="D3489" s="19"/>
      <c r="E3489" s="57"/>
      <c r="H3489" s="18"/>
    </row>
    <row r="3490">
      <c r="C3490" s="18"/>
      <c r="D3490" s="19"/>
      <c r="E3490" s="57"/>
      <c r="H3490" s="18"/>
    </row>
    <row r="3491">
      <c r="C3491" s="18"/>
      <c r="D3491" s="19"/>
      <c r="E3491" s="57"/>
      <c r="H3491" s="18"/>
    </row>
    <row r="3492">
      <c r="C3492" s="18"/>
      <c r="D3492" s="19"/>
      <c r="E3492" s="57"/>
      <c r="H3492" s="18"/>
    </row>
    <row r="3493">
      <c r="C3493" s="18"/>
      <c r="D3493" s="19"/>
      <c r="E3493" s="57"/>
      <c r="H3493" s="18"/>
    </row>
    <row r="3494">
      <c r="C3494" s="18"/>
      <c r="D3494" s="19"/>
      <c r="E3494" s="57"/>
      <c r="H3494" s="18"/>
    </row>
    <row r="3495">
      <c r="C3495" s="18"/>
      <c r="D3495" s="19"/>
      <c r="E3495" s="57"/>
      <c r="H3495" s="18"/>
    </row>
    <row r="3496">
      <c r="C3496" s="18"/>
      <c r="D3496" s="19"/>
      <c r="E3496" s="57"/>
      <c r="H3496" s="18"/>
    </row>
    <row r="3497">
      <c r="C3497" s="18"/>
      <c r="D3497" s="19"/>
      <c r="E3497" s="57"/>
      <c r="H3497" s="18"/>
    </row>
    <row r="3498">
      <c r="C3498" s="18"/>
      <c r="D3498" s="19"/>
      <c r="E3498" s="57"/>
      <c r="H3498" s="18"/>
    </row>
    <row r="3499">
      <c r="C3499" s="18"/>
      <c r="D3499" s="19"/>
      <c r="E3499" s="57"/>
      <c r="H3499" s="18"/>
    </row>
    <row r="3500">
      <c r="C3500" s="18"/>
      <c r="D3500" s="19"/>
      <c r="E3500" s="57"/>
      <c r="H3500" s="18"/>
    </row>
    <row r="3501">
      <c r="C3501" s="18"/>
      <c r="D3501" s="19"/>
      <c r="E3501" s="57"/>
      <c r="H3501" s="18"/>
    </row>
    <row r="3502">
      <c r="C3502" s="18"/>
      <c r="D3502" s="19"/>
      <c r="E3502" s="57"/>
      <c r="H3502" s="18"/>
    </row>
    <row r="3503">
      <c r="C3503" s="18"/>
      <c r="D3503" s="19"/>
      <c r="E3503" s="57"/>
      <c r="H3503" s="18"/>
    </row>
    <row r="3504">
      <c r="C3504" s="18"/>
      <c r="D3504" s="19"/>
      <c r="E3504" s="57"/>
      <c r="H3504" s="18"/>
    </row>
    <row r="3505">
      <c r="C3505" s="18"/>
      <c r="D3505" s="19"/>
      <c r="E3505" s="57"/>
      <c r="H3505" s="18"/>
    </row>
    <row r="3506">
      <c r="C3506" s="18"/>
      <c r="D3506" s="19"/>
      <c r="E3506" s="57"/>
      <c r="H3506" s="18"/>
    </row>
    <row r="3507">
      <c r="C3507" s="18"/>
      <c r="D3507" s="19"/>
      <c r="E3507" s="57"/>
      <c r="H3507" s="18"/>
    </row>
    <row r="3508">
      <c r="C3508" s="18"/>
      <c r="D3508" s="19"/>
      <c r="E3508" s="57"/>
      <c r="H3508" s="18"/>
    </row>
    <row r="3509">
      <c r="C3509" s="18"/>
      <c r="D3509" s="19"/>
      <c r="E3509" s="57"/>
      <c r="H3509" s="18"/>
    </row>
    <row r="3510">
      <c r="C3510" s="18"/>
      <c r="D3510" s="19"/>
      <c r="E3510" s="57"/>
      <c r="H3510" s="18"/>
    </row>
    <row r="3511">
      <c r="C3511" s="18"/>
      <c r="D3511" s="19"/>
      <c r="E3511" s="57"/>
      <c r="H3511" s="18"/>
    </row>
    <row r="3512">
      <c r="C3512" s="18"/>
      <c r="D3512" s="19"/>
      <c r="E3512" s="57"/>
      <c r="H3512" s="18"/>
    </row>
    <row r="3513">
      <c r="C3513" s="18"/>
      <c r="D3513" s="19"/>
      <c r="E3513" s="57"/>
      <c r="H3513" s="18"/>
    </row>
    <row r="3514">
      <c r="C3514" s="18"/>
      <c r="D3514" s="19"/>
      <c r="E3514" s="57"/>
      <c r="H3514" s="18"/>
    </row>
    <row r="3515">
      <c r="C3515" s="18"/>
      <c r="D3515" s="19"/>
      <c r="E3515" s="57"/>
      <c r="H3515" s="18"/>
    </row>
    <row r="3516">
      <c r="C3516" s="18"/>
      <c r="D3516" s="19"/>
      <c r="E3516" s="57"/>
      <c r="H3516" s="18"/>
    </row>
    <row r="3517">
      <c r="C3517" s="18"/>
      <c r="D3517" s="19"/>
      <c r="E3517" s="57"/>
      <c r="H3517" s="18"/>
    </row>
    <row r="3518">
      <c r="C3518" s="18"/>
      <c r="D3518" s="19"/>
      <c r="E3518" s="57"/>
      <c r="H3518" s="18"/>
    </row>
    <row r="3519">
      <c r="C3519" s="18"/>
      <c r="D3519" s="19"/>
      <c r="E3519" s="57"/>
      <c r="H3519" s="18"/>
    </row>
    <row r="3520">
      <c r="C3520" s="18"/>
      <c r="D3520" s="19"/>
      <c r="E3520" s="57"/>
      <c r="H3520" s="18"/>
    </row>
    <row r="3521">
      <c r="C3521" s="18"/>
      <c r="D3521" s="19"/>
      <c r="E3521" s="57"/>
      <c r="H3521" s="18"/>
    </row>
    <row r="3522">
      <c r="C3522" s="18"/>
      <c r="D3522" s="19"/>
      <c r="E3522" s="57"/>
      <c r="H3522" s="18"/>
    </row>
    <row r="3523">
      <c r="C3523" s="18"/>
      <c r="D3523" s="19"/>
      <c r="E3523" s="57"/>
      <c r="H3523" s="18"/>
    </row>
    <row r="3524">
      <c r="C3524" s="18"/>
      <c r="D3524" s="19"/>
      <c r="E3524" s="57"/>
      <c r="H3524" s="18"/>
    </row>
    <row r="3525">
      <c r="C3525" s="18"/>
      <c r="D3525" s="19"/>
      <c r="E3525" s="57"/>
      <c r="H3525" s="18"/>
    </row>
    <row r="3526">
      <c r="C3526" s="18"/>
      <c r="D3526" s="19"/>
      <c r="E3526" s="57"/>
      <c r="H3526" s="18"/>
    </row>
    <row r="3527">
      <c r="C3527" s="18"/>
      <c r="D3527" s="19"/>
      <c r="E3527" s="57"/>
      <c r="H3527" s="18"/>
    </row>
    <row r="3528">
      <c r="C3528" s="18"/>
      <c r="D3528" s="19"/>
      <c r="E3528" s="57"/>
      <c r="H3528" s="18"/>
    </row>
    <row r="3529">
      <c r="C3529" s="18"/>
      <c r="D3529" s="19"/>
      <c r="E3529" s="57"/>
      <c r="H3529" s="18"/>
    </row>
    <row r="3530">
      <c r="C3530" s="18"/>
      <c r="D3530" s="19"/>
      <c r="E3530" s="57"/>
      <c r="H3530" s="18"/>
    </row>
    <row r="3531">
      <c r="C3531" s="18"/>
      <c r="D3531" s="19"/>
      <c r="E3531" s="57"/>
      <c r="H3531" s="18"/>
    </row>
    <row r="3532">
      <c r="C3532" s="18"/>
      <c r="D3532" s="19"/>
      <c r="E3532" s="57"/>
      <c r="H3532" s="18"/>
    </row>
    <row r="3533">
      <c r="C3533" s="18"/>
      <c r="D3533" s="19"/>
      <c r="E3533" s="57"/>
      <c r="H3533" s="18"/>
    </row>
    <row r="3534">
      <c r="C3534" s="18"/>
      <c r="D3534" s="19"/>
      <c r="E3534" s="57"/>
      <c r="H3534" s="18"/>
    </row>
    <row r="3535">
      <c r="C3535" s="18"/>
      <c r="D3535" s="19"/>
      <c r="E3535" s="57"/>
      <c r="H3535" s="18"/>
    </row>
    <row r="3536">
      <c r="C3536" s="18"/>
      <c r="D3536" s="19"/>
      <c r="E3536" s="57"/>
      <c r="H3536" s="18"/>
    </row>
    <row r="3537">
      <c r="C3537" s="18"/>
      <c r="D3537" s="19"/>
      <c r="E3537" s="57"/>
      <c r="H3537" s="18"/>
    </row>
    <row r="3538">
      <c r="C3538" s="18"/>
      <c r="D3538" s="19"/>
      <c r="E3538" s="57"/>
      <c r="H3538" s="18"/>
    </row>
    <row r="3539">
      <c r="C3539" s="18"/>
      <c r="D3539" s="19"/>
      <c r="E3539" s="57"/>
      <c r="H3539" s="18"/>
    </row>
    <row r="3540">
      <c r="C3540" s="18"/>
      <c r="D3540" s="19"/>
      <c r="E3540" s="57"/>
      <c r="H3540" s="18"/>
    </row>
    <row r="3541">
      <c r="C3541" s="18"/>
      <c r="D3541" s="19"/>
      <c r="E3541" s="57"/>
      <c r="H3541" s="18"/>
    </row>
    <row r="3542">
      <c r="C3542" s="18"/>
      <c r="D3542" s="19"/>
      <c r="E3542" s="57"/>
      <c r="H3542" s="18"/>
    </row>
    <row r="3543">
      <c r="C3543" s="18"/>
      <c r="D3543" s="19"/>
      <c r="E3543" s="57"/>
      <c r="H3543" s="18"/>
    </row>
    <row r="3544">
      <c r="C3544" s="18"/>
      <c r="D3544" s="19"/>
      <c r="E3544" s="57"/>
      <c r="H3544" s="18"/>
    </row>
    <row r="3545">
      <c r="C3545" s="18"/>
      <c r="D3545" s="19"/>
      <c r="E3545" s="57"/>
      <c r="H3545" s="18"/>
    </row>
    <row r="3546">
      <c r="C3546" s="18"/>
      <c r="D3546" s="19"/>
      <c r="E3546" s="57"/>
      <c r="H3546" s="18"/>
    </row>
    <row r="3547">
      <c r="C3547" s="18"/>
      <c r="D3547" s="19"/>
      <c r="E3547" s="57"/>
      <c r="H3547" s="18"/>
    </row>
    <row r="3548">
      <c r="C3548" s="18"/>
      <c r="D3548" s="19"/>
      <c r="E3548" s="57"/>
      <c r="H3548" s="18"/>
    </row>
    <row r="3549">
      <c r="C3549" s="18"/>
      <c r="D3549" s="19"/>
      <c r="E3549" s="57"/>
      <c r="H3549" s="18"/>
    </row>
    <row r="3550">
      <c r="C3550" s="18"/>
      <c r="D3550" s="19"/>
      <c r="E3550" s="57"/>
      <c r="H3550" s="18"/>
    </row>
    <row r="3551">
      <c r="C3551" s="18"/>
      <c r="D3551" s="19"/>
      <c r="E3551" s="57"/>
      <c r="H3551" s="18"/>
    </row>
    <row r="3552">
      <c r="C3552" s="18"/>
      <c r="D3552" s="19"/>
      <c r="E3552" s="57"/>
      <c r="H3552" s="18"/>
    </row>
    <row r="3553">
      <c r="C3553" s="18"/>
      <c r="D3553" s="19"/>
      <c r="E3553" s="57"/>
      <c r="H3553" s="18"/>
    </row>
    <row r="3554">
      <c r="C3554" s="18"/>
      <c r="D3554" s="19"/>
      <c r="E3554" s="57"/>
      <c r="H3554" s="18"/>
    </row>
    <row r="3555">
      <c r="C3555" s="18"/>
      <c r="D3555" s="19"/>
      <c r="E3555" s="57"/>
      <c r="H3555" s="18"/>
    </row>
    <row r="3556">
      <c r="C3556" s="18"/>
      <c r="D3556" s="19"/>
      <c r="E3556" s="57"/>
      <c r="H3556" s="18"/>
    </row>
    <row r="3557">
      <c r="C3557" s="18"/>
      <c r="D3557" s="19"/>
      <c r="E3557" s="57"/>
      <c r="H3557" s="18"/>
    </row>
    <row r="3558">
      <c r="C3558" s="18"/>
      <c r="D3558" s="19"/>
      <c r="E3558" s="57"/>
      <c r="H3558" s="18"/>
    </row>
    <row r="3559">
      <c r="C3559" s="18"/>
      <c r="D3559" s="19"/>
      <c r="E3559" s="57"/>
      <c r="H3559" s="18"/>
    </row>
    <row r="3560">
      <c r="C3560" s="18"/>
      <c r="D3560" s="19"/>
      <c r="E3560" s="57"/>
      <c r="H3560" s="18"/>
    </row>
    <row r="3561">
      <c r="C3561" s="18"/>
      <c r="D3561" s="19"/>
      <c r="E3561" s="57"/>
      <c r="H3561" s="18"/>
    </row>
    <row r="3562">
      <c r="C3562" s="18"/>
      <c r="D3562" s="19"/>
      <c r="E3562" s="57"/>
      <c r="H3562" s="18"/>
    </row>
    <row r="3563">
      <c r="C3563" s="18"/>
      <c r="D3563" s="19"/>
      <c r="E3563" s="57"/>
      <c r="H3563" s="18"/>
    </row>
    <row r="3564">
      <c r="C3564" s="18"/>
      <c r="D3564" s="19"/>
      <c r="E3564" s="57"/>
      <c r="H3564" s="18"/>
    </row>
    <row r="3565">
      <c r="C3565" s="18"/>
      <c r="D3565" s="19"/>
      <c r="E3565" s="57"/>
      <c r="H3565" s="18"/>
    </row>
    <row r="3566">
      <c r="C3566" s="18"/>
      <c r="D3566" s="19"/>
      <c r="E3566" s="57"/>
      <c r="H3566" s="18"/>
    </row>
    <row r="3567">
      <c r="C3567" s="18"/>
      <c r="D3567" s="19"/>
      <c r="E3567" s="57"/>
      <c r="H3567" s="18"/>
    </row>
    <row r="3568">
      <c r="C3568" s="18"/>
      <c r="D3568" s="19"/>
      <c r="E3568" s="57"/>
      <c r="H3568" s="18"/>
    </row>
    <row r="3569">
      <c r="C3569" s="18"/>
      <c r="D3569" s="19"/>
      <c r="E3569" s="57"/>
      <c r="H3569" s="18"/>
    </row>
    <row r="3570">
      <c r="C3570" s="18"/>
      <c r="D3570" s="19"/>
      <c r="E3570" s="57"/>
      <c r="H3570" s="18"/>
    </row>
    <row r="3571">
      <c r="C3571" s="18"/>
      <c r="D3571" s="19"/>
      <c r="E3571" s="57"/>
      <c r="H3571" s="18"/>
    </row>
    <row r="3572">
      <c r="C3572" s="18"/>
      <c r="D3572" s="19"/>
      <c r="E3572" s="57"/>
      <c r="H3572" s="18"/>
    </row>
    <row r="3573">
      <c r="C3573" s="18"/>
      <c r="D3573" s="19"/>
      <c r="E3573" s="57"/>
      <c r="H3573" s="18"/>
    </row>
    <row r="3574">
      <c r="C3574" s="18"/>
      <c r="D3574" s="19"/>
      <c r="E3574" s="57"/>
      <c r="H3574" s="18"/>
    </row>
    <row r="3575">
      <c r="C3575" s="18"/>
      <c r="D3575" s="19"/>
      <c r="E3575" s="57"/>
      <c r="H3575" s="18"/>
    </row>
    <row r="3576">
      <c r="C3576" s="18"/>
      <c r="D3576" s="19"/>
      <c r="E3576" s="57"/>
      <c r="H3576" s="18"/>
    </row>
    <row r="3577">
      <c r="C3577" s="18"/>
      <c r="D3577" s="19"/>
      <c r="E3577" s="57"/>
      <c r="H3577" s="18"/>
    </row>
    <row r="3578">
      <c r="C3578" s="18"/>
      <c r="D3578" s="19"/>
      <c r="E3578" s="57"/>
      <c r="H3578" s="18"/>
    </row>
    <row r="3579">
      <c r="C3579" s="18"/>
      <c r="D3579" s="19"/>
      <c r="E3579" s="57"/>
      <c r="H3579" s="18"/>
    </row>
    <row r="3580">
      <c r="C3580" s="18"/>
      <c r="D3580" s="19"/>
      <c r="E3580" s="57"/>
      <c r="H3580" s="18"/>
    </row>
    <row r="3581">
      <c r="C3581" s="18"/>
      <c r="D3581" s="19"/>
      <c r="E3581" s="57"/>
      <c r="H3581" s="18"/>
    </row>
    <row r="3582">
      <c r="C3582" s="18"/>
      <c r="D3582" s="19"/>
      <c r="E3582" s="57"/>
      <c r="H3582" s="18"/>
    </row>
    <row r="3583">
      <c r="C3583" s="18"/>
      <c r="D3583" s="19"/>
      <c r="E3583" s="57"/>
      <c r="H3583" s="18"/>
    </row>
    <row r="3584">
      <c r="C3584" s="18"/>
      <c r="D3584" s="19"/>
      <c r="E3584" s="57"/>
      <c r="H3584" s="18"/>
    </row>
    <row r="3585">
      <c r="C3585" s="18"/>
      <c r="D3585" s="19"/>
      <c r="E3585" s="57"/>
      <c r="H3585" s="18"/>
    </row>
    <row r="3586">
      <c r="C3586" s="18"/>
      <c r="D3586" s="19"/>
      <c r="E3586" s="57"/>
      <c r="H3586" s="18"/>
    </row>
    <row r="3587">
      <c r="C3587" s="18"/>
      <c r="D3587" s="19"/>
      <c r="E3587" s="57"/>
      <c r="H3587" s="18"/>
    </row>
    <row r="3588">
      <c r="C3588" s="18"/>
      <c r="D3588" s="19"/>
      <c r="E3588" s="57"/>
      <c r="H3588" s="18"/>
    </row>
    <row r="3589">
      <c r="C3589" s="18"/>
      <c r="D3589" s="19"/>
      <c r="E3589" s="57"/>
      <c r="H3589" s="18"/>
    </row>
    <row r="3590">
      <c r="C3590" s="18"/>
      <c r="D3590" s="19"/>
      <c r="E3590" s="57"/>
      <c r="H3590" s="18"/>
    </row>
    <row r="3591">
      <c r="C3591" s="18"/>
      <c r="D3591" s="19"/>
      <c r="E3591" s="57"/>
      <c r="H3591" s="18"/>
    </row>
    <row r="3592">
      <c r="C3592" s="18"/>
      <c r="D3592" s="19"/>
      <c r="E3592" s="57"/>
      <c r="H3592" s="18"/>
    </row>
    <row r="3593">
      <c r="C3593" s="18"/>
      <c r="D3593" s="19"/>
      <c r="E3593" s="57"/>
      <c r="H3593" s="18"/>
    </row>
    <row r="3594">
      <c r="C3594" s="18"/>
      <c r="D3594" s="19"/>
      <c r="E3594" s="57"/>
      <c r="H3594" s="18"/>
    </row>
    <row r="3595">
      <c r="C3595" s="18"/>
      <c r="D3595" s="19"/>
      <c r="E3595" s="57"/>
      <c r="H3595" s="18"/>
    </row>
    <row r="3596">
      <c r="C3596" s="18"/>
      <c r="D3596" s="19"/>
      <c r="E3596" s="57"/>
      <c r="H3596" s="18"/>
    </row>
    <row r="3597">
      <c r="C3597" s="18"/>
      <c r="D3597" s="19"/>
      <c r="E3597" s="57"/>
      <c r="H3597" s="18"/>
    </row>
    <row r="3598">
      <c r="C3598" s="18"/>
      <c r="D3598" s="19"/>
      <c r="E3598" s="57"/>
      <c r="H3598" s="18"/>
    </row>
    <row r="3599">
      <c r="C3599" s="18"/>
      <c r="D3599" s="19"/>
      <c r="E3599" s="57"/>
      <c r="H3599" s="18"/>
    </row>
    <row r="3600">
      <c r="C3600" s="18"/>
      <c r="D3600" s="19"/>
      <c r="E3600" s="57"/>
      <c r="H3600" s="18"/>
    </row>
    <row r="3601">
      <c r="C3601" s="18"/>
      <c r="D3601" s="19"/>
      <c r="E3601" s="57"/>
      <c r="H3601" s="18"/>
    </row>
    <row r="3602">
      <c r="C3602" s="18"/>
      <c r="D3602" s="19"/>
      <c r="E3602" s="57"/>
      <c r="H3602" s="18"/>
    </row>
    <row r="3603">
      <c r="C3603" s="18"/>
      <c r="D3603" s="19"/>
      <c r="E3603" s="57"/>
      <c r="H3603" s="18"/>
    </row>
    <row r="3604">
      <c r="C3604" s="18"/>
      <c r="D3604" s="19"/>
      <c r="E3604" s="57"/>
      <c r="H3604" s="18"/>
    </row>
    <row r="3605">
      <c r="C3605" s="18"/>
      <c r="D3605" s="19"/>
      <c r="E3605" s="57"/>
      <c r="H3605" s="18"/>
    </row>
    <row r="3606">
      <c r="C3606" s="18"/>
      <c r="D3606" s="19"/>
      <c r="E3606" s="57"/>
      <c r="H3606" s="18"/>
    </row>
    <row r="3607">
      <c r="C3607" s="18"/>
      <c r="D3607" s="19"/>
      <c r="E3607" s="57"/>
      <c r="H3607" s="18"/>
    </row>
    <row r="3608">
      <c r="C3608" s="18"/>
      <c r="D3608" s="19"/>
      <c r="E3608" s="57"/>
      <c r="H3608" s="18"/>
    </row>
    <row r="3609">
      <c r="C3609" s="18"/>
      <c r="D3609" s="19"/>
      <c r="E3609" s="57"/>
      <c r="H3609" s="18"/>
    </row>
    <row r="3610">
      <c r="C3610" s="18"/>
      <c r="D3610" s="19"/>
      <c r="E3610" s="57"/>
      <c r="H3610" s="18"/>
    </row>
    <row r="3611">
      <c r="C3611" s="18"/>
      <c r="D3611" s="19"/>
      <c r="E3611" s="57"/>
      <c r="H3611" s="18"/>
    </row>
    <row r="3612">
      <c r="C3612" s="18"/>
      <c r="D3612" s="19"/>
      <c r="E3612" s="57"/>
      <c r="H3612" s="18"/>
    </row>
    <row r="3613">
      <c r="C3613" s="18"/>
      <c r="D3613" s="19"/>
      <c r="E3613" s="57"/>
      <c r="H3613" s="18"/>
    </row>
    <row r="3614">
      <c r="C3614" s="18"/>
      <c r="D3614" s="19"/>
      <c r="E3614" s="57"/>
      <c r="H3614" s="18"/>
    </row>
    <row r="3615">
      <c r="C3615" s="18"/>
      <c r="D3615" s="19"/>
      <c r="E3615" s="57"/>
      <c r="H3615" s="18"/>
    </row>
    <row r="3616">
      <c r="C3616" s="18"/>
      <c r="D3616" s="19"/>
      <c r="E3616" s="57"/>
      <c r="H3616" s="18"/>
    </row>
    <row r="3617">
      <c r="C3617" s="18"/>
      <c r="D3617" s="19"/>
      <c r="E3617" s="57"/>
      <c r="H3617" s="18"/>
    </row>
    <row r="3618">
      <c r="C3618" s="18"/>
      <c r="D3618" s="19"/>
      <c r="E3618" s="57"/>
      <c r="H3618" s="18"/>
    </row>
    <row r="3619">
      <c r="C3619" s="18"/>
      <c r="D3619" s="19"/>
      <c r="E3619" s="57"/>
      <c r="H3619" s="18"/>
    </row>
    <row r="3620">
      <c r="C3620" s="18"/>
      <c r="D3620" s="19"/>
      <c r="E3620" s="57"/>
      <c r="H3620" s="18"/>
    </row>
    <row r="3621">
      <c r="C3621" s="18"/>
      <c r="D3621" s="19"/>
      <c r="E3621" s="57"/>
      <c r="H3621" s="18"/>
    </row>
    <row r="3622">
      <c r="C3622" s="18"/>
      <c r="D3622" s="19"/>
      <c r="E3622" s="57"/>
      <c r="H3622" s="18"/>
    </row>
    <row r="3623">
      <c r="C3623" s="18"/>
      <c r="D3623" s="19"/>
      <c r="E3623" s="57"/>
      <c r="H3623" s="18"/>
    </row>
    <row r="3624">
      <c r="C3624" s="18"/>
      <c r="D3624" s="19"/>
      <c r="E3624" s="57"/>
      <c r="H3624" s="18"/>
    </row>
    <row r="3625">
      <c r="C3625" s="18"/>
      <c r="D3625" s="19"/>
      <c r="E3625" s="57"/>
      <c r="H3625" s="18"/>
    </row>
    <row r="3626">
      <c r="C3626" s="18"/>
      <c r="D3626" s="19"/>
      <c r="E3626" s="57"/>
      <c r="H3626" s="18"/>
    </row>
    <row r="3627">
      <c r="C3627" s="18"/>
      <c r="D3627" s="19"/>
      <c r="E3627" s="57"/>
      <c r="H3627" s="18"/>
    </row>
    <row r="3628">
      <c r="C3628" s="18"/>
      <c r="D3628" s="19"/>
      <c r="E3628" s="57"/>
      <c r="H3628" s="18"/>
    </row>
    <row r="3629">
      <c r="C3629" s="18"/>
      <c r="D3629" s="19"/>
      <c r="E3629" s="57"/>
      <c r="H3629" s="18"/>
    </row>
    <row r="3630">
      <c r="C3630" s="18"/>
      <c r="D3630" s="19"/>
      <c r="E3630" s="57"/>
      <c r="H3630" s="18"/>
    </row>
    <row r="3631">
      <c r="C3631" s="18"/>
      <c r="D3631" s="19"/>
      <c r="E3631" s="57"/>
      <c r="H3631" s="18"/>
    </row>
    <row r="3632">
      <c r="C3632" s="18"/>
      <c r="D3632" s="19"/>
      <c r="E3632" s="57"/>
      <c r="H3632" s="18"/>
    </row>
    <row r="3633">
      <c r="C3633" s="18"/>
      <c r="D3633" s="19"/>
      <c r="E3633" s="57"/>
      <c r="H3633" s="18"/>
    </row>
    <row r="3634">
      <c r="C3634" s="18"/>
      <c r="D3634" s="19"/>
      <c r="E3634" s="57"/>
      <c r="H3634" s="18"/>
    </row>
    <row r="3635">
      <c r="C3635" s="18"/>
      <c r="D3635" s="19"/>
      <c r="E3635" s="57"/>
      <c r="H3635" s="18"/>
    </row>
    <row r="3636">
      <c r="C3636" s="18"/>
      <c r="D3636" s="19"/>
      <c r="E3636" s="57"/>
      <c r="H3636" s="18"/>
    </row>
    <row r="3637">
      <c r="C3637" s="18"/>
      <c r="D3637" s="19"/>
      <c r="E3637" s="57"/>
      <c r="H3637" s="18"/>
    </row>
    <row r="3638">
      <c r="C3638" s="18"/>
      <c r="D3638" s="19"/>
      <c r="E3638" s="57"/>
      <c r="H3638" s="18"/>
    </row>
    <row r="3639">
      <c r="C3639" s="18"/>
      <c r="D3639" s="19"/>
      <c r="E3639" s="57"/>
      <c r="H3639" s="18"/>
    </row>
    <row r="3640">
      <c r="C3640" s="18"/>
      <c r="D3640" s="19"/>
      <c r="E3640" s="57"/>
      <c r="H3640" s="18"/>
    </row>
    <row r="3641">
      <c r="C3641" s="18"/>
      <c r="D3641" s="19"/>
      <c r="E3641" s="57"/>
      <c r="H3641" s="18"/>
    </row>
    <row r="3642">
      <c r="C3642" s="18"/>
      <c r="D3642" s="19"/>
      <c r="E3642" s="57"/>
      <c r="H3642" s="18"/>
    </row>
    <row r="3643">
      <c r="C3643" s="18"/>
      <c r="D3643" s="19"/>
      <c r="E3643" s="57"/>
      <c r="H3643" s="18"/>
    </row>
    <row r="3644">
      <c r="C3644" s="18"/>
      <c r="D3644" s="19"/>
      <c r="E3644" s="57"/>
      <c r="H3644" s="18"/>
    </row>
    <row r="3645">
      <c r="C3645" s="18"/>
      <c r="D3645" s="19"/>
      <c r="E3645" s="57"/>
      <c r="H3645" s="18"/>
    </row>
    <row r="3646">
      <c r="C3646" s="18"/>
      <c r="D3646" s="19"/>
      <c r="E3646" s="57"/>
      <c r="H3646" s="18"/>
    </row>
    <row r="3647">
      <c r="C3647" s="18"/>
      <c r="D3647" s="19"/>
      <c r="E3647" s="57"/>
      <c r="H3647" s="18"/>
    </row>
    <row r="3648">
      <c r="C3648" s="18"/>
      <c r="D3648" s="19"/>
      <c r="E3648" s="57"/>
      <c r="H3648" s="18"/>
    </row>
    <row r="3649">
      <c r="C3649" s="18"/>
      <c r="D3649" s="19"/>
      <c r="E3649" s="57"/>
      <c r="H3649" s="18"/>
    </row>
    <row r="3650">
      <c r="C3650" s="18"/>
      <c r="D3650" s="19"/>
      <c r="E3650" s="57"/>
      <c r="H3650" s="18"/>
    </row>
    <row r="3651">
      <c r="C3651" s="18"/>
      <c r="D3651" s="19"/>
      <c r="E3651" s="57"/>
      <c r="H3651" s="18"/>
    </row>
    <row r="3652">
      <c r="C3652" s="18"/>
      <c r="D3652" s="19"/>
      <c r="E3652" s="57"/>
      <c r="H3652" s="18"/>
    </row>
    <row r="3653">
      <c r="C3653" s="18"/>
      <c r="D3653" s="19"/>
      <c r="E3653" s="57"/>
      <c r="H3653" s="18"/>
    </row>
    <row r="3654">
      <c r="C3654" s="18"/>
      <c r="D3654" s="19"/>
      <c r="E3654" s="57"/>
      <c r="H3654" s="18"/>
    </row>
    <row r="3655">
      <c r="C3655" s="18"/>
      <c r="D3655" s="19"/>
      <c r="E3655" s="57"/>
      <c r="H3655" s="18"/>
    </row>
    <row r="3656">
      <c r="C3656" s="18"/>
      <c r="D3656" s="19"/>
      <c r="E3656" s="57"/>
      <c r="H3656" s="18"/>
    </row>
    <row r="3657">
      <c r="C3657" s="18"/>
      <c r="D3657" s="19"/>
      <c r="E3657" s="57"/>
      <c r="H3657" s="18"/>
    </row>
    <row r="3658">
      <c r="C3658" s="18"/>
      <c r="D3658" s="19"/>
      <c r="E3658" s="57"/>
      <c r="H3658" s="18"/>
    </row>
    <row r="3659">
      <c r="C3659" s="18"/>
      <c r="D3659" s="19"/>
      <c r="E3659" s="57"/>
      <c r="H3659" s="18"/>
    </row>
    <row r="3660">
      <c r="C3660" s="18"/>
      <c r="D3660" s="19"/>
      <c r="E3660" s="57"/>
      <c r="H3660" s="18"/>
    </row>
    <row r="3661">
      <c r="C3661" s="18"/>
      <c r="D3661" s="19"/>
      <c r="E3661" s="57"/>
      <c r="H3661" s="18"/>
    </row>
    <row r="3662">
      <c r="C3662" s="18"/>
      <c r="D3662" s="19"/>
      <c r="E3662" s="57"/>
      <c r="H3662" s="18"/>
    </row>
    <row r="3663">
      <c r="C3663" s="18"/>
      <c r="D3663" s="19"/>
      <c r="E3663" s="57"/>
      <c r="H3663" s="18"/>
    </row>
    <row r="3664">
      <c r="C3664" s="18"/>
      <c r="D3664" s="19"/>
      <c r="E3664" s="57"/>
      <c r="H3664" s="18"/>
    </row>
    <row r="3665">
      <c r="C3665" s="18"/>
      <c r="D3665" s="19"/>
      <c r="E3665" s="57"/>
      <c r="H3665" s="18"/>
    </row>
    <row r="3666">
      <c r="C3666" s="18"/>
      <c r="D3666" s="19"/>
      <c r="E3666" s="57"/>
      <c r="H3666" s="18"/>
    </row>
    <row r="3667">
      <c r="C3667" s="18"/>
      <c r="D3667" s="19"/>
      <c r="E3667" s="57"/>
      <c r="H3667" s="18"/>
    </row>
    <row r="3668">
      <c r="C3668" s="18"/>
      <c r="D3668" s="19"/>
      <c r="E3668" s="57"/>
      <c r="H3668" s="18"/>
    </row>
    <row r="3669">
      <c r="C3669" s="18"/>
      <c r="D3669" s="19"/>
      <c r="E3669" s="57"/>
      <c r="H3669" s="18"/>
    </row>
    <row r="3670">
      <c r="C3670" s="18"/>
      <c r="D3670" s="19"/>
      <c r="E3670" s="57"/>
      <c r="H3670" s="18"/>
    </row>
    <row r="3671">
      <c r="C3671" s="18"/>
      <c r="D3671" s="19"/>
      <c r="E3671" s="57"/>
      <c r="H3671" s="18"/>
    </row>
    <row r="3672">
      <c r="C3672" s="18"/>
      <c r="D3672" s="19"/>
      <c r="E3672" s="57"/>
      <c r="H3672" s="18"/>
    </row>
    <row r="3673">
      <c r="C3673" s="18"/>
      <c r="D3673" s="19"/>
      <c r="E3673" s="57"/>
      <c r="H3673" s="18"/>
    </row>
    <row r="3674">
      <c r="C3674" s="18"/>
      <c r="D3674" s="19"/>
      <c r="E3674" s="57"/>
      <c r="H3674" s="18"/>
    </row>
    <row r="3675">
      <c r="C3675" s="18"/>
      <c r="D3675" s="19"/>
      <c r="E3675" s="57"/>
      <c r="H3675" s="18"/>
    </row>
    <row r="3676">
      <c r="C3676" s="18"/>
      <c r="D3676" s="19"/>
      <c r="E3676" s="57"/>
      <c r="H3676" s="18"/>
    </row>
    <row r="3677">
      <c r="C3677" s="18"/>
      <c r="D3677" s="19"/>
      <c r="E3677" s="57"/>
      <c r="H3677" s="18"/>
    </row>
    <row r="3678">
      <c r="C3678" s="18"/>
      <c r="D3678" s="19"/>
      <c r="E3678" s="57"/>
      <c r="H3678" s="18"/>
    </row>
    <row r="3679">
      <c r="C3679" s="18"/>
      <c r="D3679" s="19"/>
      <c r="E3679" s="57"/>
      <c r="H3679" s="18"/>
    </row>
    <row r="3680">
      <c r="C3680" s="18"/>
      <c r="D3680" s="19"/>
      <c r="E3680" s="57"/>
      <c r="H3680" s="18"/>
    </row>
    <row r="3681">
      <c r="C3681" s="18"/>
      <c r="D3681" s="19"/>
      <c r="E3681" s="57"/>
      <c r="H3681" s="18"/>
    </row>
    <row r="3682">
      <c r="C3682" s="18"/>
      <c r="D3682" s="19"/>
      <c r="E3682" s="57"/>
      <c r="H3682" s="18"/>
    </row>
    <row r="3683">
      <c r="C3683" s="18"/>
      <c r="D3683" s="19"/>
      <c r="E3683" s="57"/>
      <c r="H3683" s="18"/>
    </row>
    <row r="3684">
      <c r="C3684" s="18"/>
      <c r="D3684" s="19"/>
      <c r="E3684" s="57"/>
      <c r="H3684" s="18"/>
    </row>
    <row r="3685">
      <c r="C3685" s="18"/>
      <c r="D3685" s="19"/>
      <c r="E3685" s="57"/>
      <c r="H3685" s="18"/>
    </row>
    <row r="3686">
      <c r="C3686" s="18"/>
      <c r="D3686" s="19"/>
      <c r="E3686" s="57"/>
      <c r="H3686" s="18"/>
    </row>
    <row r="3687">
      <c r="C3687" s="18"/>
      <c r="D3687" s="19"/>
      <c r="E3687" s="57"/>
      <c r="H3687" s="18"/>
    </row>
    <row r="3688">
      <c r="C3688" s="18"/>
      <c r="D3688" s="19"/>
      <c r="E3688" s="57"/>
      <c r="H3688" s="18"/>
    </row>
    <row r="3689">
      <c r="C3689" s="18"/>
      <c r="D3689" s="19"/>
      <c r="E3689" s="57"/>
      <c r="H3689" s="18"/>
    </row>
    <row r="3690">
      <c r="C3690" s="18"/>
      <c r="D3690" s="19"/>
      <c r="E3690" s="57"/>
      <c r="H3690" s="18"/>
    </row>
    <row r="3691">
      <c r="C3691" s="18"/>
      <c r="D3691" s="19"/>
      <c r="E3691" s="57"/>
      <c r="H3691" s="18"/>
    </row>
    <row r="3692">
      <c r="C3692" s="18"/>
      <c r="D3692" s="19"/>
      <c r="E3692" s="57"/>
      <c r="H3692" s="18"/>
    </row>
    <row r="3693">
      <c r="C3693" s="18"/>
      <c r="D3693" s="19"/>
      <c r="E3693" s="57"/>
      <c r="H3693" s="18"/>
    </row>
    <row r="3694">
      <c r="C3694" s="18"/>
      <c r="D3694" s="19"/>
      <c r="E3694" s="57"/>
      <c r="H3694" s="18"/>
    </row>
    <row r="3695">
      <c r="C3695" s="18"/>
      <c r="D3695" s="19"/>
      <c r="E3695" s="57"/>
      <c r="H3695" s="18"/>
    </row>
    <row r="3696">
      <c r="C3696" s="18"/>
      <c r="D3696" s="19"/>
      <c r="E3696" s="57"/>
      <c r="H3696" s="18"/>
    </row>
    <row r="3697">
      <c r="C3697" s="18"/>
      <c r="D3697" s="19"/>
      <c r="E3697" s="57"/>
      <c r="H3697" s="18"/>
    </row>
    <row r="3698">
      <c r="C3698" s="18"/>
      <c r="D3698" s="19"/>
      <c r="E3698" s="57"/>
      <c r="H3698" s="18"/>
    </row>
    <row r="3699">
      <c r="C3699" s="18"/>
      <c r="D3699" s="19"/>
      <c r="E3699" s="57"/>
      <c r="H3699" s="18"/>
    </row>
    <row r="3700">
      <c r="C3700" s="18"/>
      <c r="D3700" s="19"/>
      <c r="E3700" s="57"/>
      <c r="H3700" s="18"/>
    </row>
    <row r="3701">
      <c r="C3701" s="18"/>
      <c r="D3701" s="19"/>
      <c r="E3701" s="57"/>
      <c r="H3701" s="18"/>
    </row>
    <row r="3702">
      <c r="C3702" s="18"/>
      <c r="D3702" s="19"/>
      <c r="E3702" s="57"/>
      <c r="H3702" s="18"/>
    </row>
    <row r="3703">
      <c r="C3703" s="18"/>
      <c r="D3703" s="19"/>
      <c r="E3703" s="57"/>
      <c r="H3703" s="18"/>
    </row>
    <row r="3704">
      <c r="C3704" s="18"/>
      <c r="D3704" s="19"/>
      <c r="E3704" s="57"/>
      <c r="H3704" s="18"/>
    </row>
    <row r="3705">
      <c r="C3705" s="18"/>
      <c r="D3705" s="19"/>
      <c r="E3705" s="57"/>
      <c r="H3705" s="18"/>
    </row>
    <row r="3706">
      <c r="C3706" s="18"/>
      <c r="D3706" s="19"/>
      <c r="E3706" s="57"/>
      <c r="H3706" s="18"/>
    </row>
    <row r="3707">
      <c r="C3707" s="18"/>
      <c r="D3707" s="19"/>
      <c r="E3707" s="57"/>
      <c r="H3707" s="18"/>
    </row>
    <row r="3708">
      <c r="C3708" s="18"/>
      <c r="D3708" s="19"/>
      <c r="E3708" s="57"/>
      <c r="H3708" s="18"/>
    </row>
    <row r="3709">
      <c r="C3709" s="18"/>
      <c r="D3709" s="19"/>
      <c r="E3709" s="57"/>
      <c r="H3709" s="18"/>
    </row>
    <row r="3710">
      <c r="C3710" s="18"/>
      <c r="D3710" s="19"/>
      <c r="E3710" s="57"/>
      <c r="H3710" s="18"/>
    </row>
    <row r="3711">
      <c r="C3711" s="18"/>
      <c r="D3711" s="19"/>
      <c r="E3711" s="57"/>
      <c r="H3711" s="18"/>
    </row>
    <row r="3712">
      <c r="C3712" s="18"/>
      <c r="D3712" s="19"/>
      <c r="E3712" s="57"/>
      <c r="H3712" s="18"/>
    </row>
    <row r="3713">
      <c r="C3713" s="18"/>
      <c r="D3713" s="19"/>
      <c r="E3713" s="57"/>
      <c r="H3713" s="18"/>
    </row>
    <row r="3714">
      <c r="C3714" s="18"/>
      <c r="D3714" s="19"/>
      <c r="E3714" s="57"/>
      <c r="H3714" s="18"/>
    </row>
    <row r="3715">
      <c r="C3715" s="18"/>
      <c r="D3715" s="19"/>
      <c r="E3715" s="57"/>
      <c r="H3715" s="18"/>
    </row>
    <row r="3716">
      <c r="C3716" s="18"/>
      <c r="D3716" s="19"/>
      <c r="E3716" s="57"/>
      <c r="H3716" s="18"/>
    </row>
    <row r="3717">
      <c r="C3717" s="18"/>
      <c r="D3717" s="19"/>
      <c r="E3717" s="57"/>
      <c r="H3717" s="18"/>
    </row>
    <row r="3718">
      <c r="C3718" s="18"/>
      <c r="D3718" s="19"/>
      <c r="E3718" s="57"/>
      <c r="H3718" s="18"/>
    </row>
    <row r="3719">
      <c r="C3719" s="18"/>
      <c r="D3719" s="19"/>
      <c r="E3719" s="57"/>
      <c r="H3719" s="18"/>
    </row>
    <row r="3720">
      <c r="C3720" s="18"/>
      <c r="D3720" s="19"/>
      <c r="E3720" s="57"/>
      <c r="H3720" s="18"/>
    </row>
    <row r="3721">
      <c r="C3721" s="18"/>
      <c r="D3721" s="19"/>
      <c r="E3721" s="57"/>
      <c r="H3721" s="18"/>
    </row>
    <row r="3722">
      <c r="C3722" s="18"/>
      <c r="D3722" s="19"/>
      <c r="E3722" s="57"/>
      <c r="H3722" s="18"/>
    </row>
    <row r="3723">
      <c r="C3723" s="18"/>
      <c r="D3723" s="19"/>
      <c r="E3723" s="57"/>
      <c r="H3723" s="18"/>
    </row>
    <row r="3724">
      <c r="C3724" s="18"/>
      <c r="D3724" s="19"/>
      <c r="E3724" s="57"/>
      <c r="H3724" s="18"/>
    </row>
    <row r="3725">
      <c r="C3725" s="18"/>
      <c r="D3725" s="19"/>
      <c r="E3725" s="57"/>
      <c r="H3725" s="18"/>
    </row>
    <row r="3726">
      <c r="C3726" s="18"/>
      <c r="D3726" s="19"/>
      <c r="E3726" s="57"/>
      <c r="H3726" s="18"/>
    </row>
    <row r="3727">
      <c r="C3727" s="18"/>
      <c r="D3727" s="19"/>
      <c r="E3727" s="57"/>
      <c r="H3727" s="18"/>
    </row>
    <row r="3728">
      <c r="C3728" s="18"/>
      <c r="D3728" s="19"/>
      <c r="E3728" s="57"/>
      <c r="H3728" s="18"/>
    </row>
    <row r="3729">
      <c r="C3729" s="18"/>
      <c r="D3729" s="19"/>
      <c r="E3729" s="57"/>
      <c r="H3729" s="18"/>
    </row>
    <row r="3730">
      <c r="C3730" s="18"/>
      <c r="D3730" s="19"/>
      <c r="E3730" s="57"/>
      <c r="H3730" s="18"/>
    </row>
    <row r="3731">
      <c r="C3731" s="18"/>
      <c r="D3731" s="19"/>
      <c r="E3731" s="57"/>
      <c r="H3731" s="18"/>
    </row>
    <row r="3732">
      <c r="C3732" s="18"/>
      <c r="D3732" s="19"/>
      <c r="E3732" s="57"/>
      <c r="H3732" s="18"/>
    </row>
    <row r="3733">
      <c r="C3733" s="18"/>
      <c r="D3733" s="19"/>
      <c r="E3733" s="57"/>
      <c r="H3733" s="18"/>
    </row>
    <row r="3734">
      <c r="C3734" s="18"/>
      <c r="D3734" s="19"/>
      <c r="E3734" s="57"/>
      <c r="H3734" s="18"/>
    </row>
    <row r="3735">
      <c r="C3735" s="18"/>
      <c r="D3735" s="19"/>
      <c r="E3735" s="57"/>
      <c r="H3735" s="18"/>
    </row>
    <row r="3736">
      <c r="C3736" s="18"/>
      <c r="D3736" s="19"/>
      <c r="E3736" s="57"/>
      <c r="H3736" s="18"/>
    </row>
    <row r="3737">
      <c r="C3737" s="18"/>
      <c r="D3737" s="19"/>
      <c r="E3737" s="57"/>
      <c r="H3737" s="18"/>
    </row>
    <row r="3738">
      <c r="C3738" s="18"/>
      <c r="D3738" s="19"/>
      <c r="E3738" s="57"/>
      <c r="H3738" s="18"/>
    </row>
    <row r="3739">
      <c r="C3739" s="18"/>
      <c r="D3739" s="19"/>
      <c r="E3739" s="57"/>
      <c r="H3739" s="18"/>
    </row>
    <row r="3740">
      <c r="C3740" s="18"/>
      <c r="D3740" s="19"/>
      <c r="E3740" s="57"/>
      <c r="H3740" s="18"/>
    </row>
    <row r="3741">
      <c r="C3741" s="18"/>
      <c r="D3741" s="19"/>
      <c r="E3741" s="57"/>
      <c r="H3741" s="18"/>
    </row>
    <row r="3742">
      <c r="C3742" s="18"/>
      <c r="D3742" s="19"/>
      <c r="E3742" s="57"/>
      <c r="H3742" s="18"/>
    </row>
    <row r="3743">
      <c r="C3743" s="18"/>
      <c r="D3743" s="19"/>
      <c r="E3743" s="57"/>
      <c r="H3743" s="18"/>
    </row>
    <row r="3744">
      <c r="C3744" s="18"/>
      <c r="D3744" s="19"/>
      <c r="E3744" s="57"/>
      <c r="H3744" s="18"/>
    </row>
    <row r="3745">
      <c r="C3745" s="18"/>
      <c r="D3745" s="19"/>
      <c r="E3745" s="57"/>
      <c r="H3745" s="18"/>
    </row>
    <row r="3746">
      <c r="C3746" s="18"/>
      <c r="D3746" s="19"/>
      <c r="E3746" s="57"/>
      <c r="H3746" s="18"/>
    </row>
    <row r="3747">
      <c r="C3747" s="18"/>
      <c r="D3747" s="19"/>
      <c r="E3747" s="57"/>
      <c r="H3747" s="18"/>
    </row>
    <row r="3748">
      <c r="C3748" s="18"/>
      <c r="D3748" s="19"/>
      <c r="E3748" s="57"/>
      <c r="H3748" s="18"/>
    </row>
    <row r="3749">
      <c r="C3749" s="18"/>
      <c r="D3749" s="19"/>
      <c r="E3749" s="57"/>
      <c r="H3749" s="18"/>
    </row>
    <row r="3750">
      <c r="C3750" s="18"/>
      <c r="D3750" s="19"/>
      <c r="E3750" s="57"/>
      <c r="H3750" s="18"/>
    </row>
    <row r="3751">
      <c r="C3751" s="18"/>
      <c r="D3751" s="19"/>
      <c r="E3751" s="57"/>
      <c r="H3751" s="18"/>
    </row>
    <row r="3752">
      <c r="C3752" s="18"/>
      <c r="D3752" s="19"/>
      <c r="E3752" s="57"/>
      <c r="H3752" s="18"/>
    </row>
    <row r="3753">
      <c r="C3753" s="18"/>
      <c r="D3753" s="19"/>
      <c r="E3753" s="57"/>
      <c r="H3753" s="18"/>
    </row>
    <row r="3754">
      <c r="C3754" s="18"/>
      <c r="D3754" s="19"/>
      <c r="E3754" s="57"/>
      <c r="H3754" s="18"/>
    </row>
    <row r="3755">
      <c r="C3755" s="18"/>
      <c r="D3755" s="19"/>
      <c r="E3755" s="57"/>
      <c r="H3755" s="18"/>
    </row>
    <row r="3756">
      <c r="C3756" s="18"/>
      <c r="D3756" s="19"/>
      <c r="E3756" s="57"/>
      <c r="H3756" s="18"/>
    </row>
    <row r="3757">
      <c r="C3757" s="18"/>
      <c r="D3757" s="19"/>
      <c r="E3757" s="57"/>
      <c r="H3757" s="18"/>
    </row>
    <row r="3758">
      <c r="C3758" s="18"/>
      <c r="D3758" s="19"/>
      <c r="E3758" s="57"/>
      <c r="H3758" s="18"/>
    </row>
    <row r="3759">
      <c r="C3759" s="18"/>
      <c r="D3759" s="19"/>
      <c r="E3759" s="57"/>
      <c r="H3759" s="18"/>
    </row>
    <row r="3760">
      <c r="C3760" s="18"/>
      <c r="D3760" s="19"/>
      <c r="E3760" s="57"/>
      <c r="H3760" s="18"/>
    </row>
    <row r="3761">
      <c r="C3761" s="18"/>
      <c r="D3761" s="19"/>
      <c r="E3761" s="57"/>
      <c r="H3761" s="18"/>
    </row>
    <row r="3762">
      <c r="C3762" s="18"/>
      <c r="D3762" s="19"/>
      <c r="E3762" s="57"/>
      <c r="H3762" s="18"/>
    </row>
    <row r="3763">
      <c r="C3763" s="18"/>
      <c r="D3763" s="19"/>
      <c r="E3763" s="57"/>
      <c r="H3763" s="18"/>
    </row>
    <row r="3764">
      <c r="C3764" s="18"/>
      <c r="D3764" s="19"/>
      <c r="E3764" s="57"/>
      <c r="H3764" s="18"/>
    </row>
    <row r="3765">
      <c r="C3765" s="18"/>
      <c r="D3765" s="19"/>
      <c r="E3765" s="57"/>
      <c r="H3765" s="18"/>
    </row>
    <row r="3766">
      <c r="C3766" s="18"/>
      <c r="D3766" s="19"/>
      <c r="E3766" s="57"/>
      <c r="H3766" s="18"/>
    </row>
    <row r="3767">
      <c r="C3767" s="18"/>
      <c r="D3767" s="19"/>
      <c r="E3767" s="57"/>
      <c r="H3767" s="18"/>
    </row>
    <row r="3768">
      <c r="C3768" s="18"/>
      <c r="D3768" s="19"/>
      <c r="E3768" s="57"/>
      <c r="H3768" s="18"/>
    </row>
    <row r="3769">
      <c r="C3769" s="18"/>
      <c r="D3769" s="19"/>
      <c r="E3769" s="57"/>
      <c r="H3769" s="18"/>
    </row>
    <row r="3770">
      <c r="C3770" s="18"/>
      <c r="D3770" s="19"/>
      <c r="E3770" s="57"/>
      <c r="H3770" s="18"/>
    </row>
    <row r="3771">
      <c r="C3771" s="18"/>
      <c r="D3771" s="19"/>
      <c r="E3771" s="57"/>
      <c r="H3771" s="18"/>
    </row>
    <row r="3772">
      <c r="C3772" s="18"/>
      <c r="D3772" s="19"/>
      <c r="E3772" s="57"/>
      <c r="H3772" s="18"/>
    </row>
    <row r="3773">
      <c r="C3773" s="18"/>
      <c r="D3773" s="19"/>
      <c r="E3773" s="57"/>
      <c r="H3773" s="18"/>
    </row>
    <row r="3774">
      <c r="C3774" s="18"/>
      <c r="D3774" s="19"/>
      <c r="E3774" s="57"/>
      <c r="H3774" s="18"/>
    </row>
    <row r="3775">
      <c r="C3775" s="18"/>
      <c r="D3775" s="19"/>
      <c r="E3775" s="57"/>
      <c r="H3775" s="18"/>
    </row>
    <row r="3776">
      <c r="C3776" s="18"/>
      <c r="D3776" s="19"/>
      <c r="E3776" s="57"/>
      <c r="H3776" s="18"/>
    </row>
    <row r="3777">
      <c r="C3777" s="18"/>
      <c r="D3777" s="19"/>
      <c r="E3777" s="57"/>
      <c r="H3777" s="18"/>
    </row>
    <row r="3778">
      <c r="C3778" s="18"/>
      <c r="D3778" s="19"/>
      <c r="E3778" s="57"/>
      <c r="H3778" s="18"/>
    </row>
    <row r="3779">
      <c r="C3779" s="18"/>
      <c r="D3779" s="19"/>
      <c r="E3779" s="57"/>
      <c r="H3779" s="18"/>
    </row>
    <row r="3780">
      <c r="C3780" s="18"/>
      <c r="D3780" s="19"/>
      <c r="E3780" s="57"/>
      <c r="H3780" s="18"/>
    </row>
    <row r="3781">
      <c r="C3781" s="18"/>
      <c r="D3781" s="19"/>
      <c r="E3781" s="57"/>
      <c r="H3781" s="18"/>
    </row>
    <row r="3782">
      <c r="C3782" s="18"/>
      <c r="D3782" s="19"/>
      <c r="E3782" s="57"/>
      <c r="H3782" s="18"/>
    </row>
    <row r="3783">
      <c r="C3783" s="18"/>
      <c r="D3783" s="19"/>
      <c r="E3783" s="57"/>
      <c r="H3783" s="18"/>
    </row>
    <row r="3784">
      <c r="C3784" s="18"/>
      <c r="D3784" s="19"/>
      <c r="E3784" s="57"/>
      <c r="H3784" s="18"/>
    </row>
    <row r="3785">
      <c r="C3785" s="18"/>
      <c r="D3785" s="19"/>
      <c r="E3785" s="57"/>
      <c r="H3785" s="18"/>
    </row>
    <row r="3786">
      <c r="C3786" s="18"/>
      <c r="D3786" s="19"/>
      <c r="E3786" s="57"/>
      <c r="H3786" s="18"/>
    </row>
    <row r="3787">
      <c r="C3787" s="18"/>
      <c r="D3787" s="19"/>
      <c r="E3787" s="57"/>
      <c r="H3787" s="18"/>
    </row>
    <row r="3788">
      <c r="C3788" s="18"/>
      <c r="D3788" s="19"/>
      <c r="E3788" s="57"/>
      <c r="H3788" s="18"/>
    </row>
    <row r="3789">
      <c r="C3789" s="18"/>
      <c r="D3789" s="19"/>
      <c r="E3789" s="57"/>
      <c r="H3789" s="18"/>
    </row>
    <row r="3790">
      <c r="C3790" s="18"/>
      <c r="D3790" s="19"/>
      <c r="E3790" s="57"/>
      <c r="H3790" s="18"/>
    </row>
    <row r="3791">
      <c r="C3791" s="18"/>
      <c r="D3791" s="19"/>
      <c r="E3791" s="57"/>
      <c r="H3791" s="18"/>
    </row>
    <row r="3792">
      <c r="C3792" s="18"/>
      <c r="D3792" s="19"/>
      <c r="E3792" s="57"/>
      <c r="H3792" s="18"/>
    </row>
    <row r="3793">
      <c r="C3793" s="18"/>
      <c r="D3793" s="19"/>
      <c r="E3793" s="57"/>
      <c r="H3793" s="18"/>
    </row>
    <row r="3794">
      <c r="C3794" s="18"/>
      <c r="D3794" s="19"/>
      <c r="E3794" s="57"/>
      <c r="H3794" s="18"/>
    </row>
    <row r="3795">
      <c r="C3795" s="18"/>
      <c r="D3795" s="19"/>
      <c r="E3795" s="57"/>
      <c r="H3795" s="18"/>
    </row>
    <row r="3796">
      <c r="C3796" s="18"/>
      <c r="D3796" s="19"/>
      <c r="E3796" s="57"/>
      <c r="H3796" s="18"/>
    </row>
    <row r="3797">
      <c r="C3797" s="18"/>
      <c r="D3797" s="19"/>
      <c r="E3797" s="57"/>
      <c r="H3797" s="18"/>
    </row>
    <row r="3798">
      <c r="C3798" s="18"/>
      <c r="D3798" s="19"/>
      <c r="E3798" s="57"/>
      <c r="H3798" s="18"/>
    </row>
    <row r="3799">
      <c r="C3799" s="18"/>
      <c r="D3799" s="19"/>
      <c r="E3799" s="57"/>
      <c r="H3799" s="18"/>
    </row>
    <row r="3800">
      <c r="C3800" s="18"/>
      <c r="D3800" s="19"/>
      <c r="E3800" s="57"/>
      <c r="H3800" s="18"/>
    </row>
    <row r="3801">
      <c r="C3801" s="18"/>
      <c r="D3801" s="19"/>
      <c r="E3801" s="57"/>
      <c r="H3801" s="18"/>
    </row>
    <row r="3802">
      <c r="C3802" s="18"/>
      <c r="D3802" s="19"/>
      <c r="E3802" s="57"/>
      <c r="H3802" s="18"/>
    </row>
    <row r="3803">
      <c r="C3803" s="18"/>
      <c r="D3803" s="19"/>
      <c r="E3803" s="57"/>
      <c r="H3803" s="18"/>
    </row>
    <row r="3804">
      <c r="C3804" s="18"/>
      <c r="D3804" s="19"/>
      <c r="E3804" s="57"/>
      <c r="H3804" s="18"/>
    </row>
    <row r="3805">
      <c r="C3805" s="18"/>
      <c r="D3805" s="19"/>
      <c r="E3805" s="57"/>
      <c r="H3805" s="18"/>
    </row>
    <row r="3806">
      <c r="C3806" s="18"/>
      <c r="D3806" s="19"/>
      <c r="E3806" s="57"/>
      <c r="H3806" s="18"/>
    </row>
    <row r="3807">
      <c r="C3807" s="18"/>
      <c r="D3807" s="19"/>
      <c r="E3807" s="57"/>
      <c r="H3807" s="18"/>
    </row>
    <row r="3808">
      <c r="C3808" s="18"/>
      <c r="D3808" s="19"/>
      <c r="E3808" s="57"/>
      <c r="H3808" s="18"/>
    </row>
    <row r="3809">
      <c r="C3809" s="18"/>
      <c r="D3809" s="19"/>
      <c r="E3809" s="57"/>
      <c r="H3809" s="18"/>
    </row>
    <row r="3810">
      <c r="C3810" s="18"/>
      <c r="D3810" s="19"/>
      <c r="E3810" s="57"/>
      <c r="H3810" s="18"/>
    </row>
    <row r="3811">
      <c r="C3811" s="18"/>
      <c r="D3811" s="19"/>
      <c r="E3811" s="57"/>
      <c r="H3811" s="18"/>
    </row>
    <row r="3812">
      <c r="C3812" s="18"/>
      <c r="D3812" s="19"/>
      <c r="E3812" s="57"/>
      <c r="H3812" s="18"/>
    </row>
    <row r="3813">
      <c r="C3813" s="18"/>
      <c r="D3813" s="19"/>
      <c r="E3813" s="57"/>
      <c r="H3813" s="18"/>
    </row>
    <row r="3814">
      <c r="C3814" s="18"/>
      <c r="D3814" s="19"/>
      <c r="E3814" s="57"/>
      <c r="H3814" s="18"/>
    </row>
    <row r="3815">
      <c r="C3815" s="18"/>
      <c r="D3815" s="19"/>
      <c r="E3815" s="57"/>
      <c r="H3815" s="18"/>
    </row>
    <row r="3816">
      <c r="C3816" s="18"/>
      <c r="D3816" s="19"/>
      <c r="E3816" s="57"/>
      <c r="H3816" s="18"/>
    </row>
    <row r="3817">
      <c r="C3817" s="18"/>
      <c r="D3817" s="19"/>
      <c r="E3817" s="57"/>
      <c r="H3817" s="18"/>
    </row>
    <row r="3818">
      <c r="C3818" s="18"/>
      <c r="D3818" s="19"/>
      <c r="E3818" s="57"/>
      <c r="H3818" s="18"/>
    </row>
    <row r="3819">
      <c r="C3819" s="18"/>
      <c r="D3819" s="19"/>
      <c r="E3819" s="57"/>
      <c r="H3819" s="18"/>
    </row>
    <row r="3820">
      <c r="C3820" s="18"/>
      <c r="D3820" s="19"/>
      <c r="E3820" s="57"/>
      <c r="H3820" s="18"/>
    </row>
    <row r="3821">
      <c r="C3821" s="18"/>
      <c r="D3821" s="19"/>
      <c r="E3821" s="57"/>
      <c r="H3821" s="18"/>
    </row>
    <row r="3822">
      <c r="C3822" s="18"/>
      <c r="D3822" s="19"/>
      <c r="E3822" s="57"/>
      <c r="H3822" s="18"/>
    </row>
    <row r="3823">
      <c r="C3823" s="18"/>
      <c r="D3823" s="19"/>
      <c r="E3823" s="57"/>
      <c r="H3823" s="18"/>
    </row>
    <row r="3824">
      <c r="C3824" s="18"/>
      <c r="D3824" s="19"/>
      <c r="E3824" s="57"/>
      <c r="H3824" s="18"/>
    </row>
    <row r="3825">
      <c r="C3825" s="18"/>
      <c r="D3825" s="19"/>
      <c r="E3825" s="57"/>
      <c r="H3825" s="18"/>
    </row>
    <row r="3826">
      <c r="C3826" s="18"/>
      <c r="D3826" s="19"/>
      <c r="E3826" s="57"/>
      <c r="H3826" s="18"/>
    </row>
    <row r="3827">
      <c r="C3827" s="18"/>
      <c r="D3827" s="19"/>
      <c r="E3827" s="57"/>
      <c r="H3827" s="18"/>
    </row>
    <row r="3828">
      <c r="C3828" s="18"/>
      <c r="D3828" s="19"/>
      <c r="E3828" s="57"/>
      <c r="H3828" s="18"/>
    </row>
    <row r="3829">
      <c r="C3829" s="18"/>
      <c r="D3829" s="19"/>
      <c r="E3829" s="57"/>
      <c r="H3829" s="18"/>
    </row>
    <row r="3830">
      <c r="C3830" s="18"/>
      <c r="D3830" s="19"/>
      <c r="E3830" s="57"/>
      <c r="H3830" s="18"/>
    </row>
    <row r="3831">
      <c r="C3831" s="18"/>
      <c r="D3831" s="19"/>
      <c r="E3831" s="57"/>
      <c r="H3831" s="18"/>
    </row>
    <row r="3832">
      <c r="C3832" s="18"/>
      <c r="D3832" s="19"/>
      <c r="E3832" s="57"/>
      <c r="H3832" s="18"/>
    </row>
    <row r="3833">
      <c r="C3833" s="18"/>
      <c r="D3833" s="19"/>
      <c r="E3833" s="57"/>
      <c r="H3833" s="18"/>
    </row>
    <row r="3834">
      <c r="C3834" s="18"/>
      <c r="D3834" s="19"/>
      <c r="E3834" s="57"/>
      <c r="H3834" s="18"/>
    </row>
    <row r="3835">
      <c r="C3835" s="18"/>
      <c r="D3835" s="19"/>
      <c r="E3835" s="57"/>
      <c r="H3835" s="18"/>
    </row>
    <row r="3836">
      <c r="C3836" s="18"/>
      <c r="D3836" s="19"/>
      <c r="E3836" s="57"/>
      <c r="H3836" s="18"/>
    </row>
    <row r="3837">
      <c r="C3837" s="18"/>
      <c r="D3837" s="19"/>
      <c r="E3837" s="57"/>
      <c r="H3837" s="18"/>
    </row>
    <row r="3838">
      <c r="C3838" s="18"/>
      <c r="D3838" s="19"/>
      <c r="E3838" s="57"/>
      <c r="H3838" s="18"/>
    </row>
    <row r="3839">
      <c r="C3839" s="18"/>
      <c r="D3839" s="19"/>
      <c r="E3839" s="57"/>
      <c r="H3839" s="18"/>
    </row>
    <row r="3840">
      <c r="C3840" s="18"/>
      <c r="D3840" s="19"/>
      <c r="E3840" s="57"/>
      <c r="H3840" s="18"/>
    </row>
    <row r="3841">
      <c r="C3841" s="18"/>
      <c r="D3841" s="19"/>
      <c r="E3841" s="57"/>
      <c r="H3841" s="18"/>
    </row>
    <row r="3842">
      <c r="C3842" s="18"/>
      <c r="D3842" s="19"/>
      <c r="E3842" s="57"/>
      <c r="H3842" s="18"/>
    </row>
    <row r="3843">
      <c r="C3843" s="18"/>
      <c r="D3843" s="19"/>
      <c r="E3843" s="57"/>
      <c r="H3843" s="18"/>
    </row>
    <row r="3844">
      <c r="C3844" s="18"/>
      <c r="D3844" s="19"/>
      <c r="E3844" s="57"/>
      <c r="H3844" s="18"/>
    </row>
    <row r="3845">
      <c r="C3845" s="18"/>
      <c r="D3845" s="19"/>
      <c r="E3845" s="57"/>
      <c r="H3845" s="18"/>
    </row>
    <row r="3846">
      <c r="C3846" s="18"/>
      <c r="D3846" s="19"/>
      <c r="E3846" s="57"/>
      <c r="H3846" s="18"/>
    </row>
    <row r="3847">
      <c r="C3847" s="18"/>
      <c r="D3847" s="19"/>
      <c r="E3847" s="57"/>
      <c r="H3847" s="18"/>
    </row>
    <row r="3848">
      <c r="C3848" s="18"/>
      <c r="D3848" s="19"/>
      <c r="E3848" s="57"/>
      <c r="H3848" s="18"/>
    </row>
    <row r="3849">
      <c r="C3849" s="18"/>
      <c r="D3849" s="19"/>
      <c r="E3849" s="57"/>
      <c r="H3849" s="18"/>
    </row>
    <row r="3850">
      <c r="C3850" s="18"/>
      <c r="D3850" s="19"/>
      <c r="E3850" s="57"/>
      <c r="H3850" s="18"/>
    </row>
    <row r="3851">
      <c r="C3851" s="18"/>
      <c r="D3851" s="19"/>
      <c r="E3851" s="57"/>
      <c r="H3851" s="18"/>
    </row>
    <row r="3852">
      <c r="C3852" s="18"/>
      <c r="D3852" s="19"/>
      <c r="E3852" s="57"/>
      <c r="H3852" s="18"/>
    </row>
    <row r="3853">
      <c r="C3853" s="18"/>
      <c r="D3853" s="19"/>
      <c r="E3853" s="57"/>
      <c r="H3853" s="18"/>
    </row>
    <row r="3854">
      <c r="C3854" s="18"/>
      <c r="D3854" s="19"/>
      <c r="E3854" s="57"/>
      <c r="H3854" s="18"/>
    </row>
    <row r="3855">
      <c r="C3855" s="18"/>
      <c r="D3855" s="19"/>
      <c r="E3855" s="57"/>
      <c r="H3855" s="18"/>
    </row>
    <row r="3856">
      <c r="C3856" s="18"/>
      <c r="D3856" s="19"/>
      <c r="E3856" s="57"/>
      <c r="H3856" s="18"/>
    </row>
    <row r="3857">
      <c r="C3857" s="18"/>
      <c r="D3857" s="19"/>
      <c r="E3857" s="57"/>
      <c r="H3857" s="18"/>
    </row>
    <row r="3858">
      <c r="C3858" s="18"/>
      <c r="D3858" s="19"/>
      <c r="E3858" s="57"/>
      <c r="H3858" s="18"/>
    </row>
    <row r="3859">
      <c r="C3859" s="18"/>
      <c r="D3859" s="19"/>
      <c r="E3859" s="57"/>
      <c r="H3859" s="18"/>
    </row>
    <row r="3860">
      <c r="C3860" s="18"/>
      <c r="D3860" s="19"/>
      <c r="E3860" s="57"/>
      <c r="H3860" s="18"/>
    </row>
    <row r="3861">
      <c r="C3861" s="18"/>
      <c r="D3861" s="19"/>
      <c r="E3861" s="57"/>
      <c r="H3861" s="18"/>
    </row>
    <row r="3862">
      <c r="C3862" s="18"/>
      <c r="D3862" s="19"/>
      <c r="E3862" s="57"/>
      <c r="H3862" s="18"/>
    </row>
    <row r="3863">
      <c r="C3863" s="18"/>
      <c r="D3863" s="19"/>
      <c r="E3863" s="57"/>
      <c r="H3863" s="18"/>
    </row>
    <row r="3864">
      <c r="C3864" s="18"/>
      <c r="D3864" s="19"/>
      <c r="E3864" s="57"/>
      <c r="H3864" s="18"/>
    </row>
    <row r="3865">
      <c r="C3865" s="18"/>
      <c r="D3865" s="19"/>
      <c r="E3865" s="57"/>
      <c r="H3865" s="18"/>
    </row>
    <row r="3866">
      <c r="C3866" s="18"/>
      <c r="D3866" s="19"/>
      <c r="E3866" s="57"/>
      <c r="H3866" s="18"/>
    </row>
    <row r="3867">
      <c r="C3867" s="18"/>
      <c r="D3867" s="19"/>
      <c r="E3867" s="57"/>
      <c r="H3867" s="18"/>
    </row>
    <row r="3868">
      <c r="C3868" s="18"/>
      <c r="D3868" s="19"/>
      <c r="E3868" s="57"/>
      <c r="H3868" s="18"/>
    </row>
    <row r="3869">
      <c r="C3869" s="18"/>
      <c r="D3869" s="19"/>
      <c r="E3869" s="57"/>
      <c r="H3869" s="18"/>
    </row>
    <row r="3870">
      <c r="C3870" s="18"/>
      <c r="D3870" s="19"/>
      <c r="E3870" s="57"/>
      <c r="H3870" s="18"/>
    </row>
    <row r="3871">
      <c r="C3871" s="18"/>
      <c r="D3871" s="19"/>
      <c r="E3871" s="57"/>
      <c r="H3871" s="18"/>
    </row>
    <row r="3872">
      <c r="C3872" s="18"/>
      <c r="D3872" s="19"/>
      <c r="E3872" s="57"/>
      <c r="H3872" s="18"/>
    </row>
    <row r="3873">
      <c r="C3873" s="18"/>
      <c r="D3873" s="19"/>
      <c r="E3873" s="57"/>
      <c r="H3873" s="18"/>
    </row>
    <row r="3874">
      <c r="C3874" s="18"/>
      <c r="D3874" s="19"/>
      <c r="E3874" s="57"/>
      <c r="H3874" s="18"/>
    </row>
    <row r="3875">
      <c r="C3875" s="18"/>
      <c r="D3875" s="19"/>
      <c r="E3875" s="57"/>
      <c r="H3875" s="18"/>
    </row>
    <row r="3876">
      <c r="C3876" s="18"/>
      <c r="D3876" s="19"/>
      <c r="E3876" s="57"/>
      <c r="H3876" s="18"/>
    </row>
    <row r="3877">
      <c r="C3877" s="18"/>
      <c r="D3877" s="19"/>
      <c r="E3877" s="57"/>
      <c r="H3877" s="18"/>
    </row>
    <row r="3878">
      <c r="C3878" s="18"/>
      <c r="D3878" s="19"/>
      <c r="E3878" s="57"/>
      <c r="H3878" s="18"/>
    </row>
    <row r="3879">
      <c r="C3879" s="18"/>
      <c r="D3879" s="19"/>
      <c r="E3879" s="57"/>
      <c r="H3879" s="18"/>
    </row>
    <row r="3880">
      <c r="C3880" s="18"/>
      <c r="D3880" s="19"/>
      <c r="E3880" s="57"/>
      <c r="H3880" s="18"/>
    </row>
    <row r="3881">
      <c r="C3881" s="18"/>
      <c r="D3881" s="19"/>
      <c r="E3881" s="57"/>
      <c r="H3881" s="18"/>
    </row>
    <row r="3882">
      <c r="C3882" s="18"/>
      <c r="D3882" s="19"/>
      <c r="E3882" s="57"/>
      <c r="H3882" s="18"/>
    </row>
    <row r="3883">
      <c r="C3883" s="18"/>
      <c r="D3883" s="19"/>
      <c r="E3883" s="57"/>
      <c r="H3883" s="18"/>
    </row>
    <row r="3884">
      <c r="C3884" s="18"/>
      <c r="D3884" s="19"/>
      <c r="E3884" s="57"/>
      <c r="H3884" s="18"/>
    </row>
    <row r="3885">
      <c r="C3885" s="18"/>
      <c r="D3885" s="19"/>
      <c r="E3885" s="57"/>
      <c r="H3885" s="18"/>
    </row>
    <row r="3886">
      <c r="C3886" s="18"/>
      <c r="D3886" s="19"/>
      <c r="E3886" s="57"/>
      <c r="H3886" s="18"/>
    </row>
    <row r="3887">
      <c r="C3887" s="18"/>
      <c r="D3887" s="19"/>
      <c r="E3887" s="57"/>
      <c r="H3887" s="18"/>
    </row>
    <row r="3888">
      <c r="C3888" s="18"/>
      <c r="D3888" s="19"/>
      <c r="E3888" s="57"/>
      <c r="H3888" s="18"/>
    </row>
    <row r="3889">
      <c r="C3889" s="18"/>
      <c r="D3889" s="19"/>
      <c r="E3889" s="57"/>
      <c r="H3889" s="18"/>
    </row>
    <row r="3890">
      <c r="C3890" s="18"/>
      <c r="D3890" s="19"/>
      <c r="E3890" s="57"/>
      <c r="H3890" s="18"/>
    </row>
    <row r="3891">
      <c r="C3891" s="18"/>
      <c r="D3891" s="19"/>
      <c r="E3891" s="57"/>
      <c r="H3891" s="18"/>
    </row>
    <row r="3892">
      <c r="C3892" s="18"/>
      <c r="D3892" s="19"/>
      <c r="E3892" s="57"/>
      <c r="H3892" s="18"/>
    </row>
    <row r="3893">
      <c r="C3893" s="18"/>
      <c r="D3893" s="19"/>
      <c r="E3893" s="57"/>
      <c r="H3893" s="18"/>
    </row>
    <row r="3894">
      <c r="C3894" s="18"/>
      <c r="D3894" s="19"/>
      <c r="E3894" s="57"/>
      <c r="H3894" s="18"/>
    </row>
    <row r="3895">
      <c r="C3895" s="18"/>
      <c r="D3895" s="19"/>
      <c r="E3895" s="57"/>
      <c r="H3895" s="18"/>
    </row>
    <row r="3896">
      <c r="C3896" s="18"/>
      <c r="D3896" s="19"/>
      <c r="E3896" s="57"/>
      <c r="H3896" s="18"/>
    </row>
    <row r="3897">
      <c r="C3897" s="18"/>
      <c r="D3897" s="19"/>
      <c r="E3897" s="57"/>
      <c r="H3897" s="18"/>
    </row>
    <row r="3898">
      <c r="C3898" s="18"/>
      <c r="D3898" s="19"/>
      <c r="E3898" s="57"/>
      <c r="H3898" s="18"/>
    </row>
    <row r="3899">
      <c r="C3899" s="18"/>
      <c r="D3899" s="19"/>
      <c r="E3899" s="57"/>
      <c r="H3899" s="18"/>
    </row>
    <row r="3900">
      <c r="C3900" s="18"/>
      <c r="D3900" s="19"/>
      <c r="E3900" s="57"/>
      <c r="H3900" s="18"/>
    </row>
    <row r="3901">
      <c r="C3901" s="18"/>
      <c r="D3901" s="19"/>
      <c r="E3901" s="57"/>
      <c r="H3901" s="18"/>
    </row>
    <row r="3902">
      <c r="C3902" s="18"/>
      <c r="D3902" s="19"/>
      <c r="E3902" s="57"/>
      <c r="H3902" s="18"/>
    </row>
    <row r="3903">
      <c r="C3903" s="18"/>
      <c r="D3903" s="19"/>
      <c r="E3903" s="57"/>
      <c r="H3903" s="18"/>
    </row>
    <row r="3904">
      <c r="C3904" s="18"/>
      <c r="D3904" s="19"/>
      <c r="E3904" s="57"/>
      <c r="H3904" s="18"/>
    </row>
    <row r="3905">
      <c r="C3905" s="18"/>
      <c r="D3905" s="19"/>
      <c r="E3905" s="57"/>
      <c r="H3905" s="18"/>
    </row>
    <row r="3906">
      <c r="C3906" s="18"/>
      <c r="D3906" s="19"/>
      <c r="E3906" s="57"/>
      <c r="H3906" s="18"/>
    </row>
    <row r="3907">
      <c r="C3907" s="18"/>
      <c r="D3907" s="19"/>
      <c r="E3907" s="57"/>
      <c r="H3907" s="18"/>
    </row>
    <row r="3908">
      <c r="C3908" s="18"/>
      <c r="D3908" s="19"/>
      <c r="E3908" s="57"/>
      <c r="H3908" s="18"/>
    </row>
    <row r="3909">
      <c r="C3909" s="18"/>
      <c r="D3909" s="19"/>
      <c r="E3909" s="57"/>
      <c r="H3909" s="18"/>
    </row>
    <row r="3910">
      <c r="C3910" s="18"/>
      <c r="D3910" s="19"/>
      <c r="E3910" s="57"/>
      <c r="H3910" s="18"/>
    </row>
    <row r="3911">
      <c r="C3911" s="18"/>
      <c r="D3911" s="19"/>
      <c r="E3911" s="57"/>
      <c r="H3911" s="18"/>
    </row>
    <row r="3912">
      <c r="C3912" s="18"/>
      <c r="D3912" s="19"/>
      <c r="E3912" s="57"/>
      <c r="H3912" s="18"/>
    </row>
    <row r="3913">
      <c r="C3913" s="18"/>
      <c r="D3913" s="19"/>
      <c r="E3913" s="57"/>
      <c r="H3913" s="18"/>
    </row>
    <row r="3914">
      <c r="C3914" s="18"/>
      <c r="D3914" s="19"/>
      <c r="E3914" s="57"/>
      <c r="H3914" s="18"/>
    </row>
    <row r="3915">
      <c r="C3915" s="18"/>
      <c r="D3915" s="19"/>
      <c r="E3915" s="57"/>
      <c r="H3915" s="18"/>
    </row>
    <row r="3916">
      <c r="C3916" s="18"/>
      <c r="D3916" s="19"/>
      <c r="E3916" s="57"/>
      <c r="H3916" s="18"/>
    </row>
    <row r="3917">
      <c r="C3917" s="18"/>
      <c r="D3917" s="19"/>
      <c r="E3917" s="57"/>
      <c r="H3917" s="18"/>
    </row>
    <row r="3918">
      <c r="C3918" s="18"/>
      <c r="D3918" s="19"/>
      <c r="E3918" s="57"/>
      <c r="H3918" s="18"/>
    </row>
    <row r="3919">
      <c r="C3919" s="18"/>
      <c r="D3919" s="19"/>
      <c r="E3919" s="57"/>
      <c r="H3919" s="18"/>
    </row>
    <row r="3920">
      <c r="C3920" s="18"/>
      <c r="D3920" s="19"/>
      <c r="E3920" s="57"/>
      <c r="H3920" s="18"/>
    </row>
    <row r="3921">
      <c r="C3921" s="18"/>
      <c r="D3921" s="19"/>
      <c r="E3921" s="57"/>
      <c r="H3921" s="18"/>
    </row>
    <row r="3922">
      <c r="C3922" s="18"/>
      <c r="D3922" s="19"/>
      <c r="E3922" s="57"/>
      <c r="H3922" s="18"/>
    </row>
    <row r="3923">
      <c r="C3923" s="18"/>
      <c r="D3923" s="19"/>
      <c r="E3923" s="57"/>
      <c r="H3923" s="18"/>
    </row>
    <row r="3924">
      <c r="C3924" s="18"/>
      <c r="D3924" s="19"/>
      <c r="E3924" s="57"/>
      <c r="H3924" s="18"/>
    </row>
    <row r="3925">
      <c r="C3925" s="18"/>
      <c r="D3925" s="19"/>
      <c r="E3925" s="57"/>
      <c r="H3925" s="18"/>
    </row>
    <row r="3926">
      <c r="C3926" s="18"/>
      <c r="D3926" s="19"/>
      <c r="E3926" s="57"/>
      <c r="H3926" s="18"/>
    </row>
    <row r="3927">
      <c r="C3927" s="18"/>
      <c r="D3927" s="19"/>
      <c r="E3927" s="57"/>
      <c r="H3927" s="18"/>
    </row>
    <row r="3928">
      <c r="C3928" s="18"/>
      <c r="D3928" s="19"/>
      <c r="E3928" s="57"/>
      <c r="H3928" s="18"/>
    </row>
    <row r="3929">
      <c r="C3929" s="18"/>
      <c r="D3929" s="19"/>
      <c r="E3929" s="57"/>
      <c r="H3929" s="18"/>
    </row>
    <row r="3930">
      <c r="C3930" s="18"/>
      <c r="D3930" s="19"/>
      <c r="E3930" s="57"/>
      <c r="H3930" s="18"/>
    </row>
    <row r="3931">
      <c r="C3931" s="18"/>
      <c r="D3931" s="19"/>
      <c r="E3931" s="57"/>
      <c r="H3931" s="18"/>
    </row>
    <row r="3932">
      <c r="C3932" s="18"/>
      <c r="D3932" s="19"/>
      <c r="E3932" s="57"/>
      <c r="H3932" s="18"/>
    </row>
    <row r="3933">
      <c r="C3933" s="18"/>
      <c r="D3933" s="19"/>
      <c r="E3933" s="57"/>
      <c r="H3933" s="18"/>
    </row>
    <row r="3934">
      <c r="C3934" s="18"/>
      <c r="D3934" s="19"/>
      <c r="E3934" s="57"/>
      <c r="H3934" s="18"/>
    </row>
    <row r="3935">
      <c r="C3935" s="18"/>
      <c r="D3935" s="19"/>
      <c r="E3935" s="57"/>
      <c r="H3935" s="18"/>
    </row>
    <row r="3936">
      <c r="C3936" s="18"/>
      <c r="D3936" s="19"/>
      <c r="E3936" s="57"/>
      <c r="H3936" s="18"/>
    </row>
    <row r="3937">
      <c r="C3937" s="18"/>
      <c r="D3937" s="19"/>
      <c r="E3937" s="57"/>
      <c r="H3937" s="18"/>
    </row>
    <row r="3938">
      <c r="C3938" s="18"/>
      <c r="D3938" s="19"/>
      <c r="E3938" s="57"/>
      <c r="H3938" s="18"/>
    </row>
    <row r="3939">
      <c r="C3939" s="18"/>
      <c r="D3939" s="19"/>
      <c r="E3939" s="57"/>
      <c r="H3939" s="18"/>
    </row>
    <row r="3940">
      <c r="C3940" s="18"/>
      <c r="D3940" s="19"/>
      <c r="E3940" s="57"/>
      <c r="H3940" s="18"/>
    </row>
    <row r="3941">
      <c r="C3941" s="18"/>
      <c r="D3941" s="19"/>
      <c r="E3941" s="57"/>
      <c r="H3941" s="18"/>
    </row>
    <row r="3942">
      <c r="C3942" s="18"/>
      <c r="D3942" s="19"/>
      <c r="E3942" s="57"/>
      <c r="H3942" s="18"/>
    </row>
    <row r="3943">
      <c r="C3943" s="18"/>
      <c r="D3943" s="19"/>
      <c r="E3943" s="57"/>
      <c r="H3943" s="18"/>
    </row>
    <row r="3944">
      <c r="C3944" s="18"/>
      <c r="D3944" s="19"/>
      <c r="E3944" s="57"/>
      <c r="H3944" s="18"/>
    </row>
    <row r="3945">
      <c r="C3945" s="18"/>
      <c r="D3945" s="19"/>
      <c r="E3945" s="57"/>
      <c r="H3945" s="18"/>
    </row>
    <row r="3946">
      <c r="C3946" s="18"/>
      <c r="D3946" s="19"/>
      <c r="E3946" s="57"/>
      <c r="H3946" s="18"/>
    </row>
    <row r="3947">
      <c r="C3947" s="18"/>
      <c r="D3947" s="19"/>
      <c r="E3947" s="57"/>
      <c r="H3947" s="18"/>
    </row>
    <row r="3948">
      <c r="C3948" s="18"/>
      <c r="D3948" s="19"/>
      <c r="E3948" s="57"/>
      <c r="H3948" s="18"/>
    </row>
    <row r="3949">
      <c r="C3949" s="18"/>
      <c r="D3949" s="19"/>
      <c r="E3949" s="57"/>
      <c r="H3949" s="18"/>
    </row>
    <row r="3950">
      <c r="C3950" s="18"/>
      <c r="D3950" s="19"/>
      <c r="E3950" s="57"/>
      <c r="H3950" s="18"/>
    </row>
    <row r="3951">
      <c r="C3951" s="18"/>
      <c r="D3951" s="19"/>
      <c r="E3951" s="57"/>
      <c r="H3951" s="18"/>
    </row>
    <row r="3952">
      <c r="C3952" s="18"/>
      <c r="D3952" s="19"/>
      <c r="E3952" s="57"/>
      <c r="H3952" s="18"/>
    </row>
    <row r="3953">
      <c r="C3953" s="18"/>
      <c r="D3953" s="19"/>
      <c r="E3953" s="57"/>
      <c r="H3953" s="18"/>
    </row>
    <row r="3954">
      <c r="C3954" s="18"/>
      <c r="D3954" s="19"/>
      <c r="E3954" s="57"/>
      <c r="H3954" s="18"/>
    </row>
    <row r="3955">
      <c r="C3955" s="18"/>
      <c r="D3955" s="19"/>
      <c r="E3955" s="57"/>
      <c r="H3955" s="18"/>
    </row>
    <row r="3956">
      <c r="C3956" s="18"/>
      <c r="D3956" s="19"/>
      <c r="E3956" s="57"/>
      <c r="H3956" s="18"/>
    </row>
    <row r="3957">
      <c r="C3957" s="18"/>
      <c r="D3957" s="19"/>
      <c r="E3957" s="57"/>
      <c r="H3957" s="18"/>
    </row>
    <row r="3958">
      <c r="C3958" s="18"/>
      <c r="D3958" s="19"/>
      <c r="E3958" s="57"/>
      <c r="H3958" s="18"/>
    </row>
    <row r="3959">
      <c r="C3959" s="18"/>
      <c r="D3959" s="19"/>
      <c r="E3959" s="57"/>
      <c r="H3959" s="18"/>
    </row>
    <row r="3960">
      <c r="C3960" s="18"/>
      <c r="D3960" s="19"/>
      <c r="E3960" s="57"/>
      <c r="H3960" s="18"/>
    </row>
    <row r="3961">
      <c r="C3961" s="18"/>
      <c r="D3961" s="19"/>
      <c r="E3961" s="57"/>
      <c r="H3961" s="18"/>
    </row>
    <row r="3962">
      <c r="C3962" s="18"/>
      <c r="D3962" s="19"/>
      <c r="E3962" s="57"/>
      <c r="H3962" s="18"/>
    </row>
    <row r="3963">
      <c r="C3963" s="18"/>
      <c r="D3963" s="19"/>
      <c r="E3963" s="57"/>
      <c r="H3963" s="18"/>
    </row>
    <row r="3964">
      <c r="C3964" s="18"/>
      <c r="D3964" s="19"/>
      <c r="E3964" s="57"/>
      <c r="H3964" s="18"/>
    </row>
    <row r="3965">
      <c r="C3965" s="18"/>
      <c r="D3965" s="19"/>
      <c r="E3965" s="57"/>
      <c r="H3965" s="18"/>
    </row>
    <row r="3966">
      <c r="C3966" s="18"/>
      <c r="D3966" s="19"/>
      <c r="E3966" s="57"/>
      <c r="H3966" s="18"/>
    </row>
    <row r="3967">
      <c r="C3967" s="18"/>
      <c r="D3967" s="19"/>
      <c r="E3967" s="57"/>
      <c r="H3967" s="18"/>
    </row>
    <row r="3968">
      <c r="C3968" s="18"/>
      <c r="D3968" s="19"/>
      <c r="E3968" s="57"/>
      <c r="H3968" s="18"/>
    </row>
    <row r="3969">
      <c r="C3969" s="18"/>
      <c r="D3969" s="19"/>
      <c r="E3969" s="57"/>
      <c r="H3969" s="18"/>
    </row>
    <row r="3970">
      <c r="C3970" s="18"/>
      <c r="D3970" s="19"/>
      <c r="E3970" s="57"/>
      <c r="H3970" s="18"/>
    </row>
    <row r="3971">
      <c r="C3971" s="18"/>
      <c r="D3971" s="19"/>
      <c r="E3971" s="57"/>
      <c r="H3971" s="18"/>
    </row>
    <row r="3972">
      <c r="C3972" s="18"/>
      <c r="D3972" s="19"/>
      <c r="E3972" s="57"/>
      <c r="H3972" s="18"/>
    </row>
    <row r="3973">
      <c r="C3973" s="18"/>
      <c r="D3973" s="19"/>
      <c r="E3973" s="57"/>
      <c r="H3973" s="18"/>
    </row>
    <row r="3974">
      <c r="C3974" s="18"/>
      <c r="D3974" s="19"/>
      <c r="E3974" s="57"/>
      <c r="H3974" s="18"/>
    </row>
    <row r="3975">
      <c r="C3975" s="18"/>
      <c r="D3975" s="19"/>
      <c r="E3975" s="57"/>
      <c r="H3975" s="18"/>
    </row>
    <row r="3976">
      <c r="C3976" s="18"/>
      <c r="D3976" s="19"/>
      <c r="E3976" s="57"/>
      <c r="H3976" s="18"/>
    </row>
    <row r="3977">
      <c r="C3977" s="18"/>
      <c r="D3977" s="19"/>
      <c r="E3977" s="57"/>
      <c r="H3977" s="18"/>
    </row>
    <row r="3978">
      <c r="C3978" s="18"/>
      <c r="D3978" s="19"/>
      <c r="E3978" s="57"/>
      <c r="H3978" s="18"/>
    </row>
    <row r="3979">
      <c r="C3979" s="18"/>
      <c r="D3979" s="19"/>
      <c r="E3979" s="57"/>
      <c r="H3979" s="18"/>
    </row>
    <row r="3980">
      <c r="C3980" s="18"/>
      <c r="D3980" s="19"/>
      <c r="E3980" s="57"/>
      <c r="H3980" s="18"/>
    </row>
    <row r="3981">
      <c r="C3981" s="18"/>
      <c r="D3981" s="19"/>
      <c r="E3981" s="57"/>
      <c r="H3981" s="18"/>
    </row>
    <row r="3982">
      <c r="C3982" s="18"/>
      <c r="D3982" s="19"/>
      <c r="E3982" s="57"/>
      <c r="H3982" s="18"/>
    </row>
    <row r="3983">
      <c r="C3983" s="18"/>
      <c r="D3983" s="19"/>
      <c r="E3983" s="57"/>
      <c r="H3983" s="18"/>
    </row>
    <row r="3984">
      <c r="C3984" s="18"/>
      <c r="D3984" s="19"/>
      <c r="E3984" s="57"/>
      <c r="H3984" s="18"/>
    </row>
    <row r="3985">
      <c r="C3985" s="18"/>
      <c r="D3985" s="19"/>
      <c r="E3985" s="57"/>
      <c r="H3985" s="18"/>
    </row>
    <row r="3986">
      <c r="C3986" s="18"/>
      <c r="D3986" s="19"/>
      <c r="E3986" s="57"/>
      <c r="H3986" s="18"/>
    </row>
    <row r="3987">
      <c r="C3987" s="18"/>
      <c r="D3987" s="19"/>
      <c r="E3987" s="57"/>
      <c r="H3987" s="18"/>
    </row>
    <row r="3988">
      <c r="C3988" s="18"/>
      <c r="D3988" s="19"/>
      <c r="E3988" s="57"/>
      <c r="H3988" s="18"/>
    </row>
    <row r="3989">
      <c r="C3989" s="18"/>
      <c r="D3989" s="19"/>
      <c r="E3989" s="57"/>
      <c r="H3989" s="18"/>
    </row>
    <row r="3990">
      <c r="C3990" s="18"/>
      <c r="D3990" s="19"/>
      <c r="E3990" s="57"/>
      <c r="H3990" s="18"/>
    </row>
    <row r="3991">
      <c r="C3991" s="18"/>
      <c r="D3991" s="19"/>
      <c r="E3991" s="57"/>
      <c r="H3991" s="18"/>
    </row>
    <row r="3992">
      <c r="C3992" s="18"/>
      <c r="D3992" s="19"/>
      <c r="E3992" s="57"/>
      <c r="H3992" s="18"/>
    </row>
    <row r="3993">
      <c r="C3993" s="18"/>
      <c r="D3993" s="19"/>
      <c r="E3993" s="57"/>
      <c r="H3993" s="18"/>
    </row>
    <row r="3994">
      <c r="C3994" s="18"/>
      <c r="D3994" s="19"/>
      <c r="E3994" s="57"/>
      <c r="H3994" s="18"/>
    </row>
    <row r="3995">
      <c r="C3995" s="18"/>
      <c r="D3995" s="19"/>
      <c r="E3995" s="57"/>
      <c r="H3995" s="18"/>
    </row>
    <row r="3996">
      <c r="C3996" s="18"/>
      <c r="D3996" s="19"/>
      <c r="E3996" s="57"/>
      <c r="H3996" s="18"/>
    </row>
    <row r="3997">
      <c r="C3997" s="18"/>
      <c r="D3997" s="19"/>
      <c r="E3997" s="57"/>
      <c r="H3997" s="18"/>
    </row>
    <row r="3998">
      <c r="C3998" s="18"/>
      <c r="D3998" s="19"/>
      <c r="E3998" s="57"/>
      <c r="H3998" s="18"/>
    </row>
    <row r="3999">
      <c r="C3999" s="18"/>
      <c r="D3999" s="19"/>
      <c r="E3999" s="57"/>
      <c r="H3999" s="18"/>
    </row>
    <row r="4000">
      <c r="C4000" s="18"/>
      <c r="D4000" s="19"/>
      <c r="E4000" s="57"/>
      <c r="H4000" s="18"/>
    </row>
    <row r="4001">
      <c r="C4001" s="18"/>
      <c r="D4001" s="19"/>
      <c r="E4001" s="57"/>
      <c r="H4001" s="18"/>
    </row>
    <row r="4002">
      <c r="C4002" s="18"/>
      <c r="D4002" s="19"/>
      <c r="E4002" s="57"/>
      <c r="H4002" s="18"/>
    </row>
    <row r="4003">
      <c r="C4003" s="18"/>
      <c r="D4003" s="19"/>
      <c r="E4003" s="57"/>
      <c r="H4003" s="18"/>
    </row>
    <row r="4004">
      <c r="C4004" s="18"/>
      <c r="D4004" s="19"/>
      <c r="E4004" s="57"/>
      <c r="H4004" s="18"/>
    </row>
    <row r="4005">
      <c r="C4005" s="18"/>
      <c r="D4005" s="19"/>
      <c r="E4005" s="57"/>
      <c r="H4005" s="18"/>
    </row>
    <row r="4006">
      <c r="C4006" s="18"/>
      <c r="D4006" s="19"/>
      <c r="E4006" s="57"/>
      <c r="H4006" s="18"/>
    </row>
    <row r="4007">
      <c r="C4007" s="18"/>
      <c r="D4007" s="19"/>
      <c r="E4007" s="57"/>
      <c r="H4007" s="18"/>
    </row>
    <row r="4008">
      <c r="C4008" s="18"/>
      <c r="D4008" s="19"/>
      <c r="E4008" s="57"/>
      <c r="H4008" s="18"/>
    </row>
    <row r="4009">
      <c r="C4009" s="18"/>
      <c r="D4009" s="19"/>
      <c r="E4009" s="57"/>
      <c r="H4009" s="18"/>
    </row>
    <row r="4010">
      <c r="C4010" s="18"/>
      <c r="D4010" s="19"/>
      <c r="E4010" s="57"/>
      <c r="H4010" s="18"/>
    </row>
    <row r="4011">
      <c r="C4011" s="18"/>
      <c r="D4011" s="19"/>
      <c r="E4011" s="57"/>
      <c r="H4011" s="18"/>
    </row>
    <row r="4012">
      <c r="C4012" s="18"/>
      <c r="D4012" s="19"/>
      <c r="E4012" s="57"/>
      <c r="H4012" s="18"/>
    </row>
    <row r="4013">
      <c r="C4013" s="18"/>
      <c r="D4013" s="19"/>
      <c r="E4013" s="57"/>
      <c r="H4013" s="18"/>
    </row>
    <row r="4014">
      <c r="C4014" s="18"/>
      <c r="D4014" s="19"/>
      <c r="E4014" s="57"/>
      <c r="H4014" s="18"/>
    </row>
    <row r="4015">
      <c r="C4015" s="18"/>
      <c r="D4015" s="19"/>
      <c r="E4015" s="57"/>
      <c r="H4015" s="18"/>
    </row>
    <row r="4016">
      <c r="C4016" s="18"/>
      <c r="D4016" s="19"/>
      <c r="E4016" s="57"/>
      <c r="H4016" s="18"/>
    </row>
    <row r="4017">
      <c r="C4017" s="18"/>
      <c r="D4017" s="19"/>
      <c r="E4017" s="57"/>
      <c r="H4017" s="18"/>
    </row>
    <row r="4018">
      <c r="C4018" s="18"/>
      <c r="D4018" s="19"/>
      <c r="E4018" s="57"/>
      <c r="H4018" s="18"/>
    </row>
    <row r="4019">
      <c r="C4019" s="18"/>
      <c r="D4019" s="19"/>
      <c r="E4019" s="57"/>
      <c r="H4019" s="18"/>
    </row>
    <row r="4020">
      <c r="C4020" s="18"/>
      <c r="D4020" s="19"/>
      <c r="E4020" s="57"/>
      <c r="H4020" s="18"/>
    </row>
    <row r="4021">
      <c r="C4021" s="18"/>
      <c r="D4021" s="19"/>
      <c r="E4021" s="57"/>
      <c r="H4021" s="18"/>
    </row>
    <row r="4022">
      <c r="C4022" s="18"/>
      <c r="D4022" s="19"/>
      <c r="E4022" s="57"/>
      <c r="H4022" s="18"/>
    </row>
    <row r="4023">
      <c r="C4023" s="18"/>
      <c r="D4023" s="19"/>
      <c r="E4023" s="57"/>
      <c r="H4023" s="18"/>
    </row>
    <row r="4024">
      <c r="C4024" s="18"/>
      <c r="D4024" s="19"/>
      <c r="E4024" s="57"/>
      <c r="H4024" s="18"/>
    </row>
    <row r="4025">
      <c r="C4025" s="18"/>
      <c r="D4025" s="19"/>
      <c r="E4025" s="57"/>
      <c r="H4025" s="18"/>
    </row>
    <row r="4026">
      <c r="C4026" s="18"/>
      <c r="D4026" s="19"/>
      <c r="E4026" s="57"/>
      <c r="H4026" s="18"/>
    </row>
    <row r="4027">
      <c r="C4027" s="18"/>
      <c r="D4027" s="19"/>
      <c r="E4027" s="57"/>
      <c r="H4027" s="18"/>
    </row>
    <row r="4028">
      <c r="C4028" s="18"/>
      <c r="D4028" s="19"/>
      <c r="E4028" s="57"/>
      <c r="H4028" s="18"/>
    </row>
    <row r="4029">
      <c r="C4029" s="18"/>
      <c r="D4029" s="19"/>
      <c r="E4029" s="57"/>
      <c r="H4029" s="18"/>
    </row>
    <row r="4030">
      <c r="C4030" s="18"/>
      <c r="D4030" s="19"/>
      <c r="E4030" s="57"/>
      <c r="H4030" s="18"/>
    </row>
    <row r="4031">
      <c r="C4031" s="18"/>
      <c r="D4031" s="19"/>
      <c r="E4031" s="57"/>
      <c r="H4031" s="18"/>
    </row>
    <row r="4032">
      <c r="C4032" s="18"/>
      <c r="D4032" s="19"/>
      <c r="E4032" s="57"/>
      <c r="H4032" s="18"/>
    </row>
    <row r="4033">
      <c r="C4033" s="18"/>
      <c r="D4033" s="19"/>
      <c r="E4033" s="57"/>
      <c r="H4033" s="18"/>
    </row>
    <row r="4034">
      <c r="C4034" s="18"/>
      <c r="D4034" s="19"/>
      <c r="E4034" s="57"/>
      <c r="H4034" s="18"/>
    </row>
    <row r="4035">
      <c r="C4035" s="18"/>
      <c r="D4035" s="19"/>
      <c r="E4035" s="57"/>
      <c r="H4035" s="18"/>
    </row>
    <row r="4036">
      <c r="C4036" s="18"/>
      <c r="D4036" s="19"/>
      <c r="E4036" s="57"/>
      <c r="H4036" s="18"/>
    </row>
    <row r="4037">
      <c r="C4037" s="18"/>
      <c r="D4037" s="19"/>
      <c r="E4037" s="57"/>
      <c r="H4037" s="18"/>
    </row>
    <row r="4038">
      <c r="C4038" s="18"/>
      <c r="D4038" s="19"/>
      <c r="E4038" s="57"/>
      <c r="H4038" s="18"/>
    </row>
    <row r="4039">
      <c r="C4039" s="18"/>
      <c r="D4039" s="19"/>
      <c r="E4039" s="57"/>
      <c r="H4039" s="18"/>
    </row>
    <row r="4040">
      <c r="C4040" s="18"/>
      <c r="D4040" s="19"/>
      <c r="E4040" s="57"/>
      <c r="H4040" s="18"/>
    </row>
    <row r="4041">
      <c r="C4041" s="18"/>
      <c r="D4041" s="19"/>
      <c r="E4041" s="57"/>
      <c r="H4041" s="18"/>
    </row>
    <row r="4042">
      <c r="C4042" s="18"/>
      <c r="D4042" s="19"/>
      <c r="E4042" s="57"/>
      <c r="H4042" s="18"/>
    </row>
    <row r="4043">
      <c r="C4043" s="18"/>
      <c r="D4043" s="19"/>
      <c r="E4043" s="57"/>
      <c r="H4043" s="18"/>
    </row>
    <row r="4044">
      <c r="C4044" s="18"/>
      <c r="D4044" s="19"/>
      <c r="E4044" s="57"/>
      <c r="H4044" s="18"/>
    </row>
    <row r="4045">
      <c r="C4045" s="18"/>
      <c r="D4045" s="19"/>
      <c r="E4045" s="57"/>
      <c r="H4045" s="18"/>
    </row>
    <row r="4046">
      <c r="C4046" s="18"/>
      <c r="D4046" s="19"/>
      <c r="E4046" s="57"/>
      <c r="H4046" s="18"/>
    </row>
    <row r="4047">
      <c r="C4047" s="18"/>
      <c r="D4047" s="19"/>
      <c r="E4047" s="57"/>
      <c r="H4047" s="18"/>
    </row>
    <row r="4048">
      <c r="C4048" s="18"/>
      <c r="D4048" s="19"/>
      <c r="E4048" s="57"/>
      <c r="H4048" s="18"/>
    </row>
    <row r="4049">
      <c r="C4049" s="18"/>
      <c r="D4049" s="19"/>
      <c r="E4049" s="57"/>
      <c r="H4049" s="18"/>
    </row>
    <row r="4050">
      <c r="C4050" s="18"/>
      <c r="D4050" s="19"/>
      <c r="E4050" s="57"/>
      <c r="H4050" s="18"/>
    </row>
    <row r="4051">
      <c r="C4051" s="18"/>
      <c r="D4051" s="19"/>
      <c r="E4051" s="57"/>
      <c r="H4051" s="18"/>
    </row>
    <row r="4052">
      <c r="C4052" s="18"/>
      <c r="D4052" s="19"/>
      <c r="E4052" s="57"/>
      <c r="H4052" s="18"/>
    </row>
    <row r="4053">
      <c r="C4053" s="18"/>
      <c r="D4053" s="19"/>
      <c r="E4053" s="57"/>
      <c r="H4053" s="18"/>
    </row>
    <row r="4054">
      <c r="C4054" s="18"/>
      <c r="D4054" s="19"/>
      <c r="E4054" s="57"/>
      <c r="H4054" s="18"/>
    </row>
    <row r="4055">
      <c r="C4055" s="18"/>
      <c r="D4055" s="19"/>
      <c r="E4055" s="57"/>
      <c r="H4055" s="18"/>
    </row>
    <row r="4056">
      <c r="C4056" s="18"/>
      <c r="D4056" s="19"/>
      <c r="E4056" s="57"/>
      <c r="H4056" s="18"/>
    </row>
    <row r="4057">
      <c r="C4057" s="18"/>
      <c r="D4057" s="19"/>
      <c r="E4057" s="57"/>
      <c r="H4057" s="18"/>
    </row>
    <row r="4058">
      <c r="C4058" s="18"/>
      <c r="D4058" s="19"/>
      <c r="E4058" s="57"/>
      <c r="H4058" s="18"/>
    </row>
    <row r="4059">
      <c r="C4059" s="18"/>
      <c r="D4059" s="19"/>
      <c r="E4059" s="57"/>
      <c r="H4059" s="18"/>
    </row>
    <row r="4060">
      <c r="C4060" s="18"/>
      <c r="D4060" s="19"/>
      <c r="E4060" s="57"/>
      <c r="H4060" s="18"/>
    </row>
    <row r="4061">
      <c r="C4061" s="18"/>
      <c r="D4061" s="19"/>
      <c r="E4061" s="57"/>
      <c r="H4061" s="18"/>
    </row>
    <row r="4062">
      <c r="C4062" s="18"/>
      <c r="D4062" s="19"/>
      <c r="E4062" s="57"/>
      <c r="H4062" s="18"/>
    </row>
    <row r="4063">
      <c r="C4063" s="18"/>
      <c r="D4063" s="19"/>
      <c r="E4063" s="57"/>
      <c r="H4063" s="18"/>
    </row>
    <row r="4064">
      <c r="C4064" s="18"/>
      <c r="D4064" s="19"/>
      <c r="E4064" s="57"/>
      <c r="H4064" s="18"/>
    </row>
    <row r="4065">
      <c r="C4065" s="18"/>
      <c r="D4065" s="19"/>
      <c r="E4065" s="57"/>
      <c r="H4065" s="18"/>
    </row>
    <row r="4066">
      <c r="C4066" s="18"/>
      <c r="D4066" s="19"/>
      <c r="E4066" s="57"/>
      <c r="H4066" s="18"/>
    </row>
    <row r="4067">
      <c r="C4067" s="18"/>
      <c r="D4067" s="19"/>
      <c r="E4067" s="57"/>
      <c r="H4067" s="18"/>
    </row>
    <row r="4068">
      <c r="C4068" s="18"/>
      <c r="D4068" s="19"/>
      <c r="E4068" s="57"/>
      <c r="H4068" s="18"/>
    </row>
    <row r="4069">
      <c r="C4069" s="18"/>
      <c r="D4069" s="19"/>
      <c r="E4069" s="57"/>
      <c r="H4069" s="18"/>
    </row>
    <row r="4070">
      <c r="C4070" s="18"/>
      <c r="D4070" s="19"/>
      <c r="E4070" s="57"/>
      <c r="H4070" s="18"/>
    </row>
    <row r="4071">
      <c r="C4071" s="18"/>
      <c r="D4071" s="19"/>
      <c r="E4071" s="57"/>
      <c r="H4071" s="18"/>
    </row>
    <row r="4072">
      <c r="C4072" s="18"/>
      <c r="D4072" s="19"/>
      <c r="E4072" s="57"/>
      <c r="H4072" s="18"/>
    </row>
    <row r="4073">
      <c r="C4073" s="18"/>
      <c r="D4073" s="19"/>
      <c r="E4073" s="57"/>
      <c r="H4073" s="18"/>
    </row>
    <row r="4074">
      <c r="C4074" s="18"/>
      <c r="D4074" s="19"/>
      <c r="E4074" s="57"/>
      <c r="H4074" s="18"/>
    </row>
    <row r="4075">
      <c r="C4075" s="18"/>
      <c r="D4075" s="19"/>
      <c r="E4075" s="57"/>
      <c r="H4075" s="18"/>
    </row>
    <row r="4076">
      <c r="C4076" s="18"/>
      <c r="D4076" s="19"/>
      <c r="E4076" s="57"/>
      <c r="H4076" s="18"/>
    </row>
    <row r="4077">
      <c r="C4077" s="18"/>
      <c r="D4077" s="19"/>
      <c r="E4077" s="57"/>
      <c r="H4077" s="18"/>
    </row>
    <row r="4078">
      <c r="C4078" s="18"/>
      <c r="D4078" s="19"/>
      <c r="E4078" s="57"/>
      <c r="H4078" s="18"/>
    </row>
    <row r="4079">
      <c r="C4079" s="18"/>
      <c r="D4079" s="19"/>
      <c r="E4079" s="57"/>
      <c r="H4079" s="18"/>
    </row>
    <row r="4080">
      <c r="C4080" s="18"/>
      <c r="D4080" s="19"/>
      <c r="E4080" s="57"/>
      <c r="H4080" s="18"/>
    </row>
    <row r="4081">
      <c r="C4081" s="18"/>
      <c r="D4081" s="19"/>
      <c r="E4081" s="57"/>
      <c r="H4081" s="18"/>
    </row>
    <row r="4082">
      <c r="C4082" s="18"/>
      <c r="D4082" s="19"/>
      <c r="E4082" s="57"/>
      <c r="H4082" s="18"/>
    </row>
    <row r="4083">
      <c r="C4083" s="18"/>
      <c r="D4083" s="19"/>
      <c r="E4083" s="57"/>
      <c r="H4083" s="18"/>
    </row>
    <row r="4084">
      <c r="C4084" s="18"/>
      <c r="D4084" s="19"/>
      <c r="E4084" s="57"/>
      <c r="H4084" s="18"/>
    </row>
    <row r="4085">
      <c r="C4085" s="18"/>
      <c r="D4085" s="19"/>
      <c r="E4085" s="57"/>
      <c r="H4085" s="18"/>
    </row>
    <row r="4086">
      <c r="C4086" s="18"/>
      <c r="D4086" s="19"/>
      <c r="E4086" s="57"/>
      <c r="H4086" s="18"/>
    </row>
    <row r="4087">
      <c r="C4087" s="18"/>
      <c r="D4087" s="19"/>
      <c r="E4087" s="57"/>
      <c r="H4087" s="18"/>
    </row>
    <row r="4088">
      <c r="C4088" s="18"/>
      <c r="D4088" s="19"/>
      <c r="E4088" s="57"/>
      <c r="H4088" s="18"/>
    </row>
    <row r="4089">
      <c r="C4089" s="18"/>
      <c r="D4089" s="19"/>
      <c r="E4089" s="57"/>
      <c r="H4089" s="18"/>
    </row>
    <row r="4090">
      <c r="C4090" s="18"/>
      <c r="D4090" s="19"/>
      <c r="E4090" s="57"/>
      <c r="H4090" s="18"/>
    </row>
    <row r="4091">
      <c r="C4091" s="18"/>
      <c r="D4091" s="19"/>
      <c r="E4091" s="57"/>
      <c r="H4091" s="18"/>
    </row>
    <row r="4092">
      <c r="C4092" s="18"/>
      <c r="D4092" s="19"/>
      <c r="E4092" s="57"/>
      <c r="H4092" s="18"/>
    </row>
    <row r="4093">
      <c r="C4093" s="18"/>
      <c r="D4093" s="19"/>
      <c r="E4093" s="57"/>
      <c r="H4093" s="18"/>
    </row>
    <row r="4094">
      <c r="C4094" s="18"/>
      <c r="D4094" s="19"/>
      <c r="E4094" s="57"/>
      <c r="H4094" s="18"/>
    </row>
    <row r="4095">
      <c r="C4095" s="18"/>
      <c r="D4095" s="19"/>
      <c r="E4095" s="57"/>
      <c r="H4095" s="18"/>
    </row>
    <row r="4096">
      <c r="C4096" s="18"/>
      <c r="D4096" s="19"/>
      <c r="E4096" s="57"/>
      <c r="H4096" s="18"/>
    </row>
    <row r="4097">
      <c r="C4097" s="18"/>
      <c r="D4097" s="19"/>
      <c r="E4097" s="57"/>
      <c r="H4097" s="18"/>
    </row>
    <row r="4098">
      <c r="C4098" s="18"/>
      <c r="D4098" s="19"/>
      <c r="E4098" s="57"/>
      <c r="H4098" s="18"/>
    </row>
    <row r="4099">
      <c r="C4099" s="18"/>
      <c r="D4099" s="19"/>
      <c r="E4099" s="57"/>
      <c r="H4099" s="18"/>
    </row>
    <row r="4100">
      <c r="C4100" s="18"/>
      <c r="D4100" s="19"/>
      <c r="E4100" s="57"/>
      <c r="H4100" s="18"/>
    </row>
    <row r="4101">
      <c r="C4101" s="18"/>
      <c r="D4101" s="19"/>
      <c r="E4101" s="57"/>
      <c r="H4101" s="18"/>
    </row>
    <row r="4102">
      <c r="C4102" s="18"/>
      <c r="D4102" s="19"/>
      <c r="E4102" s="57"/>
      <c r="H4102" s="18"/>
    </row>
    <row r="4103">
      <c r="C4103" s="18"/>
      <c r="D4103" s="19"/>
      <c r="E4103" s="57"/>
      <c r="H4103" s="18"/>
    </row>
    <row r="4104">
      <c r="C4104" s="18"/>
      <c r="D4104" s="19"/>
      <c r="E4104" s="57"/>
      <c r="H4104" s="18"/>
    </row>
    <row r="4105">
      <c r="C4105" s="18"/>
      <c r="D4105" s="19"/>
      <c r="E4105" s="57"/>
      <c r="H4105" s="18"/>
    </row>
    <row r="4106">
      <c r="C4106" s="18"/>
      <c r="D4106" s="19"/>
      <c r="E4106" s="57"/>
      <c r="H4106" s="18"/>
    </row>
    <row r="4107">
      <c r="C4107" s="18"/>
      <c r="D4107" s="19"/>
      <c r="E4107" s="57"/>
      <c r="H4107" s="18"/>
    </row>
    <row r="4108">
      <c r="C4108" s="18"/>
      <c r="D4108" s="19"/>
      <c r="E4108" s="57"/>
      <c r="H4108" s="18"/>
    </row>
    <row r="4109">
      <c r="C4109" s="18"/>
      <c r="D4109" s="19"/>
      <c r="E4109" s="57"/>
      <c r="H4109" s="18"/>
    </row>
    <row r="4110">
      <c r="C4110" s="18"/>
      <c r="D4110" s="19"/>
      <c r="E4110" s="57"/>
      <c r="H4110" s="18"/>
    </row>
    <row r="4111">
      <c r="C4111" s="18"/>
      <c r="D4111" s="19"/>
      <c r="E4111" s="57"/>
      <c r="H4111" s="18"/>
    </row>
    <row r="4112">
      <c r="C4112" s="18"/>
      <c r="D4112" s="19"/>
      <c r="E4112" s="57"/>
      <c r="H4112" s="18"/>
    </row>
    <row r="4113">
      <c r="C4113" s="18"/>
      <c r="D4113" s="19"/>
      <c r="E4113" s="57"/>
      <c r="H4113" s="18"/>
    </row>
    <row r="4114">
      <c r="C4114" s="18"/>
      <c r="D4114" s="19"/>
      <c r="E4114" s="57"/>
      <c r="H4114" s="18"/>
    </row>
    <row r="4115">
      <c r="C4115" s="18"/>
      <c r="D4115" s="19"/>
      <c r="E4115" s="57"/>
      <c r="H4115" s="18"/>
    </row>
    <row r="4116">
      <c r="C4116" s="18"/>
      <c r="D4116" s="19"/>
      <c r="E4116" s="57"/>
      <c r="H4116" s="18"/>
    </row>
    <row r="4117">
      <c r="C4117" s="18"/>
      <c r="D4117" s="19"/>
      <c r="E4117" s="57"/>
      <c r="H4117" s="18"/>
    </row>
    <row r="4118">
      <c r="C4118" s="18"/>
      <c r="D4118" s="19"/>
      <c r="E4118" s="57"/>
      <c r="H4118" s="18"/>
    </row>
    <row r="4119">
      <c r="C4119" s="18"/>
      <c r="D4119" s="19"/>
      <c r="E4119" s="57"/>
      <c r="H4119" s="18"/>
    </row>
    <row r="4120">
      <c r="C4120" s="18"/>
      <c r="D4120" s="19"/>
      <c r="E4120" s="57"/>
      <c r="H4120" s="18"/>
    </row>
    <row r="4121">
      <c r="C4121" s="18"/>
      <c r="D4121" s="19"/>
      <c r="E4121" s="57"/>
      <c r="H4121" s="18"/>
    </row>
    <row r="4122">
      <c r="C4122" s="18"/>
      <c r="D4122" s="19"/>
      <c r="E4122" s="57"/>
      <c r="H4122" s="18"/>
    </row>
    <row r="4123">
      <c r="C4123" s="18"/>
      <c r="D4123" s="19"/>
      <c r="E4123" s="57"/>
      <c r="H4123" s="18"/>
    </row>
    <row r="4124">
      <c r="C4124" s="18"/>
      <c r="D4124" s="19"/>
      <c r="E4124" s="57"/>
      <c r="H4124" s="18"/>
    </row>
    <row r="4125">
      <c r="C4125" s="18"/>
      <c r="D4125" s="19"/>
      <c r="E4125" s="57"/>
      <c r="H4125" s="18"/>
    </row>
    <row r="4126">
      <c r="C4126" s="18"/>
      <c r="D4126" s="19"/>
      <c r="E4126" s="57"/>
      <c r="H4126" s="18"/>
    </row>
    <row r="4127">
      <c r="C4127" s="18"/>
      <c r="D4127" s="19"/>
      <c r="E4127" s="57"/>
      <c r="H4127" s="18"/>
    </row>
    <row r="4128">
      <c r="C4128" s="18"/>
      <c r="D4128" s="19"/>
      <c r="E4128" s="57"/>
      <c r="H4128" s="18"/>
    </row>
    <row r="4129">
      <c r="C4129" s="18"/>
      <c r="D4129" s="19"/>
      <c r="E4129" s="57"/>
      <c r="H4129" s="18"/>
    </row>
    <row r="4130">
      <c r="C4130" s="18"/>
      <c r="D4130" s="19"/>
      <c r="E4130" s="57"/>
      <c r="H4130" s="18"/>
    </row>
    <row r="4131">
      <c r="C4131" s="18"/>
      <c r="D4131" s="19"/>
      <c r="E4131" s="57"/>
      <c r="H4131" s="18"/>
    </row>
    <row r="4132">
      <c r="C4132" s="18"/>
      <c r="D4132" s="19"/>
      <c r="E4132" s="57"/>
      <c r="H4132" s="18"/>
    </row>
    <row r="4133">
      <c r="C4133" s="18"/>
      <c r="D4133" s="19"/>
      <c r="E4133" s="57"/>
      <c r="H4133" s="18"/>
    </row>
    <row r="4134">
      <c r="C4134" s="18"/>
      <c r="D4134" s="19"/>
      <c r="E4134" s="57"/>
      <c r="H4134" s="18"/>
    </row>
    <row r="4135">
      <c r="C4135" s="18"/>
      <c r="D4135" s="19"/>
      <c r="E4135" s="57"/>
      <c r="H4135" s="18"/>
    </row>
    <row r="4136">
      <c r="C4136" s="18"/>
      <c r="D4136" s="19"/>
      <c r="E4136" s="57"/>
      <c r="H4136" s="18"/>
    </row>
    <row r="4137">
      <c r="C4137" s="18"/>
      <c r="D4137" s="19"/>
      <c r="E4137" s="57"/>
      <c r="H4137" s="18"/>
    </row>
    <row r="4138">
      <c r="C4138" s="18"/>
      <c r="D4138" s="19"/>
      <c r="E4138" s="57"/>
      <c r="H4138" s="18"/>
    </row>
    <row r="4139">
      <c r="C4139" s="18"/>
      <c r="D4139" s="19"/>
      <c r="E4139" s="57"/>
      <c r="H4139" s="18"/>
    </row>
    <row r="4140">
      <c r="C4140" s="18"/>
      <c r="D4140" s="19"/>
      <c r="E4140" s="57"/>
      <c r="H4140" s="18"/>
    </row>
    <row r="4141">
      <c r="C4141" s="18"/>
      <c r="D4141" s="19"/>
      <c r="E4141" s="57"/>
      <c r="H4141" s="18"/>
    </row>
    <row r="4142">
      <c r="C4142" s="18"/>
      <c r="D4142" s="19"/>
      <c r="E4142" s="57"/>
      <c r="H4142" s="18"/>
    </row>
    <row r="4143">
      <c r="C4143" s="18"/>
      <c r="D4143" s="19"/>
      <c r="E4143" s="57"/>
      <c r="H4143" s="18"/>
    </row>
    <row r="4144">
      <c r="C4144" s="18"/>
      <c r="D4144" s="19"/>
      <c r="E4144" s="57"/>
      <c r="H4144" s="18"/>
    </row>
    <row r="4145">
      <c r="C4145" s="18"/>
      <c r="D4145" s="19"/>
      <c r="E4145" s="57"/>
      <c r="H4145" s="18"/>
    </row>
    <row r="4146">
      <c r="C4146" s="18"/>
      <c r="D4146" s="19"/>
      <c r="E4146" s="57"/>
      <c r="H4146" s="18"/>
    </row>
    <row r="4147">
      <c r="C4147" s="18"/>
      <c r="D4147" s="19"/>
      <c r="E4147" s="57"/>
      <c r="H4147" s="18"/>
    </row>
    <row r="4148">
      <c r="C4148" s="18"/>
      <c r="D4148" s="19"/>
      <c r="E4148" s="57"/>
      <c r="H4148" s="18"/>
    </row>
    <row r="4149">
      <c r="C4149" s="18"/>
      <c r="D4149" s="19"/>
      <c r="E4149" s="57"/>
      <c r="H4149" s="18"/>
    </row>
    <row r="4150">
      <c r="C4150" s="18"/>
      <c r="D4150" s="19"/>
      <c r="E4150" s="57"/>
      <c r="H4150" s="18"/>
    </row>
    <row r="4151">
      <c r="C4151" s="18"/>
      <c r="D4151" s="19"/>
      <c r="E4151" s="57"/>
      <c r="H4151" s="18"/>
    </row>
    <row r="4152">
      <c r="C4152" s="18"/>
      <c r="D4152" s="19"/>
      <c r="E4152" s="57"/>
      <c r="H4152" s="18"/>
    </row>
    <row r="4153">
      <c r="C4153" s="18"/>
      <c r="D4153" s="19"/>
      <c r="E4153" s="57"/>
      <c r="H4153" s="18"/>
    </row>
    <row r="4154">
      <c r="C4154" s="18"/>
      <c r="D4154" s="19"/>
      <c r="E4154" s="57"/>
      <c r="H4154" s="18"/>
    </row>
    <row r="4155">
      <c r="C4155" s="18"/>
      <c r="D4155" s="19"/>
      <c r="E4155" s="57"/>
      <c r="H4155" s="18"/>
    </row>
    <row r="4156">
      <c r="C4156" s="18"/>
      <c r="D4156" s="19"/>
      <c r="E4156" s="57"/>
      <c r="H4156" s="18"/>
    </row>
    <row r="4157">
      <c r="C4157" s="18"/>
      <c r="D4157" s="19"/>
      <c r="E4157" s="57"/>
      <c r="H4157" s="18"/>
    </row>
    <row r="4158">
      <c r="C4158" s="18"/>
      <c r="D4158" s="19"/>
      <c r="E4158" s="57"/>
      <c r="H4158" s="18"/>
    </row>
    <row r="4159">
      <c r="C4159" s="18"/>
      <c r="D4159" s="19"/>
      <c r="E4159" s="57"/>
      <c r="H4159" s="18"/>
    </row>
    <row r="4160">
      <c r="C4160" s="18"/>
      <c r="D4160" s="19"/>
      <c r="E4160" s="57"/>
      <c r="H4160" s="18"/>
    </row>
    <row r="4161">
      <c r="C4161" s="18"/>
      <c r="D4161" s="19"/>
      <c r="E4161" s="57"/>
      <c r="H4161" s="18"/>
    </row>
    <row r="4162">
      <c r="C4162" s="18"/>
      <c r="D4162" s="19"/>
      <c r="E4162" s="57"/>
      <c r="H4162" s="18"/>
    </row>
    <row r="4163">
      <c r="C4163" s="18"/>
      <c r="D4163" s="19"/>
      <c r="E4163" s="57"/>
      <c r="H4163" s="18"/>
    </row>
    <row r="4164">
      <c r="C4164" s="18"/>
      <c r="D4164" s="19"/>
      <c r="E4164" s="57"/>
      <c r="H4164" s="18"/>
    </row>
    <row r="4165">
      <c r="C4165" s="18"/>
      <c r="D4165" s="19"/>
      <c r="E4165" s="57"/>
      <c r="H4165" s="18"/>
    </row>
    <row r="4166">
      <c r="C4166" s="18"/>
      <c r="D4166" s="19"/>
      <c r="E4166" s="57"/>
      <c r="H4166" s="18"/>
    </row>
    <row r="4167">
      <c r="C4167" s="18"/>
      <c r="D4167" s="19"/>
      <c r="E4167" s="57"/>
      <c r="H4167" s="18"/>
    </row>
    <row r="4168">
      <c r="C4168" s="18"/>
      <c r="D4168" s="19"/>
      <c r="E4168" s="57"/>
      <c r="H4168" s="18"/>
    </row>
    <row r="4169">
      <c r="C4169" s="18"/>
      <c r="D4169" s="19"/>
      <c r="E4169" s="57"/>
      <c r="H4169" s="18"/>
    </row>
    <row r="4170">
      <c r="C4170" s="18"/>
      <c r="D4170" s="19"/>
      <c r="E4170" s="57"/>
      <c r="H4170" s="18"/>
    </row>
    <row r="4171">
      <c r="C4171" s="18"/>
      <c r="D4171" s="19"/>
      <c r="E4171" s="57"/>
      <c r="H4171" s="18"/>
    </row>
    <row r="4172">
      <c r="C4172" s="18"/>
      <c r="D4172" s="19"/>
      <c r="E4172" s="57"/>
      <c r="H4172" s="18"/>
    </row>
    <row r="4173">
      <c r="C4173" s="18"/>
      <c r="D4173" s="19"/>
      <c r="E4173" s="57"/>
      <c r="H4173" s="18"/>
    </row>
    <row r="4174">
      <c r="C4174" s="18"/>
      <c r="D4174" s="19"/>
      <c r="E4174" s="57"/>
      <c r="H4174" s="18"/>
    </row>
    <row r="4175">
      <c r="C4175" s="18"/>
      <c r="D4175" s="19"/>
      <c r="E4175" s="57"/>
      <c r="H4175" s="18"/>
    </row>
    <row r="4176">
      <c r="C4176" s="18"/>
      <c r="D4176" s="19"/>
      <c r="E4176" s="57"/>
      <c r="H4176" s="18"/>
    </row>
    <row r="4177">
      <c r="C4177" s="18"/>
      <c r="D4177" s="19"/>
      <c r="E4177" s="57"/>
      <c r="H4177" s="18"/>
    </row>
    <row r="4178">
      <c r="C4178" s="18"/>
      <c r="D4178" s="19"/>
      <c r="E4178" s="57"/>
      <c r="H4178" s="18"/>
    </row>
    <row r="4179">
      <c r="C4179" s="18"/>
      <c r="D4179" s="19"/>
      <c r="E4179" s="57"/>
      <c r="H4179" s="18"/>
    </row>
    <row r="4180">
      <c r="C4180" s="18"/>
      <c r="D4180" s="19"/>
      <c r="E4180" s="57"/>
      <c r="H4180" s="18"/>
    </row>
    <row r="4181">
      <c r="C4181" s="18"/>
      <c r="D4181" s="19"/>
      <c r="E4181" s="57"/>
      <c r="H4181" s="18"/>
    </row>
    <row r="4182">
      <c r="C4182" s="18"/>
      <c r="D4182" s="19"/>
      <c r="E4182" s="57"/>
      <c r="H4182" s="18"/>
    </row>
    <row r="4183">
      <c r="C4183" s="18"/>
      <c r="D4183" s="19"/>
      <c r="E4183" s="57"/>
      <c r="H4183" s="18"/>
    </row>
    <row r="4184">
      <c r="C4184" s="18"/>
      <c r="D4184" s="19"/>
      <c r="E4184" s="57"/>
      <c r="H4184" s="18"/>
    </row>
    <row r="4185">
      <c r="C4185" s="18"/>
      <c r="D4185" s="19"/>
      <c r="E4185" s="57"/>
      <c r="H4185" s="18"/>
    </row>
    <row r="4186">
      <c r="C4186" s="18"/>
      <c r="D4186" s="19"/>
      <c r="E4186" s="57"/>
      <c r="H4186" s="18"/>
    </row>
    <row r="4187">
      <c r="C4187" s="18"/>
      <c r="D4187" s="19"/>
      <c r="E4187" s="57"/>
      <c r="H4187" s="18"/>
    </row>
    <row r="4188">
      <c r="C4188" s="18"/>
      <c r="D4188" s="19"/>
      <c r="E4188" s="57"/>
      <c r="H4188" s="18"/>
    </row>
    <row r="4189">
      <c r="C4189" s="18"/>
      <c r="D4189" s="19"/>
      <c r="E4189" s="57"/>
      <c r="H4189" s="18"/>
    </row>
    <row r="4190">
      <c r="C4190" s="18"/>
      <c r="D4190" s="19"/>
      <c r="E4190" s="57"/>
      <c r="H4190" s="18"/>
    </row>
    <row r="4191">
      <c r="C4191" s="18"/>
      <c r="D4191" s="19"/>
      <c r="E4191" s="57"/>
      <c r="H4191" s="18"/>
    </row>
    <row r="4192">
      <c r="C4192" s="18"/>
      <c r="D4192" s="19"/>
      <c r="E4192" s="57"/>
      <c r="H4192" s="18"/>
    </row>
    <row r="4193">
      <c r="C4193" s="18"/>
      <c r="D4193" s="19"/>
      <c r="E4193" s="57"/>
      <c r="H4193" s="18"/>
    </row>
    <row r="4194">
      <c r="C4194" s="18"/>
      <c r="D4194" s="19"/>
      <c r="E4194" s="57"/>
      <c r="H4194" s="18"/>
    </row>
    <row r="4195">
      <c r="C4195" s="18"/>
      <c r="D4195" s="19"/>
      <c r="E4195" s="57"/>
      <c r="H4195" s="18"/>
    </row>
    <row r="4196">
      <c r="C4196" s="18"/>
      <c r="D4196" s="19"/>
      <c r="E4196" s="57"/>
      <c r="H4196" s="18"/>
    </row>
    <row r="4197">
      <c r="C4197" s="18"/>
      <c r="D4197" s="19"/>
      <c r="E4197" s="57"/>
      <c r="H4197" s="18"/>
    </row>
    <row r="4198">
      <c r="C4198" s="18"/>
      <c r="D4198" s="19"/>
      <c r="E4198" s="57"/>
      <c r="H4198" s="18"/>
    </row>
    <row r="4199">
      <c r="C4199" s="18"/>
      <c r="D4199" s="19"/>
      <c r="E4199" s="57"/>
      <c r="H4199" s="18"/>
    </row>
    <row r="4200">
      <c r="C4200" s="18"/>
      <c r="D4200" s="19"/>
      <c r="E4200" s="57"/>
      <c r="H4200" s="18"/>
    </row>
    <row r="4201">
      <c r="C4201" s="18"/>
      <c r="D4201" s="19"/>
      <c r="E4201" s="57"/>
      <c r="H4201" s="18"/>
    </row>
    <row r="4202">
      <c r="C4202" s="18"/>
      <c r="D4202" s="19"/>
      <c r="E4202" s="57"/>
      <c r="H4202" s="18"/>
    </row>
    <row r="4203">
      <c r="C4203" s="18"/>
      <c r="D4203" s="19"/>
      <c r="E4203" s="57"/>
      <c r="H4203" s="18"/>
    </row>
    <row r="4204">
      <c r="C4204" s="18"/>
      <c r="D4204" s="19"/>
      <c r="E4204" s="57"/>
      <c r="H4204" s="18"/>
    </row>
    <row r="4205">
      <c r="C4205" s="18"/>
      <c r="D4205" s="19"/>
      <c r="E4205" s="57"/>
      <c r="H4205" s="18"/>
    </row>
    <row r="4206">
      <c r="C4206" s="18"/>
      <c r="D4206" s="19"/>
      <c r="E4206" s="57"/>
      <c r="H4206" s="18"/>
    </row>
    <row r="4207">
      <c r="C4207" s="18"/>
      <c r="D4207" s="19"/>
      <c r="E4207" s="57"/>
      <c r="H4207" s="18"/>
    </row>
    <row r="4208">
      <c r="C4208" s="18"/>
      <c r="D4208" s="19"/>
      <c r="E4208" s="57"/>
      <c r="H4208" s="18"/>
    </row>
    <row r="4209">
      <c r="C4209" s="18"/>
      <c r="D4209" s="19"/>
      <c r="E4209" s="57"/>
      <c r="H4209" s="18"/>
    </row>
    <row r="4210">
      <c r="C4210" s="18"/>
      <c r="D4210" s="19"/>
      <c r="E4210" s="57"/>
      <c r="H4210" s="18"/>
    </row>
    <row r="4211">
      <c r="C4211" s="18"/>
      <c r="D4211" s="19"/>
      <c r="E4211" s="57"/>
      <c r="H4211" s="18"/>
    </row>
    <row r="4212">
      <c r="C4212" s="18"/>
      <c r="D4212" s="19"/>
      <c r="E4212" s="57"/>
      <c r="H4212" s="18"/>
    </row>
    <row r="4213">
      <c r="C4213" s="18"/>
      <c r="D4213" s="19"/>
      <c r="E4213" s="57"/>
      <c r="H4213" s="18"/>
    </row>
    <row r="4214">
      <c r="C4214" s="18"/>
      <c r="D4214" s="19"/>
      <c r="E4214" s="57"/>
      <c r="H4214" s="18"/>
    </row>
    <row r="4215">
      <c r="C4215" s="18"/>
      <c r="D4215" s="19"/>
      <c r="E4215" s="57"/>
      <c r="H4215" s="18"/>
    </row>
    <row r="4216">
      <c r="C4216" s="18"/>
      <c r="D4216" s="19"/>
      <c r="E4216" s="57"/>
      <c r="H4216" s="18"/>
    </row>
    <row r="4217">
      <c r="C4217" s="18"/>
      <c r="D4217" s="19"/>
      <c r="E4217" s="57"/>
      <c r="H4217" s="18"/>
    </row>
    <row r="4218">
      <c r="C4218" s="18"/>
      <c r="D4218" s="19"/>
      <c r="E4218" s="57"/>
      <c r="H4218" s="18"/>
    </row>
    <row r="4219">
      <c r="C4219" s="18"/>
      <c r="D4219" s="19"/>
      <c r="E4219" s="57"/>
      <c r="H4219" s="18"/>
    </row>
    <row r="4220">
      <c r="C4220" s="18"/>
      <c r="D4220" s="19"/>
      <c r="E4220" s="57"/>
      <c r="H4220" s="18"/>
    </row>
    <row r="4221">
      <c r="C4221" s="18"/>
      <c r="D4221" s="19"/>
      <c r="E4221" s="57"/>
      <c r="H4221" s="18"/>
    </row>
    <row r="4222">
      <c r="C4222" s="18"/>
      <c r="D4222" s="19"/>
      <c r="E4222" s="57"/>
      <c r="H4222" s="18"/>
    </row>
    <row r="4223">
      <c r="C4223" s="18"/>
      <c r="D4223" s="19"/>
      <c r="E4223" s="57"/>
      <c r="H4223" s="18"/>
    </row>
    <row r="4224">
      <c r="C4224" s="18"/>
      <c r="D4224" s="19"/>
      <c r="E4224" s="57"/>
      <c r="H4224" s="18"/>
    </row>
    <row r="4225">
      <c r="C4225" s="18"/>
      <c r="D4225" s="19"/>
      <c r="E4225" s="57"/>
      <c r="H4225" s="18"/>
    </row>
    <row r="4226">
      <c r="C4226" s="18"/>
      <c r="D4226" s="19"/>
      <c r="E4226" s="57"/>
      <c r="H4226" s="18"/>
    </row>
    <row r="4227">
      <c r="C4227" s="18"/>
      <c r="D4227" s="19"/>
      <c r="E4227" s="57"/>
      <c r="H4227" s="18"/>
    </row>
    <row r="4228">
      <c r="C4228" s="18"/>
      <c r="D4228" s="19"/>
      <c r="E4228" s="57"/>
      <c r="H4228" s="18"/>
    </row>
    <row r="4229">
      <c r="C4229" s="18"/>
      <c r="D4229" s="19"/>
      <c r="E4229" s="57"/>
      <c r="H4229" s="18"/>
    </row>
    <row r="4230">
      <c r="C4230" s="18"/>
      <c r="D4230" s="19"/>
      <c r="E4230" s="57"/>
      <c r="H4230" s="18"/>
    </row>
    <row r="4231">
      <c r="C4231" s="18"/>
      <c r="D4231" s="19"/>
      <c r="E4231" s="57"/>
      <c r="H4231" s="18"/>
    </row>
    <row r="4232">
      <c r="C4232" s="18"/>
      <c r="D4232" s="19"/>
      <c r="E4232" s="57"/>
      <c r="H4232" s="18"/>
    </row>
    <row r="4233">
      <c r="C4233" s="18"/>
      <c r="D4233" s="19"/>
      <c r="E4233" s="57"/>
      <c r="H4233" s="18"/>
    </row>
    <row r="4234">
      <c r="C4234" s="18"/>
      <c r="D4234" s="19"/>
      <c r="E4234" s="57"/>
      <c r="H4234" s="18"/>
    </row>
    <row r="4235">
      <c r="C4235" s="18"/>
      <c r="D4235" s="19"/>
      <c r="E4235" s="57"/>
      <c r="H4235" s="18"/>
    </row>
    <row r="4236">
      <c r="C4236" s="18"/>
      <c r="D4236" s="19"/>
      <c r="E4236" s="57"/>
      <c r="H4236" s="18"/>
    </row>
    <row r="4237">
      <c r="C4237" s="18"/>
      <c r="D4237" s="19"/>
      <c r="E4237" s="57"/>
      <c r="H4237" s="18"/>
    </row>
    <row r="4238">
      <c r="C4238" s="18"/>
      <c r="D4238" s="19"/>
      <c r="E4238" s="57"/>
      <c r="H4238" s="18"/>
    </row>
    <row r="4239">
      <c r="C4239" s="18"/>
      <c r="D4239" s="19"/>
      <c r="E4239" s="57"/>
      <c r="H4239" s="18"/>
    </row>
    <row r="4240">
      <c r="C4240" s="18"/>
      <c r="D4240" s="19"/>
      <c r="E4240" s="57"/>
      <c r="H4240" s="18"/>
    </row>
    <row r="4241">
      <c r="C4241" s="18"/>
      <c r="D4241" s="19"/>
      <c r="E4241" s="57"/>
      <c r="H4241" s="18"/>
    </row>
    <row r="4242">
      <c r="C4242" s="18"/>
      <c r="D4242" s="19"/>
      <c r="E4242" s="57"/>
      <c r="H4242" s="18"/>
    </row>
    <row r="4243">
      <c r="C4243" s="18"/>
      <c r="D4243" s="19"/>
      <c r="E4243" s="57"/>
      <c r="H4243" s="18"/>
    </row>
    <row r="4244">
      <c r="C4244" s="18"/>
      <c r="D4244" s="19"/>
      <c r="E4244" s="57"/>
      <c r="H4244" s="18"/>
    </row>
    <row r="4245">
      <c r="C4245" s="18"/>
      <c r="D4245" s="19"/>
      <c r="E4245" s="57"/>
      <c r="H4245" s="18"/>
    </row>
    <row r="4246">
      <c r="C4246" s="18"/>
      <c r="D4246" s="19"/>
      <c r="E4246" s="57"/>
      <c r="H4246" s="18"/>
    </row>
    <row r="4247">
      <c r="C4247" s="18"/>
      <c r="D4247" s="19"/>
      <c r="E4247" s="57"/>
      <c r="H4247" s="18"/>
    </row>
    <row r="4248">
      <c r="C4248" s="18"/>
      <c r="D4248" s="19"/>
      <c r="E4248" s="57"/>
      <c r="H4248" s="18"/>
    </row>
    <row r="4249">
      <c r="C4249" s="18"/>
      <c r="D4249" s="19"/>
      <c r="E4249" s="57"/>
      <c r="H4249" s="18"/>
    </row>
    <row r="4250">
      <c r="C4250" s="18"/>
      <c r="D4250" s="19"/>
      <c r="E4250" s="57"/>
      <c r="H4250" s="18"/>
    </row>
    <row r="4251">
      <c r="C4251" s="18"/>
      <c r="D4251" s="19"/>
      <c r="E4251" s="57"/>
      <c r="H4251" s="18"/>
    </row>
    <row r="4252">
      <c r="C4252" s="18"/>
      <c r="D4252" s="19"/>
      <c r="E4252" s="57"/>
      <c r="H4252" s="18"/>
    </row>
    <row r="4253">
      <c r="C4253" s="18"/>
      <c r="D4253" s="19"/>
      <c r="E4253" s="57"/>
      <c r="H4253" s="18"/>
    </row>
    <row r="4254">
      <c r="C4254" s="18"/>
      <c r="D4254" s="19"/>
      <c r="E4254" s="57"/>
      <c r="H4254" s="18"/>
    </row>
    <row r="4255">
      <c r="C4255" s="18"/>
      <c r="D4255" s="19"/>
      <c r="E4255" s="57"/>
      <c r="H4255" s="18"/>
    </row>
    <row r="4256">
      <c r="C4256" s="18"/>
      <c r="D4256" s="19"/>
      <c r="E4256" s="57"/>
      <c r="H4256" s="18"/>
    </row>
    <row r="4257">
      <c r="C4257" s="18"/>
      <c r="D4257" s="19"/>
      <c r="E4257" s="57"/>
      <c r="H4257" s="18"/>
    </row>
    <row r="4258">
      <c r="C4258" s="18"/>
      <c r="D4258" s="19"/>
      <c r="E4258" s="57"/>
      <c r="H4258" s="18"/>
    </row>
    <row r="4259">
      <c r="C4259" s="18"/>
      <c r="D4259" s="19"/>
      <c r="E4259" s="57"/>
      <c r="H4259" s="18"/>
    </row>
    <row r="4260">
      <c r="C4260" s="18"/>
      <c r="D4260" s="19"/>
      <c r="E4260" s="57"/>
      <c r="H4260" s="18"/>
    </row>
    <row r="4261">
      <c r="C4261" s="18"/>
      <c r="D4261" s="19"/>
      <c r="E4261" s="57"/>
      <c r="H4261" s="18"/>
    </row>
    <row r="4262">
      <c r="C4262" s="18"/>
      <c r="D4262" s="19"/>
      <c r="E4262" s="57"/>
      <c r="H4262" s="18"/>
    </row>
    <row r="4263">
      <c r="C4263" s="18"/>
      <c r="D4263" s="19"/>
      <c r="E4263" s="57"/>
      <c r="H4263" s="18"/>
    </row>
    <row r="4264">
      <c r="C4264" s="18"/>
      <c r="D4264" s="19"/>
      <c r="E4264" s="57"/>
      <c r="H4264" s="18"/>
    </row>
    <row r="4265">
      <c r="C4265" s="18"/>
      <c r="D4265" s="19"/>
      <c r="E4265" s="57"/>
      <c r="H4265" s="18"/>
    </row>
    <row r="4266">
      <c r="C4266" s="18"/>
      <c r="D4266" s="19"/>
      <c r="E4266" s="57"/>
      <c r="H4266" s="18"/>
    </row>
    <row r="4267">
      <c r="C4267" s="18"/>
      <c r="D4267" s="19"/>
      <c r="E4267" s="57"/>
      <c r="H4267" s="18"/>
    </row>
    <row r="4268">
      <c r="C4268" s="18"/>
      <c r="D4268" s="19"/>
      <c r="E4268" s="57"/>
      <c r="H4268" s="18"/>
    </row>
    <row r="4269">
      <c r="C4269" s="18"/>
      <c r="D4269" s="19"/>
      <c r="E4269" s="57"/>
      <c r="H4269" s="18"/>
    </row>
    <row r="4270">
      <c r="C4270" s="18"/>
      <c r="D4270" s="19"/>
      <c r="E4270" s="57"/>
      <c r="H4270" s="18"/>
    </row>
    <row r="4271">
      <c r="C4271" s="18"/>
      <c r="D4271" s="19"/>
      <c r="E4271" s="57"/>
      <c r="H4271" s="18"/>
    </row>
    <row r="4272">
      <c r="C4272" s="18"/>
      <c r="D4272" s="19"/>
      <c r="E4272" s="57"/>
      <c r="H4272" s="18"/>
    </row>
    <row r="4273">
      <c r="C4273" s="18"/>
      <c r="D4273" s="19"/>
      <c r="E4273" s="57"/>
      <c r="H4273" s="18"/>
    </row>
    <row r="4274">
      <c r="C4274" s="18"/>
      <c r="D4274" s="19"/>
      <c r="E4274" s="57"/>
      <c r="H4274" s="18"/>
    </row>
    <row r="4275">
      <c r="C4275" s="18"/>
      <c r="D4275" s="19"/>
      <c r="E4275" s="57"/>
      <c r="H4275" s="18"/>
    </row>
    <row r="4276">
      <c r="C4276" s="18"/>
      <c r="D4276" s="19"/>
      <c r="E4276" s="57"/>
      <c r="H4276" s="18"/>
    </row>
    <row r="4277">
      <c r="C4277" s="18"/>
      <c r="D4277" s="19"/>
      <c r="E4277" s="57"/>
      <c r="H4277" s="18"/>
    </row>
    <row r="4278">
      <c r="C4278" s="18"/>
      <c r="D4278" s="19"/>
      <c r="E4278" s="57"/>
      <c r="H4278" s="18"/>
    </row>
    <row r="4279">
      <c r="C4279" s="18"/>
      <c r="D4279" s="19"/>
      <c r="E4279" s="57"/>
      <c r="H4279" s="18"/>
    </row>
    <row r="4280">
      <c r="C4280" s="18"/>
      <c r="D4280" s="19"/>
      <c r="E4280" s="57"/>
      <c r="H4280" s="18"/>
    </row>
    <row r="4281">
      <c r="C4281" s="18"/>
      <c r="D4281" s="19"/>
      <c r="E4281" s="57"/>
      <c r="H4281" s="18"/>
    </row>
    <row r="4282">
      <c r="C4282" s="18"/>
      <c r="D4282" s="19"/>
      <c r="E4282" s="57"/>
      <c r="H4282" s="18"/>
    </row>
    <row r="4283">
      <c r="C4283" s="18"/>
      <c r="D4283" s="19"/>
      <c r="E4283" s="57"/>
      <c r="H4283" s="18"/>
    </row>
    <row r="4284">
      <c r="C4284" s="18"/>
      <c r="D4284" s="19"/>
      <c r="E4284" s="57"/>
      <c r="H4284" s="18"/>
    </row>
    <row r="4285">
      <c r="C4285" s="18"/>
      <c r="D4285" s="19"/>
      <c r="E4285" s="57"/>
      <c r="H4285" s="18"/>
    </row>
    <row r="4286">
      <c r="C4286" s="18"/>
      <c r="D4286" s="19"/>
      <c r="E4286" s="57"/>
      <c r="H4286" s="18"/>
    </row>
    <row r="4287">
      <c r="C4287" s="18"/>
      <c r="D4287" s="19"/>
      <c r="E4287" s="57"/>
      <c r="H4287" s="18"/>
    </row>
    <row r="4288">
      <c r="C4288" s="18"/>
      <c r="D4288" s="19"/>
      <c r="E4288" s="57"/>
      <c r="H4288" s="18"/>
    </row>
    <row r="4289">
      <c r="C4289" s="18"/>
      <c r="D4289" s="19"/>
      <c r="E4289" s="57"/>
      <c r="H4289" s="18"/>
    </row>
    <row r="4290">
      <c r="C4290" s="18"/>
      <c r="D4290" s="19"/>
      <c r="E4290" s="57"/>
      <c r="H4290" s="18"/>
    </row>
    <row r="4291">
      <c r="C4291" s="18"/>
      <c r="D4291" s="19"/>
      <c r="E4291" s="57"/>
      <c r="H4291" s="18"/>
    </row>
    <row r="4292">
      <c r="C4292" s="18"/>
      <c r="D4292" s="19"/>
      <c r="E4292" s="57"/>
      <c r="H4292" s="18"/>
    </row>
    <row r="4293">
      <c r="C4293" s="18"/>
      <c r="D4293" s="19"/>
      <c r="E4293" s="57"/>
      <c r="H4293" s="18"/>
    </row>
    <row r="4294">
      <c r="C4294" s="18"/>
      <c r="D4294" s="19"/>
      <c r="E4294" s="57"/>
      <c r="H4294" s="18"/>
    </row>
    <row r="4295">
      <c r="C4295" s="18"/>
      <c r="D4295" s="19"/>
      <c r="E4295" s="57"/>
      <c r="H4295" s="18"/>
    </row>
    <row r="4296">
      <c r="C4296" s="18"/>
      <c r="D4296" s="19"/>
      <c r="E4296" s="57"/>
      <c r="H4296" s="18"/>
    </row>
    <row r="4297">
      <c r="C4297" s="18"/>
      <c r="D4297" s="19"/>
      <c r="E4297" s="57"/>
      <c r="H4297" s="18"/>
    </row>
    <row r="4298">
      <c r="C4298" s="18"/>
      <c r="D4298" s="19"/>
      <c r="E4298" s="57"/>
      <c r="H4298" s="18"/>
    </row>
    <row r="4299">
      <c r="C4299" s="18"/>
      <c r="D4299" s="19"/>
      <c r="E4299" s="57"/>
      <c r="H4299" s="18"/>
    </row>
    <row r="4300">
      <c r="C4300" s="18"/>
      <c r="D4300" s="19"/>
      <c r="E4300" s="57"/>
      <c r="H4300" s="18"/>
    </row>
    <row r="4301">
      <c r="C4301" s="18"/>
      <c r="D4301" s="19"/>
      <c r="E4301" s="57"/>
      <c r="H4301" s="18"/>
    </row>
    <row r="4302">
      <c r="C4302" s="18"/>
      <c r="D4302" s="19"/>
      <c r="E4302" s="57"/>
      <c r="H4302" s="18"/>
    </row>
    <row r="4303">
      <c r="C4303" s="18"/>
      <c r="D4303" s="19"/>
      <c r="E4303" s="57"/>
      <c r="H4303" s="18"/>
    </row>
    <row r="4304">
      <c r="C4304" s="18"/>
      <c r="D4304" s="19"/>
      <c r="E4304" s="57"/>
      <c r="H4304" s="18"/>
    </row>
    <row r="4305">
      <c r="C4305" s="18"/>
      <c r="D4305" s="19"/>
      <c r="E4305" s="57"/>
      <c r="H4305" s="18"/>
    </row>
    <row r="4306">
      <c r="C4306" s="18"/>
      <c r="D4306" s="19"/>
      <c r="E4306" s="57"/>
      <c r="H4306" s="18"/>
    </row>
    <row r="4307">
      <c r="C4307" s="18"/>
      <c r="D4307" s="19"/>
      <c r="E4307" s="57"/>
      <c r="H4307" s="18"/>
    </row>
    <row r="4308">
      <c r="C4308" s="18"/>
      <c r="D4308" s="19"/>
      <c r="E4308" s="57"/>
      <c r="H4308" s="18"/>
    </row>
    <row r="4309">
      <c r="C4309" s="18"/>
      <c r="D4309" s="19"/>
      <c r="E4309" s="57"/>
      <c r="H4309" s="18"/>
    </row>
    <row r="4310">
      <c r="C4310" s="18"/>
      <c r="D4310" s="19"/>
      <c r="E4310" s="57"/>
      <c r="H4310" s="18"/>
    </row>
    <row r="4311">
      <c r="C4311" s="18"/>
      <c r="D4311" s="19"/>
      <c r="E4311" s="57"/>
      <c r="H4311" s="18"/>
    </row>
    <row r="4312">
      <c r="C4312" s="18"/>
      <c r="D4312" s="19"/>
      <c r="E4312" s="57"/>
      <c r="H4312" s="18"/>
    </row>
    <row r="4313">
      <c r="C4313" s="18"/>
      <c r="D4313" s="19"/>
      <c r="E4313" s="57"/>
      <c r="H4313" s="18"/>
    </row>
    <row r="4314">
      <c r="C4314" s="18"/>
      <c r="D4314" s="19"/>
      <c r="E4314" s="57"/>
      <c r="H4314" s="18"/>
    </row>
    <row r="4315">
      <c r="C4315" s="18"/>
      <c r="D4315" s="19"/>
      <c r="E4315" s="57"/>
      <c r="H4315" s="18"/>
    </row>
    <row r="4316">
      <c r="C4316" s="18"/>
      <c r="D4316" s="19"/>
      <c r="E4316" s="57"/>
      <c r="H4316" s="18"/>
    </row>
    <row r="4317">
      <c r="C4317" s="18"/>
      <c r="D4317" s="19"/>
      <c r="E4317" s="57"/>
      <c r="H4317" s="18"/>
    </row>
    <row r="4318">
      <c r="C4318" s="18"/>
      <c r="D4318" s="19"/>
      <c r="E4318" s="57"/>
      <c r="H4318" s="18"/>
    </row>
    <row r="4319">
      <c r="C4319" s="18"/>
      <c r="D4319" s="19"/>
      <c r="E4319" s="57"/>
      <c r="H4319" s="18"/>
    </row>
    <row r="4320">
      <c r="C4320" s="18"/>
      <c r="D4320" s="19"/>
      <c r="E4320" s="57"/>
      <c r="H4320" s="18"/>
    </row>
    <row r="4321">
      <c r="C4321" s="18"/>
      <c r="D4321" s="19"/>
      <c r="E4321" s="57"/>
      <c r="H4321" s="18"/>
    </row>
    <row r="4322">
      <c r="C4322" s="18"/>
      <c r="D4322" s="19"/>
      <c r="E4322" s="57"/>
      <c r="H4322" s="18"/>
    </row>
    <row r="4323">
      <c r="C4323" s="18"/>
      <c r="D4323" s="19"/>
      <c r="E4323" s="57"/>
      <c r="H4323" s="18"/>
    </row>
    <row r="4324">
      <c r="C4324" s="18"/>
      <c r="D4324" s="19"/>
      <c r="E4324" s="57"/>
      <c r="H4324" s="18"/>
    </row>
    <row r="4325">
      <c r="C4325" s="18"/>
      <c r="D4325" s="19"/>
      <c r="E4325" s="57"/>
      <c r="H4325" s="18"/>
    </row>
    <row r="4326">
      <c r="C4326" s="18"/>
      <c r="D4326" s="19"/>
      <c r="E4326" s="57"/>
      <c r="H4326" s="18"/>
    </row>
    <row r="4327">
      <c r="C4327" s="18"/>
      <c r="D4327" s="19"/>
      <c r="E4327" s="57"/>
      <c r="H4327" s="18"/>
    </row>
    <row r="4328">
      <c r="C4328" s="18"/>
      <c r="D4328" s="19"/>
      <c r="E4328" s="57"/>
      <c r="H4328" s="18"/>
    </row>
    <row r="4329">
      <c r="C4329" s="18"/>
      <c r="D4329" s="19"/>
      <c r="E4329" s="57"/>
      <c r="H4329" s="18"/>
    </row>
    <row r="4330">
      <c r="C4330" s="18"/>
      <c r="D4330" s="19"/>
      <c r="E4330" s="57"/>
      <c r="H4330" s="18"/>
    </row>
    <row r="4331">
      <c r="C4331" s="18"/>
      <c r="D4331" s="19"/>
      <c r="E4331" s="57"/>
      <c r="H4331" s="18"/>
    </row>
    <row r="4332">
      <c r="C4332" s="18"/>
      <c r="D4332" s="19"/>
      <c r="E4332" s="57"/>
      <c r="H4332" s="18"/>
    </row>
    <row r="4333">
      <c r="C4333" s="18"/>
      <c r="D4333" s="19"/>
      <c r="E4333" s="57"/>
      <c r="H4333" s="18"/>
    </row>
    <row r="4334">
      <c r="C4334" s="18"/>
      <c r="D4334" s="19"/>
      <c r="E4334" s="57"/>
      <c r="H4334" s="18"/>
    </row>
    <row r="4335">
      <c r="C4335" s="18"/>
      <c r="D4335" s="19"/>
      <c r="E4335" s="57"/>
      <c r="H4335" s="18"/>
    </row>
    <row r="4336">
      <c r="C4336" s="18"/>
      <c r="D4336" s="19"/>
      <c r="E4336" s="57"/>
      <c r="H4336" s="18"/>
    </row>
    <row r="4337">
      <c r="C4337" s="18"/>
      <c r="D4337" s="19"/>
      <c r="E4337" s="57"/>
      <c r="H4337" s="18"/>
    </row>
    <row r="4338">
      <c r="C4338" s="18"/>
      <c r="D4338" s="19"/>
      <c r="E4338" s="57"/>
      <c r="H4338" s="18"/>
    </row>
    <row r="4339">
      <c r="C4339" s="18"/>
      <c r="D4339" s="19"/>
      <c r="E4339" s="57"/>
      <c r="H4339" s="18"/>
    </row>
    <row r="4340">
      <c r="C4340" s="18"/>
      <c r="D4340" s="19"/>
      <c r="E4340" s="57"/>
      <c r="H4340" s="18"/>
    </row>
    <row r="4341">
      <c r="C4341" s="18"/>
      <c r="D4341" s="19"/>
      <c r="E4341" s="57"/>
      <c r="H4341" s="18"/>
    </row>
    <row r="4342">
      <c r="C4342" s="18"/>
      <c r="D4342" s="19"/>
      <c r="E4342" s="57"/>
      <c r="H4342" s="18"/>
    </row>
    <row r="4343">
      <c r="C4343" s="18"/>
      <c r="D4343" s="19"/>
      <c r="E4343" s="57"/>
      <c r="H4343" s="18"/>
    </row>
    <row r="4344">
      <c r="C4344" s="18"/>
      <c r="D4344" s="19"/>
      <c r="E4344" s="57"/>
      <c r="H4344" s="18"/>
    </row>
    <row r="4345">
      <c r="C4345" s="18"/>
      <c r="D4345" s="19"/>
      <c r="E4345" s="57"/>
      <c r="H4345" s="18"/>
    </row>
    <row r="4346">
      <c r="C4346" s="18"/>
      <c r="D4346" s="19"/>
      <c r="E4346" s="57"/>
      <c r="H4346" s="18"/>
    </row>
    <row r="4347">
      <c r="C4347" s="18"/>
      <c r="D4347" s="19"/>
      <c r="E4347" s="57"/>
      <c r="H4347" s="18"/>
    </row>
    <row r="4348">
      <c r="C4348" s="18"/>
      <c r="D4348" s="19"/>
      <c r="E4348" s="57"/>
      <c r="H4348" s="18"/>
    </row>
    <row r="4349">
      <c r="C4349" s="18"/>
      <c r="D4349" s="19"/>
      <c r="E4349" s="57"/>
      <c r="H4349" s="18"/>
    </row>
    <row r="4350">
      <c r="C4350" s="18"/>
      <c r="D4350" s="19"/>
      <c r="E4350" s="57"/>
      <c r="H4350" s="18"/>
    </row>
    <row r="4351">
      <c r="C4351" s="18"/>
      <c r="D4351" s="19"/>
      <c r="E4351" s="57"/>
      <c r="H4351" s="18"/>
    </row>
    <row r="4352">
      <c r="C4352" s="18"/>
      <c r="D4352" s="19"/>
      <c r="E4352" s="57"/>
      <c r="H4352" s="18"/>
    </row>
    <row r="4353">
      <c r="C4353" s="18"/>
      <c r="D4353" s="19"/>
      <c r="E4353" s="57"/>
      <c r="H4353" s="18"/>
    </row>
    <row r="4354">
      <c r="C4354" s="18"/>
      <c r="D4354" s="19"/>
      <c r="E4354" s="57"/>
      <c r="H4354" s="18"/>
    </row>
    <row r="4355">
      <c r="C4355" s="18"/>
      <c r="D4355" s="19"/>
      <c r="E4355" s="57"/>
      <c r="H4355" s="18"/>
    </row>
    <row r="4356">
      <c r="C4356" s="18"/>
      <c r="D4356" s="19"/>
      <c r="E4356" s="57"/>
      <c r="H4356" s="18"/>
    </row>
    <row r="4357">
      <c r="C4357" s="18"/>
      <c r="D4357" s="19"/>
      <c r="E4357" s="57"/>
      <c r="H4357" s="18"/>
    </row>
    <row r="4358">
      <c r="C4358" s="18"/>
      <c r="D4358" s="19"/>
      <c r="E4358" s="57"/>
      <c r="H4358" s="18"/>
    </row>
    <row r="4359">
      <c r="C4359" s="18"/>
      <c r="D4359" s="19"/>
      <c r="E4359" s="57"/>
      <c r="H4359" s="18"/>
    </row>
    <row r="4360">
      <c r="C4360" s="18"/>
      <c r="D4360" s="19"/>
      <c r="E4360" s="57"/>
      <c r="H4360" s="18"/>
    </row>
    <row r="4361">
      <c r="C4361" s="18"/>
      <c r="D4361" s="19"/>
      <c r="E4361" s="57"/>
      <c r="H4361" s="18"/>
    </row>
    <row r="4362">
      <c r="C4362" s="18"/>
      <c r="D4362" s="19"/>
      <c r="E4362" s="57"/>
      <c r="H4362" s="18"/>
    </row>
    <row r="4363">
      <c r="C4363" s="18"/>
      <c r="D4363" s="19"/>
      <c r="E4363" s="57"/>
      <c r="H4363" s="18"/>
    </row>
    <row r="4364">
      <c r="C4364" s="18"/>
      <c r="D4364" s="19"/>
      <c r="E4364" s="57"/>
      <c r="H4364" s="18"/>
    </row>
    <row r="4365">
      <c r="C4365" s="18"/>
      <c r="D4365" s="19"/>
      <c r="E4365" s="57"/>
      <c r="H4365" s="18"/>
    </row>
    <row r="4366">
      <c r="C4366" s="18"/>
      <c r="D4366" s="19"/>
      <c r="E4366" s="57"/>
      <c r="H4366" s="18"/>
    </row>
    <row r="4367">
      <c r="C4367" s="18"/>
      <c r="D4367" s="19"/>
      <c r="E4367" s="57"/>
      <c r="H4367" s="18"/>
    </row>
    <row r="4368">
      <c r="C4368" s="18"/>
      <c r="D4368" s="19"/>
      <c r="E4368" s="57"/>
      <c r="H4368" s="18"/>
    </row>
    <row r="4369">
      <c r="C4369" s="18"/>
      <c r="D4369" s="19"/>
      <c r="E4369" s="57"/>
      <c r="H4369" s="18"/>
    </row>
    <row r="4370">
      <c r="C4370" s="18"/>
      <c r="D4370" s="19"/>
      <c r="E4370" s="57"/>
      <c r="H4370" s="18"/>
    </row>
    <row r="4371">
      <c r="C4371" s="18"/>
      <c r="D4371" s="19"/>
      <c r="E4371" s="57"/>
      <c r="H4371" s="18"/>
    </row>
    <row r="4372">
      <c r="C4372" s="18"/>
      <c r="D4372" s="19"/>
      <c r="E4372" s="57"/>
      <c r="H4372" s="18"/>
    </row>
    <row r="4373">
      <c r="C4373" s="18"/>
      <c r="D4373" s="19"/>
      <c r="E4373" s="57"/>
      <c r="H4373" s="18"/>
    </row>
    <row r="4374">
      <c r="C4374" s="18"/>
      <c r="D4374" s="19"/>
      <c r="E4374" s="57"/>
      <c r="H4374" s="18"/>
    </row>
    <row r="4375">
      <c r="C4375" s="18"/>
      <c r="D4375" s="19"/>
      <c r="E4375" s="57"/>
      <c r="H4375" s="18"/>
    </row>
    <row r="4376">
      <c r="C4376" s="18"/>
      <c r="D4376" s="19"/>
      <c r="E4376" s="57"/>
      <c r="H4376" s="18"/>
    </row>
    <row r="4377">
      <c r="C4377" s="18"/>
      <c r="D4377" s="19"/>
      <c r="E4377" s="57"/>
      <c r="H4377" s="18"/>
    </row>
    <row r="4378">
      <c r="C4378" s="18"/>
      <c r="D4378" s="19"/>
      <c r="E4378" s="57"/>
      <c r="H4378" s="18"/>
    </row>
    <row r="4379">
      <c r="C4379" s="18"/>
      <c r="D4379" s="19"/>
      <c r="E4379" s="57"/>
      <c r="H4379" s="18"/>
    </row>
    <row r="4380">
      <c r="C4380" s="18"/>
      <c r="D4380" s="19"/>
      <c r="E4380" s="57"/>
      <c r="H4380" s="18"/>
    </row>
    <row r="4381">
      <c r="C4381" s="18"/>
      <c r="D4381" s="19"/>
      <c r="E4381" s="57"/>
      <c r="H4381" s="18"/>
    </row>
    <row r="4382">
      <c r="C4382" s="18"/>
      <c r="D4382" s="19"/>
      <c r="E4382" s="57"/>
      <c r="H4382" s="18"/>
    </row>
    <row r="4383">
      <c r="C4383" s="18"/>
      <c r="D4383" s="19"/>
      <c r="E4383" s="57"/>
      <c r="H4383" s="18"/>
    </row>
    <row r="4384">
      <c r="C4384" s="18"/>
      <c r="D4384" s="19"/>
      <c r="E4384" s="57"/>
      <c r="H4384" s="18"/>
    </row>
    <row r="4385">
      <c r="C4385" s="18"/>
      <c r="D4385" s="19"/>
      <c r="E4385" s="57"/>
      <c r="H4385" s="18"/>
    </row>
    <row r="4386">
      <c r="C4386" s="18"/>
      <c r="D4386" s="19"/>
      <c r="E4386" s="57"/>
      <c r="H4386" s="18"/>
    </row>
    <row r="4387">
      <c r="C4387" s="18"/>
      <c r="D4387" s="19"/>
      <c r="E4387" s="57"/>
      <c r="H4387" s="18"/>
    </row>
    <row r="4388">
      <c r="C4388" s="18"/>
      <c r="D4388" s="19"/>
      <c r="E4388" s="57"/>
      <c r="H4388" s="18"/>
    </row>
    <row r="4389">
      <c r="C4389" s="18"/>
      <c r="D4389" s="19"/>
      <c r="E4389" s="57"/>
      <c r="H4389" s="18"/>
    </row>
    <row r="4390">
      <c r="C4390" s="18"/>
      <c r="D4390" s="19"/>
      <c r="E4390" s="57"/>
      <c r="H4390" s="18"/>
    </row>
    <row r="4391">
      <c r="C4391" s="18"/>
      <c r="D4391" s="19"/>
      <c r="E4391" s="57"/>
      <c r="H4391" s="18"/>
    </row>
    <row r="4392">
      <c r="C4392" s="18"/>
      <c r="D4392" s="19"/>
      <c r="E4392" s="57"/>
      <c r="H4392" s="18"/>
    </row>
    <row r="4393">
      <c r="C4393" s="18"/>
      <c r="D4393" s="19"/>
      <c r="E4393" s="57"/>
      <c r="H4393" s="18"/>
    </row>
    <row r="4394">
      <c r="C4394" s="18"/>
      <c r="D4394" s="19"/>
      <c r="E4394" s="57"/>
      <c r="H4394" s="18"/>
    </row>
    <row r="4395">
      <c r="C4395" s="18"/>
      <c r="D4395" s="19"/>
      <c r="E4395" s="57"/>
      <c r="H4395" s="18"/>
    </row>
    <row r="4396">
      <c r="C4396" s="18"/>
      <c r="D4396" s="19"/>
      <c r="E4396" s="57"/>
      <c r="H4396" s="18"/>
    </row>
    <row r="4397">
      <c r="C4397" s="18"/>
      <c r="D4397" s="19"/>
      <c r="E4397" s="57"/>
      <c r="H4397" s="18"/>
    </row>
    <row r="4398">
      <c r="C4398" s="18"/>
      <c r="D4398" s="19"/>
      <c r="E4398" s="57"/>
      <c r="H4398" s="18"/>
    </row>
    <row r="4399">
      <c r="C4399" s="18"/>
      <c r="D4399" s="19"/>
      <c r="E4399" s="57"/>
      <c r="H4399" s="18"/>
    </row>
    <row r="4400">
      <c r="C4400" s="18"/>
      <c r="D4400" s="19"/>
      <c r="E4400" s="57"/>
      <c r="H4400" s="18"/>
    </row>
    <row r="4401">
      <c r="C4401" s="18"/>
      <c r="D4401" s="19"/>
      <c r="E4401" s="57"/>
      <c r="H4401" s="18"/>
    </row>
    <row r="4402">
      <c r="C4402" s="18"/>
      <c r="D4402" s="19"/>
      <c r="E4402" s="57"/>
      <c r="H4402" s="18"/>
    </row>
    <row r="4403">
      <c r="C4403" s="18"/>
      <c r="D4403" s="19"/>
      <c r="E4403" s="57"/>
      <c r="H4403" s="18"/>
    </row>
    <row r="4404">
      <c r="C4404" s="18"/>
      <c r="D4404" s="19"/>
      <c r="E4404" s="57"/>
      <c r="H4404" s="18"/>
    </row>
    <row r="4405">
      <c r="C4405" s="18"/>
      <c r="D4405" s="19"/>
      <c r="E4405" s="57"/>
      <c r="H4405" s="18"/>
    </row>
    <row r="4406">
      <c r="C4406" s="18"/>
      <c r="D4406" s="19"/>
      <c r="E4406" s="57"/>
      <c r="H4406" s="18"/>
    </row>
    <row r="4407">
      <c r="C4407" s="18"/>
      <c r="D4407" s="19"/>
      <c r="E4407" s="57"/>
      <c r="H4407" s="18"/>
    </row>
    <row r="4408">
      <c r="C4408" s="18"/>
      <c r="D4408" s="19"/>
      <c r="E4408" s="57"/>
      <c r="H4408" s="18"/>
    </row>
    <row r="4409">
      <c r="C4409" s="18"/>
      <c r="D4409" s="19"/>
      <c r="E4409" s="57"/>
      <c r="H4409" s="18"/>
    </row>
    <row r="4410">
      <c r="C4410" s="18"/>
      <c r="D4410" s="19"/>
      <c r="E4410" s="57"/>
      <c r="H4410" s="18"/>
    </row>
    <row r="4411">
      <c r="C4411" s="18"/>
      <c r="D4411" s="19"/>
      <c r="E4411" s="57"/>
      <c r="H4411" s="18"/>
    </row>
    <row r="4412">
      <c r="C4412" s="18"/>
      <c r="D4412" s="19"/>
      <c r="E4412" s="57"/>
      <c r="H4412" s="18"/>
    </row>
    <row r="4413">
      <c r="C4413" s="18"/>
      <c r="D4413" s="19"/>
      <c r="E4413" s="57"/>
      <c r="H4413" s="18"/>
    </row>
    <row r="4414">
      <c r="C4414" s="18"/>
      <c r="D4414" s="19"/>
      <c r="E4414" s="57"/>
      <c r="H4414" s="18"/>
    </row>
    <row r="4415">
      <c r="C4415" s="18"/>
      <c r="D4415" s="19"/>
      <c r="E4415" s="57"/>
      <c r="H4415" s="18"/>
    </row>
    <row r="4416">
      <c r="C4416" s="18"/>
      <c r="D4416" s="19"/>
      <c r="E4416" s="57"/>
      <c r="H4416" s="18"/>
    </row>
    <row r="4417">
      <c r="C4417" s="18"/>
      <c r="D4417" s="19"/>
      <c r="E4417" s="57"/>
      <c r="H4417" s="18"/>
    </row>
    <row r="4418">
      <c r="C4418" s="18"/>
      <c r="D4418" s="19"/>
      <c r="E4418" s="57"/>
      <c r="H4418" s="18"/>
    </row>
    <row r="4419">
      <c r="C4419" s="18"/>
      <c r="D4419" s="19"/>
      <c r="E4419" s="57"/>
      <c r="H4419" s="18"/>
    </row>
    <row r="4420">
      <c r="C4420" s="18"/>
      <c r="D4420" s="19"/>
      <c r="E4420" s="57"/>
      <c r="H4420" s="18"/>
    </row>
    <row r="4421">
      <c r="C4421" s="18"/>
      <c r="D4421" s="19"/>
      <c r="E4421" s="57"/>
      <c r="H4421" s="18"/>
    </row>
    <row r="4422">
      <c r="C4422" s="18"/>
      <c r="D4422" s="19"/>
      <c r="E4422" s="57"/>
      <c r="H4422" s="18"/>
    </row>
    <row r="4423">
      <c r="C4423" s="18"/>
      <c r="D4423" s="19"/>
      <c r="E4423" s="57"/>
      <c r="H4423" s="18"/>
    </row>
    <row r="4424">
      <c r="C4424" s="18"/>
      <c r="D4424" s="19"/>
      <c r="E4424" s="57"/>
      <c r="H4424" s="18"/>
    </row>
    <row r="4425">
      <c r="C4425" s="18"/>
      <c r="D4425" s="19"/>
      <c r="E4425" s="57"/>
      <c r="H4425" s="18"/>
    </row>
    <row r="4426">
      <c r="C4426" s="18"/>
      <c r="D4426" s="19"/>
      <c r="E4426" s="57"/>
      <c r="H4426" s="18"/>
    </row>
    <row r="4427">
      <c r="C4427" s="18"/>
      <c r="D4427" s="19"/>
      <c r="E4427" s="57"/>
      <c r="H4427" s="18"/>
    </row>
    <row r="4428">
      <c r="C4428" s="18"/>
      <c r="D4428" s="19"/>
      <c r="E4428" s="57"/>
      <c r="H4428" s="18"/>
    </row>
    <row r="4429">
      <c r="C4429" s="18"/>
      <c r="D4429" s="19"/>
      <c r="E4429" s="57"/>
      <c r="H4429" s="18"/>
    </row>
    <row r="4430">
      <c r="C4430" s="18"/>
      <c r="D4430" s="19"/>
      <c r="E4430" s="57"/>
      <c r="H4430" s="18"/>
    </row>
    <row r="4431">
      <c r="C4431" s="18"/>
      <c r="D4431" s="19"/>
      <c r="E4431" s="57"/>
      <c r="H4431" s="18"/>
    </row>
    <row r="4432">
      <c r="C4432" s="18"/>
      <c r="D4432" s="19"/>
      <c r="E4432" s="57"/>
      <c r="H4432" s="18"/>
    </row>
    <row r="4433">
      <c r="C4433" s="18"/>
      <c r="D4433" s="19"/>
      <c r="E4433" s="57"/>
      <c r="H4433" s="18"/>
    </row>
    <row r="4434">
      <c r="C4434" s="18"/>
      <c r="D4434" s="19"/>
      <c r="E4434" s="57"/>
      <c r="H4434" s="18"/>
    </row>
    <row r="4435">
      <c r="C4435" s="18"/>
      <c r="D4435" s="19"/>
      <c r="E4435" s="57"/>
      <c r="H4435" s="18"/>
    </row>
    <row r="4436">
      <c r="C4436" s="18"/>
      <c r="D4436" s="19"/>
      <c r="E4436" s="57"/>
      <c r="H4436" s="18"/>
    </row>
    <row r="4437">
      <c r="C4437" s="18"/>
      <c r="D4437" s="19"/>
      <c r="E4437" s="57"/>
      <c r="H4437" s="18"/>
    </row>
    <row r="4438">
      <c r="C4438" s="18"/>
      <c r="D4438" s="19"/>
      <c r="E4438" s="57"/>
      <c r="H4438" s="18"/>
    </row>
    <row r="4439">
      <c r="C4439" s="18"/>
      <c r="D4439" s="19"/>
      <c r="E4439" s="57"/>
      <c r="H4439" s="18"/>
    </row>
    <row r="4440">
      <c r="C4440" s="18"/>
      <c r="D4440" s="19"/>
      <c r="E4440" s="57"/>
      <c r="H4440" s="18"/>
    </row>
    <row r="4441">
      <c r="C4441" s="18"/>
      <c r="D4441" s="19"/>
      <c r="E4441" s="57"/>
      <c r="H4441" s="18"/>
    </row>
    <row r="4442">
      <c r="C4442" s="18"/>
      <c r="D4442" s="19"/>
      <c r="E4442" s="57"/>
      <c r="H4442" s="18"/>
    </row>
    <row r="4443">
      <c r="C4443" s="18"/>
      <c r="D4443" s="19"/>
      <c r="E4443" s="57"/>
      <c r="H4443" s="18"/>
    </row>
    <row r="4444">
      <c r="C4444" s="18"/>
      <c r="D4444" s="19"/>
      <c r="E4444" s="57"/>
      <c r="H4444" s="18"/>
    </row>
    <row r="4445">
      <c r="C4445" s="18"/>
      <c r="D4445" s="19"/>
      <c r="E4445" s="57"/>
      <c r="H4445" s="18"/>
    </row>
    <row r="4446">
      <c r="C4446" s="18"/>
      <c r="D4446" s="19"/>
      <c r="E4446" s="57"/>
      <c r="H4446" s="18"/>
    </row>
    <row r="4447">
      <c r="C4447" s="18"/>
      <c r="D4447" s="19"/>
      <c r="E4447" s="57"/>
      <c r="H4447" s="18"/>
    </row>
    <row r="4448">
      <c r="C4448" s="18"/>
      <c r="D4448" s="19"/>
      <c r="E4448" s="57"/>
      <c r="H4448" s="18"/>
    </row>
    <row r="4449">
      <c r="C4449" s="18"/>
      <c r="D4449" s="19"/>
      <c r="E4449" s="57"/>
      <c r="H4449" s="18"/>
    </row>
    <row r="4450">
      <c r="C4450" s="18"/>
      <c r="D4450" s="19"/>
      <c r="E4450" s="57"/>
      <c r="H4450" s="18"/>
    </row>
    <row r="4451">
      <c r="C4451" s="18"/>
      <c r="D4451" s="19"/>
      <c r="E4451" s="57"/>
      <c r="H4451" s="18"/>
    </row>
    <row r="4452">
      <c r="C4452" s="18"/>
      <c r="D4452" s="19"/>
      <c r="E4452" s="57"/>
      <c r="H4452" s="18"/>
    </row>
    <row r="4453">
      <c r="C4453" s="18"/>
      <c r="D4453" s="19"/>
      <c r="E4453" s="57"/>
      <c r="H4453" s="18"/>
    </row>
    <row r="4454">
      <c r="C4454" s="18"/>
      <c r="D4454" s="19"/>
      <c r="E4454" s="57"/>
      <c r="H4454" s="18"/>
    </row>
    <row r="4455">
      <c r="C4455" s="18"/>
      <c r="D4455" s="19"/>
      <c r="E4455" s="57"/>
      <c r="H4455" s="18"/>
    </row>
    <row r="4456">
      <c r="C4456" s="18"/>
      <c r="D4456" s="19"/>
      <c r="E4456" s="57"/>
      <c r="H4456" s="18"/>
    </row>
    <row r="4457">
      <c r="C4457" s="18"/>
      <c r="D4457" s="19"/>
      <c r="E4457" s="57"/>
      <c r="H4457" s="18"/>
    </row>
    <row r="4458">
      <c r="C4458" s="18"/>
      <c r="D4458" s="19"/>
      <c r="E4458" s="57"/>
      <c r="H4458" s="18"/>
    </row>
    <row r="4459">
      <c r="C4459" s="18"/>
      <c r="D4459" s="19"/>
      <c r="E4459" s="57"/>
      <c r="H4459" s="18"/>
    </row>
    <row r="4460">
      <c r="C4460" s="18"/>
      <c r="D4460" s="19"/>
      <c r="E4460" s="57"/>
      <c r="H4460" s="18"/>
    </row>
    <row r="4461">
      <c r="C4461" s="18"/>
      <c r="D4461" s="19"/>
      <c r="E4461" s="57"/>
      <c r="H4461" s="18"/>
    </row>
    <row r="4462">
      <c r="C4462" s="18"/>
      <c r="D4462" s="19"/>
      <c r="E4462" s="57"/>
      <c r="H4462" s="18"/>
    </row>
    <row r="4463">
      <c r="C4463" s="18"/>
      <c r="D4463" s="19"/>
      <c r="E4463" s="57"/>
      <c r="H4463" s="18"/>
    </row>
    <row r="4464">
      <c r="C4464" s="18"/>
      <c r="D4464" s="19"/>
      <c r="E4464" s="57"/>
      <c r="H4464" s="18"/>
    </row>
    <row r="4465">
      <c r="C4465" s="18"/>
      <c r="D4465" s="19"/>
      <c r="E4465" s="57"/>
      <c r="H4465" s="18"/>
    </row>
    <row r="4466">
      <c r="C4466" s="18"/>
      <c r="D4466" s="19"/>
      <c r="E4466" s="57"/>
      <c r="H4466" s="18"/>
    </row>
    <row r="4467">
      <c r="C4467" s="18"/>
      <c r="D4467" s="19"/>
      <c r="E4467" s="57"/>
      <c r="H4467" s="18"/>
    </row>
    <row r="4468">
      <c r="C4468" s="18"/>
      <c r="D4468" s="19"/>
      <c r="E4468" s="57"/>
      <c r="H4468" s="18"/>
    </row>
    <row r="4469">
      <c r="C4469" s="18"/>
      <c r="D4469" s="19"/>
      <c r="E4469" s="57"/>
      <c r="H4469" s="18"/>
    </row>
    <row r="4470">
      <c r="C4470" s="18"/>
      <c r="D4470" s="19"/>
      <c r="E4470" s="57"/>
      <c r="H4470" s="18"/>
    </row>
    <row r="4471">
      <c r="C4471" s="18"/>
      <c r="D4471" s="19"/>
      <c r="E4471" s="57"/>
      <c r="H4471" s="18"/>
    </row>
    <row r="4472">
      <c r="C4472" s="18"/>
      <c r="D4472" s="19"/>
      <c r="E4472" s="57"/>
      <c r="H4472" s="18"/>
    </row>
    <row r="4473">
      <c r="C4473" s="18"/>
      <c r="D4473" s="19"/>
      <c r="E4473" s="57"/>
      <c r="H4473" s="18"/>
    </row>
    <row r="4474">
      <c r="C4474" s="18"/>
      <c r="D4474" s="19"/>
      <c r="E4474" s="57"/>
      <c r="H4474" s="18"/>
    </row>
    <row r="4475">
      <c r="C4475" s="18"/>
      <c r="D4475" s="19"/>
      <c r="E4475" s="57"/>
      <c r="H4475" s="18"/>
    </row>
    <row r="4476">
      <c r="C4476" s="18"/>
      <c r="D4476" s="19"/>
      <c r="E4476" s="57"/>
      <c r="H4476" s="18"/>
    </row>
    <row r="4477">
      <c r="C4477" s="18"/>
      <c r="D4477" s="19"/>
      <c r="E4477" s="57"/>
      <c r="H4477" s="18"/>
    </row>
    <row r="4478">
      <c r="C4478" s="18"/>
      <c r="D4478" s="19"/>
      <c r="E4478" s="57"/>
      <c r="H4478" s="18"/>
    </row>
    <row r="4479">
      <c r="C4479" s="18"/>
      <c r="D4479" s="19"/>
      <c r="E4479" s="57"/>
      <c r="H4479" s="18"/>
    </row>
    <row r="4480">
      <c r="C4480" s="18"/>
      <c r="D4480" s="19"/>
      <c r="E4480" s="57"/>
      <c r="H4480" s="18"/>
    </row>
    <row r="4481">
      <c r="C4481" s="18"/>
      <c r="D4481" s="19"/>
      <c r="E4481" s="57"/>
      <c r="H4481" s="18"/>
    </row>
    <row r="4482">
      <c r="C4482" s="18"/>
      <c r="D4482" s="19"/>
      <c r="E4482" s="57"/>
      <c r="H4482" s="18"/>
    </row>
    <row r="4483">
      <c r="C4483" s="18"/>
      <c r="D4483" s="19"/>
      <c r="E4483" s="57"/>
      <c r="H4483" s="18"/>
    </row>
    <row r="4484">
      <c r="C4484" s="18"/>
      <c r="D4484" s="19"/>
      <c r="E4484" s="57"/>
      <c r="H4484" s="18"/>
    </row>
    <row r="4485">
      <c r="C4485" s="18"/>
      <c r="D4485" s="19"/>
      <c r="E4485" s="57"/>
      <c r="H4485" s="18"/>
    </row>
    <row r="4486">
      <c r="C4486" s="18"/>
      <c r="D4486" s="19"/>
      <c r="E4486" s="57"/>
      <c r="H4486" s="18"/>
    </row>
    <row r="4487">
      <c r="C4487" s="18"/>
      <c r="D4487" s="19"/>
      <c r="E4487" s="57"/>
      <c r="H4487" s="18"/>
    </row>
    <row r="4488">
      <c r="C4488" s="18"/>
      <c r="D4488" s="19"/>
      <c r="E4488" s="57"/>
      <c r="H4488" s="18"/>
    </row>
    <row r="4489">
      <c r="C4489" s="18"/>
      <c r="D4489" s="19"/>
      <c r="E4489" s="57"/>
      <c r="H4489" s="18"/>
    </row>
    <row r="4490">
      <c r="C4490" s="18"/>
      <c r="D4490" s="19"/>
      <c r="E4490" s="57"/>
      <c r="H4490" s="18"/>
    </row>
    <row r="4491">
      <c r="C4491" s="18"/>
      <c r="D4491" s="19"/>
      <c r="E4491" s="57"/>
      <c r="H4491" s="18"/>
    </row>
    <row r="4492">
      <c r="C4492" s="18"/>
      <c r="D4492" s="19"/>
      <c r="E4492" s="57"/>
      <c r="H4492" s="18"/>
    </row>
    <row r="4493">
      <c r="C4493" s="18"/>
      <c r="D4493" s="19"/>
      <c r="E4493" s="57"/>
      <c r="H4493" s="18"/>
    </row>
    <row r="4494">
      <c r="C4494" s="18"/>
      <c r="D4494" s="19"/>
      <c r="E4494" s="57"/>
      <c r="H4494" s="18"/>
    </row>
    <row r="4495">
      <c r="C4495" s="18"/>
      <c r="D4495" s="19"/>
      <c r="E4495" s="57"/>
      <c r="H4495" s="18"/>
    </row>
    <row r="4496">
      <c r="C4496" s="18"/>
      <c r="D4496" s="19"/>
      <c r="E4496" s="57"/>
      <c r="H4496" s="18"/>
    </row>
    <row r="4497">
      <c r="C4497" s="18"/>
      <c r="D4497" s="19"/>
      <c r="E4497" s="57"/>
      <c r="H4497" s="18"/>
    </row>
    <row r="4498">
      <c r="C4498" s="18"/>
      <c r="D4498" s="19"/>
      <c r="E4498" s="57"/>
      <c r="H4498" s="18"/>
    </row>
    <row r="4499">
      <c r="C4499" s="18"/>
      <c r="D4499" s="19"/>
      <c r="E4499" s="57"/>
      <c r="H4499" s="18"/>
    </row>
    <row r="4500">
      <c r="C4500" s="18"/>
      <c r="D4500" s="19"/>
      <c r="E4500" s="57"/>
      <c r="H4500" s="18"/>
    </row>
    <row r="4501">
      <c r="C4501" s="18"/>
      <c r="D4501" s="19"/>
      <c r="E4501" s="57"/>
      <c r="H4501" s="18"/>
    </row>
    <row r="4502">
      <c r="C4502" s="18"/>
      <c r="D4502" s="19"/>
      <c r="E4502" s="57"/>
      <c r="H4502" s="18"/>
    </row>
    <row r="4503">
      <c r="C4503" s="18"/>
      <c r="D4503" s="19"/>
      <c r="E4503" s="57"/>
      <c r="H4503" s="18"/>
    </row>
    <row r="4504">
      <c r="C4504" s="18"/>
      <c r="D4504" s="19"/>
      <c r="E4504" s="57"/>
      <c r="H4504" s="18"/>
    </row>
    <row r="4505">
      <c r="C4505" s="18"/>
      <c r="D4505" s="19"/>
      <c r="E4505" s="57"/>
      <c r="H4505" s="18"/>
    </row>
    <row r="4506">
      <c r="C4506" s="18"/>
      <c r="D4506" s="19"/>
      <c r="E4506" s="57"/>
      <c r="H4506" s="18"/>
    </row>
    <row r="4507">
      <c r="C4507" s="18"/>
      <c r="D4507" s="19"/>
      <c r="E4507" s="57"/>
      <c r="H4507" s="18"/>
    </row>
    <row r="4508">
      <c r="C4508" s="18"/>
      <c r="D4508" s="19"/>
      <c r="E4508" s="57"/>
      <c r="H4508" s="18"/>
    </row>
    <row r="4509">
      <c r="C4509" s="18"/>
      <c r="D4509" s="19"/>
      <c r="E4509" s="57"/>
      <c r="H4509" s="18"/>
    </row>
    <row r="4510">
      <c r="C4510" s="18"/>
      <c r="D4510" s="19"/>
      <c r="E4510" s="57"/>
      <c r="H4510" s="18"/>
    </row>
    <row r="4511">
      <c r="C4511" s="18"/>
      <c r="D4511" s="19"/>
      <c r="E4511" s="57"/>
      <c r="H4511" s="18"/>
    </row>
    <row r="4512">
      <c r="C4512" s="18"/>
      <c r="D4512" s="19"/>
      <c r="E4512" s="57"/>
      <c r="H4512" s="18"/>
    </row>
    <row r="4513">
      <c r="C4513" s="18"/>
      <c r="D4513" s="19"/>
      <c r="E4513" s="57"/>
      <c r="H4513" s="18"/>
    </row>
    <row r="4514">
      <c r="C4514" s="18"/>
      <c r="D4514" s="19"/>
      <c r="E4514" s="57"/>
      <c r="H4514" s="18"/>
    </row>
    <row r="4515">
      <c r="C4515" s="18"/>
      <c r="D4515" s="19"/>
      <c r="E4515" s="57"/>
      <c r="H4515" s="18"/>
    </row>
    <row r="4516">
      <c r="C4516" s="18"/>
      <c r="D4516" s="19"/>
      <c r="E4516" s="57"/>
      <c r="H4516" s="18"/>
    </row>
    <row r="4517">
      <c r="C4517" s="18"/>
      <c r="D4517" s="19"/>
      <c r="E4517" s="57"/>
      <c r="H4517" s="18"/>
    </row>
    <row r="4518">
      <c r="C4518" s="18"/>
      <c r="D4518" s="19"/>
      <c r="E4518" s="57"/>
      <c r="H4518" s="18"/>
    </row>
    <row r="4519">
      <c r="C4519" s="18"/>
      <c r="D4519" s="19"/>
      <c r="E4519" s="57"/>
      <c r="H4519" s="18"/>
    </row>
    <row r="4520">
      <c r="C4520" s="18"/>
      <c r="D4520" s="19"/>
      <c r="E4520" s="57"/>
      <c r="H4520" s="18"/>
    </row>
    <row r="4521">
      <c r="C4521" s="18"/>
      <c r="D4521" s="19"/>
      <c r="E4521" s="57"/>
      <c r="H4521" s="18"/>
    </row>
    <row r="4522">
      <c r="C4522" s="18"/>
      <c r="D4522" s="19"/>
      <c r="E4522" s="57"/>
      <c r="H4522" s="18"/>
    </row>
    <row r="4523">
      <c r="C4523" s="18"/>
      <c r="D4523" s="19"/>
      <c r="E4523" s="57"/>
      <c r="H4523" s="18"/>
    </row>
    <row r="4524">
      <c r="C4524" s="18"/>
      <c r="D4524" s="19"/>
      <c r="E4524" s="57"/>
      <c r="H4524" s="18"/>
    </row>
    <row r="4525">
      <c r="C4525" s="18"/>
      <c r="D4525" s="19"/>
      <c r="E4525" s="57"/>
      <c r="H4525" s="18"/>
    </row>
    <row r="4526">
      <c r="C4526" s="18"/>
      <c r="D4526" s="19"/>
      <c r="E4526" s="57"/>
      <c r="H4526" s="18"/>
    </row>
    <row r="4527">
      <c r="C4527" s="18"/>
      <c r="D4527" s="19"/>
      <c r="E4527" s="57"/>
      <c r="H4527" s="18"/>
    </row>
    <row r="4528">
      <c r="C4528" s="18"/>
      <c r="D4528" s="19"/>
      <c r="E4528" s="57"/>
      <c r="H4528" s="18"/>
    </row>
    <row r="4529">
      <c r="C4529" s="18"/>
      <c r="D4529" s="19"/>
      <c r="E4529" s="57"/>
      <c r="H4529" s="18"/>
    </row>
    <row r="4530">
      <c r="C4530" s="18"/>
      <c r="D4530" s="19"/>
      <c r="E4530" s="57"/>
      <c r="H4530" s="18"/>
    </row>
    <row r="4531">
      <c r="C4531" s="18"/>
      <c r="D4531" s="19"/>
      <c r="E4531" s="57"/>
      <c r="H4531" s="18"/>
    </row>
    <row r="4532">
      <c r="C4532" s="18"/>
      <c r="D4532" s="19"/>
      <c r="E4532" s="57"/>
      <c r="H4532" s="18"/>
    </row>
    <row r="4533">
      <c r="C4533" s="18"/>
      <c r="D4533" s="19"/>
      <c r="E4533" s="57"/>
      <c r="H4533" s="18"/>
    </row>
    <row r="4534">
      <c r="C4534" s="18"/>
      <c r="D4534" s="19"/>
      <c r="E4534" s="57"/>
      <c r="H4534" s="18"/>
    </row>
    <row r="4535">
      <c r="C4535" s="18"/>
      <c r="D4535" s="19"/>
      <c r="E4535" s="57"/>
      <c r="H4535" s="18"/>
    </row>
    <row r="4536">
      <c r="C4536" s="18"/>
      <c r="D4536" s="19"/>
      <c r="E4536" s="57"/>
      <c r="H4536" s="18"/>
    </row>
    <row r="4537">
      <c r="C4537" s="18"/>
      <c r="D4537" s="19"/>
      <c r="E4537" s="57"/>
      <c r="H4537" s="18"/>
    </row>
    <row r="4538">
      <c r="C4538" s="18"/>
      <c r="D4538" s="19"/>
      <c r="E4538" s="57"/>
      <c r="H4538" s="18"/>
    </row>
    <row r="4539">
      <c r="C4539" s="18"/>
      <c r="D4539" s="19"/>
      <c r="E4539" s="57"/>
      <c r="H4539" s="18"/>
    </row>
    <row r="4540">
      <c r="C4540" s="18"/>
      <c r="D4540" s="19"/>
      <c r="E4540" s="57"/>
      <c r="H4540" s="18"/>
    </row>
    <row r="4541">
      <c r="C4541" s="18"/>
      <c r="D4541" s="19"/>
      <c r="E4541" s="57"/>
      <c r="H4541" s="18"/>
    </row>
    <row r="4542">
      <c r="C4542" s="18"/>
      <c r="D4542" s="19"/>
      <c r="E4542" s="57"/>
      <c r="H4542" s="18"/>
    </row>
    <row r="4543">
      <c r="C4543" s="18"/>
      <c r="D4543" s="19"/>
      <c r="E4543" s="57"/>
      <c r="H4543" s="18"/>
    </row>
    <row r="4544">
      <c r="C4544" s="18"/>
      <c r="D4544" s="19"/>
      <c r="E4544" s="57"/>
      <c r="H4544" s="18"/>
    </row>
    <row r="4545">
      <c r="C4545" s="18"/>
      <c r="D4545" s="19"/>
      <c r="E4545" s="57"/>
      <c r="H4545" s="18"/>
    </row>
    <row r="4546">
      <c r="C4546" s="18"/>
      <c r="D4546" s="19"/>
      <c r="E4546" s="57"/>
      <c r="H4546" s="18"/>
    </row>
    <row r="4547">
      <c r="C4547" s="18"/>
      <c r="D4547" s="19"/>
      <c r="E4547" s="57"/>
      <c r="H4547" s="18"/>
    </row>
    <row r="4548">
      <c r="C4548" s="18"/>
      <c r="D4548" s="19"/>
      <c r="E4548" s="57"/>
      <c r="H4548" s="18"/>
    </row>
    <row r="4549">
      <c r="C4549" s="18"/>
      <c r="D4549" s="19"/>
      <c r="E4549" s="57"/>
      <c r="H4549" s="18"/>
    </row>
    <row r="4550">
      <c r="C4550" s="18"/>
      <c r="D4550" s="19"/>
      <c r="E4550" s="57"/>
      <c r="H4550" s="18"/>
    </row>
    <row r="4551">
      <c r="C4551" s="18"/>
      <c r="D4551" s="19"/>
      <c r="E4551" s="57"/>
      <c r="H4551" s="18"/>
    </row>
    <row r="4552">
      <c r="C4552" s="18"/>
      <c r="D4552" s="19"/>
      <c r="E4552" s="57"/>
      <c r="H4552" s="18"/>
    </row>
    <row r="4553">
      <c r="C4553" s="18"/>
      <c r="D4553" s="19"/>
      <c r="E4553" s="57"/>
      <c r="H4553" s="18"/>
    </row>
    <row r="4554">
      <c r="C4554" s="18"/>
      <c r="D4554" s="19"/>
      <c r="E4554" s="57"/>
      <c r="H4554" s="18"/>
    </row>
    <row r="4555">
      <c r="C4555" s="18"/>
      <c r="D4555" s="19"/>
      <c r="E4555" s="57"/>
      <c r="H4555" s="18"/>
    </row>
    <row r="4556">
      <c r="C4556" s="18"/>
      <c r="D4556" s="19"/>
      <c r="E4556" s="57"/>
      <c r="H4556" s="18"/>
    </row>
    <row r="4557">
      <c r="C4557" s="18"/>
      <c r="D4557" s="19"/>
      <c r="E4557" s="57"/>
      <c r="H4557" s="18"/>
    </row>
    <row r="4558">
      <c r="C4558" s="18"/>
      <c r="D4558" s="19"/>
      <c r="E4558" s="57"/>
      <c r="H4558" s="18"/>
    </row>
    <row r="4559">
      <c r="C4559" s="18"/>
      <c r="D4559" s="19"/>
      <c r="E4559" s="57"/>
      <c r="H4559" s="18"/>
    </row>
    <row r="4560">
      <c r="C4560" s="18"/>
      <c r="D4560" s="19"/>
      <c r="E4560" s="57"/>
      <c r="H4560" s="18"/>
    </row>
    <row r="4561">
      <c r="C4561" s="18"/>
      <c r="D4561" s="19"/>
      <c r="E4561" s="57"/>
      <c r="H4561" s="18"/>
    </row>
    <row r="4562">
      <c r="C4562" s="18"/>
      <c r="D4562" s="19"/>
      <c r="E4562" s="57"/>
      <c r="H4562" s="18"/>
    </row>
    <row r="4563">
      <c r="C4563" s="18"/>
      <c r="D4563" s="19"/>
      <c r="E4563" s="57"/>
      <c r="H4563" s="18"/>
    </row>
    <row r="4564">
      <c r="C4564" s="18"/>
      <c r="D4564" s="19"/>
      <c r="E4564" s="57"/>
      <c r="H4564" s="18"/>
    </row>
    <row r="4565">
      <c r="C4565" s="18"/>
      <c r="D4565" s="19"/>
      <c r="E4565" s="57"/>
      <c r="H4565" s="18"/>
    </row>
    <row r="4566">
      <c r="C4566" s="18"/>
      <c r="D4566" s="19"/>
      <c r="E4566" s="57"/>
      <c r="H4566" s="18"/>
    </row>
    <row r="4567">
      <c r="C4567" s="18"/>
      <c r="D4567" s="19"/>
      <c r="E4567" s="57"/>
      <c r="H4567" s="18"/>
    </row>
    <row r="4568">
      <c r="C4568" s="18"/>
      <c r="D4568" s="19"/>
      <c r="E4568" s="57"/>
      <c r="H4568" s="18"/>
    </row>
    <row r="4569">
      <c r="C4569" s="18"/>
      <c r="D4569" s="19"/>
      <c r="E4569" s="57"/>
      <c r="H4569" s="18"/>
    </row>
    <row r="4570">
      <c r="C4570" s="18"/>
      <c r="D4570" s="19"/>
      <c r="E4570" s="57"/>
      <c r="H4570" s="18"/>
    </row>
    <row r="4571">
      <c r="C4571" s="18"/>
      <c r="D4571" s="19"/>
      <c r="E4571" s="57"/>
      <c r="H4571" s="18"/>
    </row>
    <row r="4572">
      <c r="C4572" s="18"/>
      <c r="D4572" s="19"/>
      <c r="E4572" s="57"/>
      <c r="H4572" s="18"/>
    </row>
    <row r="4573">
      <c r="C4573" s="18"/>
      <c r="D4573" s="19"/>
      <c r="E4573" s="57"/>
      <c r="H4573" s="18"/>
    </row>
    <row r="4574">
      <c r="C4574" s="18"/>
      <c r="D4574" s="19"/>
      <c r="E4574" s="57"/>
      <c r="H4574" s="18"/>
    </row>
    <row r="4575">
      <c r="C4575" s="18"/>
      <c r="D4575" s="19"/>
      <c r="E4575" s="57"/>
      <c r="H4575" s="18"/>
    </row>
    <row r="4576">
      <c r="C4576" s="18"/>
      <c r="D4576" s="19"/>
      <c r="E4576" s="57"/>
      <c r="H4576" s="18"/>
    </row>
    <row r="4577">
      <c r="C4577" s="18"/>
      <c r="D4577" s="19"/>
      <c r="E4577" s="57"/>
      <c r="H4577" s="18"/>
    </row>
    <row r="4578">
      <c r="C4578" s="18"/>
      <c r="D4578" s="19"/>
      <c r="E4578" s="57"/>
      <c r="H4578" s="18"/>
    </row>
    <row r="4579">
      <c r="C4579" s="18"/>
      <c r="D4579" s="19"/>
      <c r="E4579" s="57"/>
      <c r="H4579" s="18"/>
    </row>
    <row r="4580">
      <c r="C4580" s="18"/>
      <c r="D4580" s="19"/>
      <c r="E4580" s="57"/>
      <c r="H4580" s="18"/>
    </row>
    <row r="4581">
      <c r="C4581" s="18"/>
      <c r="D4581" s="19"/>
      <c r="E4581" s="57"/>
      <c r="H4581" s="18"/>
    </row>
    <row r="4582">
      <c r="C4582" s="18"/>
      <c r="D4582" s="19"/>
      <c r="E4582" s="57"/>
      <c r="H4582" s="18"/>
    </row>
    <row r="4583">
      <c r="C4583" s="18"/>
      <c r="D4583" s="19"/>
      <c r="E4583" s="57"/>
      <c r="H4583" s="18"/>
    </row>
    <row r="4584">
      <c r="C4584" s="18"/>
      <c r="D4584" s="19"/>
      <c r="E4584" s="57"/>
      <c r="H4584" s="18"/>
    </row>
    <row r="4585">
      <c r="C4585" s="18"/>
      <c r="D4585" s="19"/>
      <c r="E4585" s="57"/>
      <c r="H4585" s="18"/>
    </row>
    <row r="4586">
      <c r="C4586" s="18"/>
      <c r="D4586" s="19"/>
      <c r="E4586" s="57"/>
      <c r="H4586" s="18"/>
    </row>
    <row r="4587">
      <c r="C4587" s="18"/>
      <c r="D4587" s="19"/>
      <c r="E4587" s="57"/>
      <c r="H4587" s="18"/>
    </row>
    <row r="4588">
      <c r="C4588" s="18"/>
      <c r="D4588" s="19"/>
      <c r="E4588" s="57"/>
      <c r="H4588" s="18"/>
    </row>
    <row r="4589">
      <c r="C4589" s="18"/>
      <c r="D4589" s="19"/>
      <c r="E4589" s="57"/>
      <c r="H4589" s="18"/>
    </row>
    <row r="4590">
      <c r="C4590" s="18"/>
      <c r="D4590" s="19"/>
      <c r="E4590" s="57"/>
      <c r="H4590" s="18"/>
    </row>
    <row r="4591">
      <c r="C4591" s="18"/>
      <c r="D4591" s="19"/>
      <c r="E4591" s="57"/>
      <c r="H4591" s="18"/>
    </row>
    <row r="4592">
      <c r="C4592" s="18"/>
      <c r="D4592" s="19"/>
      <c r="E4592" s="57"/>
      <c r="H4592" s="18"/>
    </row>
    <row r="4593">
      <c r="C4593" s="18"/>
      <c r="D4593" s="19"/>
      <c r="E4593" s="57"/>
      <c r="H4593" s="18"/>
    </row>
    <row r="4594">
      <c r="C4594" s="18"/>
      <c r="D4594" s="19"/>
      <c r="E4594" s="57"/>
      <c r="H4594" s="18"/>
    </row>
    <row r="4595">
      <c r="C4595" s="18"/>
      <c r="D4595" s="19"/>
      <c r="E4595" s="57"/>
      <c r="H4595" s="18"/>
    </row>
    <row r="4596">
      <c r="C4596" s="18"/>
      <c r="D4596" s="19"/>
      <c r="E4596" s="57"/>
      <c r="H4596" s="18"/>
    </row>
    <row r="4597">
      <c r="C4597" s="18"/>
      <c r="D4597" s="19"/>
      <c r="E4597" s="57"/>
      <c r="H4597" s="18"/>
    </row>
    <row r="4598">
      <c r="C4598" s="18"/>
      <c r="D4598" s="19"/>
      <c r="E4598" s="57"/>
      <c r="H4598" s="18"/>
    </row>
    <row r="4599">
      <c r="C4599" s="18"/>
      <c r="D4599" s="19"/>
      <c r="E4599" s="57"/>
      <c r="H4599" s="18"/>
    </row>
    <row r="4600">
      <c r="C4600" s="18"/>
      <c r="D4600" s="19"/>
      <c r="E4600" s="57"/>
      <c r="H4600" s="18"/>
    </row>
    <row r="4601">
      <c r="C4601" s="18"/>
      <c r="D4601" s="19"/>
      <c r="E4601" s="57"/>
      <c r="H4601" s="18"/>
    </row>
    <row r="4602">
      <c r="C4602" s="18"/>
      <c r="D4602" s="19"/>
      <c r="E4602" s="57"/>
      <c r="H4602" s="18"/>
    </row>
    <row r="4603">
      <c r="C4603" s="18"/>
      <c r="D4603" s="19"/>
      <c r="E4603" s="57"/>
      <c r="H4603" s="18"/>
    </row>
    <row r="4604">
      <c r="C4604" s="18"/>
      <c r="D4604" s="19"/>
      <c r="E4604" s="57"/>
      <c r="H4604" s="18"/>
    </row>
    <row r="4605">
      <c r="C4605" s="18"/>
      <c r="D4605" s="19"/>
      <c r="E4605" s="57"/>
      <c r="H4605" s="18"/>
    </row>
    <row r="4606">
      <c r="C4606" s="18"/>
      <c r="D4606" s="19"/>
      <c r="E4606" s="57"/>
      <c r="H4606" s="18"/>
    </row>
    <row r="4607">
      <c r="C4607" s="18"/>
      <c r="D4607" s="19"/>
      <c r="E4607" s="57"/>
      <c r="H4607" s="18"/>
    </row>
    <row r="4608">
      <c r="C4608" s="18"/>
      <c r="D4608" s="19"/>
      <c r="E4608" s="57"/>
      <c r="H4608" s="18"/>
    </row>
    <row r="4609">
      <c r="C4609" s="18"/>
      <c r="D4609" s="19"/>
      <c r="E4609" s="57"/>
      <c r="H4609" s="18"/>
    </row>
    <row r="4610">
      <c r="C4610" s="18"/>
      <c r="D4610" s="19"/>
      <c r="E4610" s="57"/>
      <c r="H4610" s="18"/>
    </row>
    <row r="4611">
      <c r="C4611" s="18"/>
      <c r="D4611" s="19"/>
      <c r="E4611" s="57"/>
      <c r="H4611" s="18"/>
    </row>
    <row r="4612">
      <c r="C4612" s="18"/>
      <c r="D4612" s="19"/>
      <c r="E4612" s="57"/>
      <c r="H4612" s="18"/>
    </row>
    <row r="4613">
      <c r="C4613" s="18"/>
      <c r="D4613" s="19"/>
      <c r="E4613" s="57"/>
      <c r="H4613" s="18"/>
    </row>
    <row r="4614">
      <c r="C4614" s="18"/>
      <c r="D4614" s="19"/>
      <c r="E4614" s="57"/>
      <c r="H4614" s="18"/>
    </row>
    <row r="4615">
      <c r="C4615" s="18"/>
      <c r="D4615" s="19"/>
      <c r="E4615" s="57"/>
      <c r="H4615" s="18"/>
    </row>
    <row r="4616">
      <c r="C4616" s="18"/>
      <c r="D4616" s="19"/>
      <c r="E4616" s="57"/>
      <c r="H4616" s="18"/>
    </row>
    <row r="4617">
      <c r="C4617" s="18"/>
      <c r="D4617" s="19"/>
      <c r="E4617" s="57"/>
      <c r="H4617" s="18"/>
    </row>
    <row r="4618">
      <c r="C4618" s="18"/>
      <c r="D4618" s="19"/>
      <c r="E4618" s="57"/>
      <c r="H4618" s="18"/>
    </row>
    <row r="4619">
      <c r="C4619" s="18"/>
      <c r="D4619" s="19"/>
      <c r="E4619" s="57"/>
      <c r="H4619" s="18"/>
    </row>
    <row r="4620">
      <c r="C4620" s="18"/>
      <c r="D4620" s="19"/>
      <c r="E4620" s="57"/>
      <c r="H4620" s="18"/>
    </row>
    <row r="4621">
      <c r="C4621" s="18"/>
      <c r="D4621" s="19"/>
      <c r="E4621" s="57"/>
      <c r="H4621" s="18"/>
    </row>
    <row r="4622">
      <c r="C4622" s="18"/>
      <c r="D4622" s="19"/>
      <c r="E4622" s="57"/>
      <c r="H4622" s="18"/>
    </row>
    <row r="4623">
      <c r="C4623" s="18"/>
      <c r="D4623" s="19"/>
      <c r="E4623" s="57"/>
      <c r="H4623" s="18"/>
    </row>
    <row r="4624">
      <c r="C4624" s="18"/>
      <c r="D4624" s="19"/>
      <c r="E4624" s="57"/>
      <c r="H4624" s="18"/>
    </row>
    <row r="4625">
      <c r="C4625" s="18"/>
      <c r="D4625" s="19"/>
      <c r="E4625" s="57"/>
      <c r="H4625" s="18"/>
    </row>
    <row r="4626">
      <c r="C4626" s="18"/>
      <c r="D4626" s="19"/>
      <c r="E4626" s="57"/>
      <c r="H4626" s="18"/>
    </row>
    <row r="4627">
      <c r="C4627" s="18"/>
      <c r="D4627" s="19"/>
      <c r="E4627" s="57"/>
      <c r="H4627" s="18"/>
    </row>
    <row r="4628">
      <c r="C4628" s="18"/>
      <c r="D4628" s="19"/>
      <c r="E4628" s="57"/>
      <c r="H4628" s="18"/>
    </row>
    <row r="4629">
      <c r="C4629" s="18"/>
      <c r="D4629" s="19"/>
      <c r="E4629" s="57"/>
      <c r="H4629" s="18"/>
    </row>
    <row r="4630">
      <c r="C4630" s="18"/>
      <c r="D4630" s="19"/>
      <c r="E4630" s="57"/>
      <c r="H4630" s="18"/>
    </row>
    <row r="4631">
      <c r="C4631" s="18"/>
      <c r="D4631" s="19"/>
      <c r="E4631" s="57"/>
      <c r="H4631" s="18"/>
    </row>
    <row r="4632">
      <c r="C4632" s="18"/>
      <c r="D4632" s="19"/>
      <c r="E4632" s="57"/>
      <c r="H4632" s="18"/>
    </row>
    <row r="4633">
      <c r="C4633" s="18"/>
      <c r="D4633" s="19"/>
      <c r="E4633" s="57"/>
      <c r="H4633" s="18"/>
    </row>
    <row r="4634">
      <c r="C4634" s="18"/>
      <c r="D4634" s="19"/>
      <c r="E4634" s="57"/>
      <c r="H4634" s="18"/>
    </row>
    <row r="4635">
      <c r="C4635" s="18"/>
      <c r="D4635" s="19"/>
      <c r="E4635" s="57"/>
      <c r="H4635" s="18"/>
    </row>
    <row r="4636">
      <c r="C4636" s="18"/>
      <c r="D4636" s="19"/>
      <c r="E4636" s="57"/>
      <c r="H4636" s="18"/>
    </row>
    <row r="4637">
      <c r="C4637" s="18"/>
      <c r="D4637" s="19"/>
      <c r="E4637" s="57"/>
      <c r="H4637" s="18"/>
    </row>
    <row r="4638">
      <c r="C4638" s="18"/>
      <c r="D4638" s="19"/>
      <c r="E4638" s="57"/>
      <c r="H4638" s="18"/>
    </row>
    <row r="4639">
      <c r="C4639" s="18"/>
      <c r="D4639" s="19"/>
      <c r="E4639" s="57"/>
      <c r="H4639" s="18"/>
    </row>
    <row r="4640">
      <c r="C4640" s="18"/>
      <c r="D4640" s="19"/>
      <c r="E4640" s="57"/>
      <c r="H4640" s="18"/>
    </row>
    <row r="4641">
      <c r="C4641" s="18"/>
      <c r="D4641" s="19"/>
      <c r="E4641" s="57"/>
      <c r="H4641" s="18"/>
    </row>
    <row r="4642">
      <c r="C4642" s="18"/>
      <c r="D4642" s="19"/>
      <c r="E4642" s="57"/>
      <c r="H4642" s="18"/>
    </row>
    <row r="4643">
      <c r="C4643" s="18"/>
      <c r="D4643" s="19"/>
      <c r="E4643" s="57"/>
      <c r="H4643" s="18"/>
    </row>
    <row r="4644">
      <c r="C4644" s="18"/>
      <c r="D4644" s="19"/>
      <c r="E4644" s="57"/>
      <c r="H4644" s="18"/>
    </row>
    <row r="4645">
      <c r="C4645" s="18"/>
      <c r="D4645" s="19"/>
      <c r="E4645" s="57"/>
      <c r="H4645" s="18"/>
    </row>
    <row r="4646">
      <c r="C4646" s="18"/>
      <c r="D4646" s="19"/>
      <c r="E4646" s="57"/>
      <c r="H4646" s="18"/>
    </row>
    <row r="4647">
      <c r="C4647" s="18"/>
      <c r="D4647" s="19"/>
      <c r="E4647" s="57"/>
      <c r="H4647" s="18"/>
    </row>
    <row r="4648">
      <c r="C4648" s="18"/>
      <c r="D4648" s="19"/>
      <c r="E4648" s="57"/>
      <c r="H4648" s="18"/>
    </row>
    <row r="4649">
      <c r="C4649" s="18"/>
      <c r="D4649" s="19"/>
      <c r="E4649" s="57"/>
      <c r="H4649" s="18"/>
    </row>
    <row r="4650">
      <c r="C4650" s="18"/>
      <c r="D4650" s="19"/>
      <c r="E4650" s="57"/>
      <c r="H4650" s="18"/>
    </row>
    <row r="4651">
      <c r="C4651" s="18"/>
      <c r="D4651" s="19"/>
      <c r="E4651" s="57"/>
      <c r="H4651" s="18"/>
    </row>
    <row r="4652">
      <c r="C4652" s="18"/>
      <c r="D4652" s="19"/>
      <c r="E4652" s="57"/>
      <c r="H4652" s="18"/>
    </row>
    <row r="4653">
      <c r="C4653" s="18"/>
      <c r="D4653" s="19"/>
      <c r="E4653" s="57"/>
      <c r="H4653" s="18"/>
    </row>
    <row r="4654">
      <c r="C4654" s="18"/>
      <c r="D4654" s="19"/>
      <c r="E4654" s="57"/>
      <c r="H4654" s="18"/>
    </row>
    <row r="4655">
      <c r="C4655" s="18"/>
      <c r="D4655" s="19"/>
      <c r="E4655" s="57"/>
      <c r="H4655" s="18"/>
    </row>
    <row r="4656">
      <c r="C4656" s="18"/>
      <c r="D4656" s="19"/>
      <c r="E4656" s="57"/>
      <c r="H4656" s="18"/>
    </row>
    <row r="4657">
      <c r="C4657" s="18"/>
      <c r="D4657" s="19"/>
      <c r="E4657" s="57"/>
      <c r="H4657" s="18"/>
    </row>
    <row r="4658">
      <c r="C4658" s="18"/>
      <c r="D4658" s="19"/>
      <c r="E4658" s="57"/>
      <c r="H4658" s="18"/>
    </row>
    <row r="4659">
      <c r="C4659" s="18"/>
      <c r="D4659" s="19"/>
      <c r="E4659" s="57"/>
      <c r="H4659" s="18"/>
    </row>
    <row r="4660">
      <c r="C4660" s="18"/>
      <c r="D4660" s="19"/>
      <c r="E4660" s="57"/>
      <c r="H4660" s="18"/>
    </row>
    <row r="4661">
      <c r="C4661" s="18"/>
      <c r="D4661" s="19"/>
      <c r="E4661" s="57"/>
      <c r="H4661" s="18"/>
    </row>
    <row r="4662">
      <c r="C4662" s="18"/>
      <c r="D4662" s="19"/>
      <c r="E4662" s="57"/>
      <c r="H4662" s="18"/>
    </row>
    <row r="4663">
      <c r="C4663" s="18"/>
      <c r="D4663" s="19"/>
      <c r="E4663" s="57"/>
      <c r="H4663" s="18"/>
    </row>
    <row r="4664">
      <c r="C4664" s="18"/>
      <c r="D4664" s="19"/>
      <c r="E4664" s="57"/>
      <c r="H4664" s="18"/>
    </row>
    <row r="4665">
      <c r="C4665" s="18"/>
      <c r="D4665" s="19"/>
      <c r="E4665" s="57"/>
      <c r="H4665" s="18"/>
    </row>
    <row r="4666">
      <c r="C4666" s="18"/>
      <c r="D4666" s="19"/>
      <c r="E4666" s="57"/>
      <c r="H4666" s="18"/>
    </row>
    <row r="4667">
      <c r="C4667" s="18"/>
      <c r="D4667" s="19"/>
      <c r="E4667" s="57"/>
      <c r="H4667" s="18"/>
    </row>
    <row r="4668">
      <c r="C4668" s="18"/>
      <c r="D4668" s="19"/>
      <c r="E4668" s="57"/>
      <c r="H4668" s="18"/>
    </row>
    <row r="4669">
      <c r="C4669" s="18"/>
      <c r="D4669" s="19"/>
      <c r="E4669" s="57"/>
      <c r="H4669" s="18"/>
    </row>
    <row r="4670">
      <c r="C4670" s="18"/>
      <c r="D4670" s="19"/>
      <c r="E4670" s="57"/>
      <c r="H4670" s="18"/>
    </row>
    <row r="4671">
      <c r="C4671" s="18"/>
      <c r="D4671" s="19"/>
      <c r="E4671" s="57"/>
      <c r="H4671" s="18"/>
    </row>
    <row r="4672">
      <c r="C4672" s="18"/>
      <c r="D4672" s="19"/>
      <c r="E4672" s="57"/>
      <c r="H4672" s="18"/>
    </row>
    <row r="4673">
      <c r="C4673" s="18"/>
      <c r="D4673" s="19"/>
      <c r="E4673" s="57"/>
      <c r="H4673" s="18"/>
    </row>
    <row r="4674">
      <c r="C4674" s="18"/>
      <c r="D4674" s="19"/>
      <c r="E4674" s="57"/>
      <c r="H4674" s="18"/>
    </row>
    <row r="4675">
      <c r="C4675" s="18"/>
      <c r="D4675" s="19"/>
      <c r="E4675" s="57"/>
      <c r="H4675" s="18"/>
    </row>
    <row r="4676">
      <c r="C4676" s="18"/>
      <c r="D4676" s="19"/>
      <c r="E4676" s="57"/>
      <c r="H4676" s="18"/>
    </row>
    <row r="4677">
      <c r="C4677" s="18"/>
      <c r="D4677" s="19"/>
      <c r="E4677" s="57"/>
      <c r="H4677" s="18"/>
    </row>
    <row r="4678">
      <c r="C4678" s="18"/>
      <c r="D4678" s="19"/>
      <c r="E4678" s="57"/>
      <c r="H4678" s="18"/>
    </row>
    <row r="4679">
      <c r="C4679" s="18"/>
      <c r="D4679" s="19"/>
      <c r="E4679" s="57"/>
      <c r="H4679" s="18"/>
    </row>
    <row r="4680">
      <c r="C4680" s="18"/>
      <c r="D4680" s="19"/>
      <c r="E4680" s="57"/>
      <c r="H4680" s="18"/>
    </row>
    <row r="4681">
      <c r="C4681" s="18"/>
      <c r="D4681" s="19"/>
      <c r="E4681" s="57"/>
      <c r="H4681" s="18"/>
    </row>
    <row r="4682">
      <c r="C4682" s="18"/>
      <c r="D4682" s="19"/>
      <c r="E4682" s="57"/>
      <c r="H4682" s="18"/>
    </row>
    <row r="4683">
      <c r="C4683" s="18"/>
      <c r="D4683" s="19"/>
      <c r="E4683" s="57"/>
      <c r="H4683" s="18"/>
    </row>
    <row r="4684">
      <c r="C4684" s="18"/>
      <c r="D4684" s="19"/>
      <c r="E4684" s="57"/>
      <c r="H4684" s="18"/>
    </row>
    <row r="4685">
      <c r="C4685" s="18"/>
      <c r="D4685" s="19"/>
      <c r="E4685" s="57"/>
      <c r="H4685" s="18"/>
    </row>
    <row r="4686">
      <c r="C4686" s="18"/>
      <c r="D4686" s="19"/>
      <c r="E4686" s="57"/>
      <c r="H4686" s="18"/>
    </row>
    <row r="4687">
      <c r="C4687" s="18"/>
      <c r="D4687" s="19"/>
      <c r="E4687" s="57"/>
      <c r="H4687" s="18"/>
    </row>
    <row r="4688">
      <c r="C4688" s="18"/>
      <c r="D4688" s="19"/>
      <c r="E4688" s="57"/>
      <c r="H4688" s="18"/>
    </row>
    <row r="4689">
      <c r="C4689" s="18"/>
      <c r="D4689" s="19"/>
      <c r="E4689" s="57"/>
      <c r="H4689" s="18"/>
    </row>
    <row r="4690">
      <c r="C4690" s="18"/>
      <c r="D4690" s="19"/>
      <c r="E4690" s="57"/>
      <c r="H4690" s="18"/>
    </row>
    <row r="4691">
      <c r="C4691" s="18"/>
      <c r="D4691" s="19"/>
      <c r="E4691" s="57"/>
      <c r="H4691" s="18"/>
    </row>
    <row r="4692">
      <c r="C4692" s="18"/>
      <c r="D4692" s="19"/>
      <c r="E4692" s="57"/>
      <c r="H4692" s="18"/>
    </row>
    <row r="4693">
      <c r="C4693" s="18"/>
      <c r="D4693" s="19"/>
      <c r="E4693" s="57"/>
      <c r="H4693" s="18"/>
    </row>
    <row r="4694">
      <c r="C4694" s="18"/>
      <c r="D4694" s="19"/>
      <c r="E4694" s="57"/>
      <c r="H4694" s="18"/>
    </row>
    <row r="4695">
      <c r="C4695" s="18"/>
      <c r="D4695" s="19"/>
      <c r="E4695" s="57"/>
      <c r="H4695" s="18"/>
    </row>
    <row r="4696">
      <c r="C4696" s="18"/>
      <c r="D4696" s="19"/>
      <c r="E4696" s="57"/>
      <c r="H4696" s="18"/>
    </row>
    <row r="4697">
      <c r="C4697" s="18"/>
      <c r="D4697" s="19"/>
      <c r="E4697" s="57"/>
      <c r="H4697" s="18"/>
    </row>
    <row r="4698">
      <c r="C4698" s="18"/>
      <c r="D4698" s="19"/>
      <c r="E4698" s="57"/>
      <c r="H4698" s="18"/>
    </row>
    <row r="4699">
      <c r="C4699" s="18"/>
      <c r="D4699" s="19"/>
      <c r="E4699" s="57"/>
      <c r="H4699" s="18"/>
    </row>
    <row r="4700">
      <c r="C4700" s="18"/>
      <c r="D4700" s="19"/>
      <c r="E4700" s="57"/>
      <c r="H4700" s="18"/>
    </row>
    <row r="4701">
      <c r="C4701" s="18"/>
      <c r="D4701" s="19"/>
      <c r="E4701" s="57"/>
      <c r="H4701" s="18"/>
    </row>
    <row r="4702">
      <c r="C4702" s="18"/>
      <c r="D4702" s="19"/>
      <c r="E4702" s="57"/>
      <c r="H4702" s="18"/>
    </row>
    <row r="4703">
      <c r="C4703" s="18"/>
      <c r="D4703" s="19"/>
      <c r="E4703" s="57"/>
      <c r="H4703" s="18"/>
    </row>
    <row r="4704">
      <c r="C4704" s="18"/>
      <c r="D4704" s="19"/>
      <c r="E4704" s="57"/>
      <c r="H4704" s="18"/>
    </row>
    <row r="4705">
      <c r="C4705" s="18"/>
      <c r="D4705" s="19"/>
      <c r="E4705" s="57"/>
      <c r="H4705" s="18"/>
    </row>
    <row r="4706">
      <c r="C4706" s="18"/>
      <c r="D4706" s="19"/>
      <c r="E4706" s="57"/>
      <c r="H4706" s="18"/>
    </row>
    <row r="4707">
      <c r="C4707" s="18"/>
      <c r="D4707" s="19"/>
      <c r="E4707" s="57"/>
      <c r="H4707" s="18"/>
    </row>
    <row r="4708">
      <c r="C4708" s="18"/>
      <c r="D4708" s="19"/>
      <c r="E4708" s="57"/>
      <c r="H4708" s="18"/>
    </row>
    <row r="4709">
      <c r="C4709" s="18"/>
      <c r="D4709" s="19"/>
      <c r="E4709" s="57"/>
      <c r="H4709" s="18"/>
    </row>
    <row r="4710">
      <c r="C4710" s="18"/>
      <c r="D4710" s="19"/>
      <c r="E4710" s="57"/>
      <c r="H4710" s="18"/>
    </row>
    <row r="4711">
      <c r="C4711" s="18"/>
      <c r="D4711" s="19"/>
      <c r="E4711" s="57"/>
      <c r="H4711" s="18"/>
    </row>
    <row r="4712">
      <c r="C4712" s="18"/>
      <c r="D4712" s="19"/>
      <c r="E4712" s="57"/>
      <c r="H4712" s="18"/>
    </row>
    <row r="4713">
      <c r="C4713" s="18"/>
      <c r="D4713" s="19"/>
      <c r="E4713" s="57"/>
      <c r="H4713" s="18"/>
    </row>
    <row r="4714">
      <c r="C4714" s="18"/>
      <c r="D4714" s="19"/>
      <c r="E4714" s="57"/>
      <c r="H4714" s="18"/>
    </row>
    <row r="4715">
      <c r="C4715" s="18"/>
      <c r="D4715" s="19"/>
      <c r="E4715" s="57"/>
      <c r="H4715" s="18"/>
    </row>
    <row r="4716">
      <c r="C4716" s="18"/>
      <c r="D4716" s="19"/>
      <c r="E4716" s="57"/>
      <c r="H4716" s="18"/>
    </row>
    <row r="4717">
      <c r="C4717" s="18"/>
      <c r="D4717" s="19"/>
      <c r="E4717" s="57"/>
      <c r="H4717" s="18"/>
    </row>
    <row r="4718">
      <c r="C4718" s="18"/>
      <c r="D4718" s="19"/>
      <c r="E4718" s="57"/>
      <c r="H4718" s="18"/>
    </row>
    <row r="4719">
      <c r="C4719" s="18"/>
      <c r="D4719" s="19"/>
      <c r="E4719" s="57"/>
      <c r="H4719" s="18"/>
    </row>
    <row r="4720">
      <c r="C4720" s="18"/>
      <c r="D4720" s="19"/>
      <c r="E4720" s="57"/>
      <c r="H4720" s="18"/>
    </row>
    <row r="4721">
      <c r="C4721" s="18"/>
      <c r="D4721" s="19"/>
      <c r="E4721" s="57"/>
      <c r="H4721" s="18"/>
    </row>
    <row r="4722">
      <c r="C4722" s="18"/>
      <c r="D4722" s="19"/>
      <c r="E4722" s="57"/>
      <c r="H4722" s="18"/>
    </row>
    <row r="4723">
      <c r="C4723" s="18"/>
      <c r="D4723" s="19"/>
      <c r="E4723" s="57"/>
      <c r="H4723" s="18"/>
    </row>
    <row r="4724">
      <c r="C4724" s="18"/>
      <c r="D4724" s="19"/>
      <c r="E4724" s="57"/>
      <c r="H4724" s="18"/>
    </row>
    <row r="4725">
      <c r="C4725" s="18"/>
      <c r="D4725" s="19"/>
      <c r="E4725" s="57"/>
      <c r="H4725" s="18"/>
    </row>
    <row r="4726">
      <c r="C4726" s="18"/>
      <c r="D4726" s="19"/>
      <c r="E4726" s="57"/>
      <c r="H4726" s="18"/>
    </row>
    <row r="4727">
      <c r="C4727" s="18"/>
      <c r="D4727" s="19"/>
      <c r="E4727" s="57"/>
      <c r="H4727" s="18"/>
    </row>
    <row r="4728">
      <c r="C4728" s="18"/>
      <c r="D4728" s="19"/>
      <c r="E4728" s="57"/>
      <c r="H4728" s="18"/>
    </row>
    <row r="4729">
      <c r="C4729" s="18"/>
      <c r="D4729" s="19"/>
      <c r="E4729" s="57"/>
      <c r="H4729" s="18"/>
    </row>
    <row r="4730">
      <c r="C4730" s="18"/>
      <c r="D4730" s="19"/>
      <c r="E4730" s="57"/>
      <c r="H4730" s="18"/>
    </row>
    <row r="4731">
      <c r="C4731" s="18"/>
      <c r="D4731" s="19"/>
      <c r="E4731" s="57"/>
      <c r="H4731" s="18"/>
    </row>
    <row r="4732">
      <c r="C4732" s="18"/>
      <c r="D4732" s="19"/>
      <c r="E4732" s="57"/>
      <c r="H4732" s="18"/>
    </row>
    <row r="4733">
      <c r="C4733" s="18"/>
      <c r="D4733" s="19"/>
      <c r="E4733" s="57"/>
      <c r="H4733" s="18"/>
    </row>
    <row r="4734">
      <c r="C4734" s="18"/>
      <c r="D4734" s="19"/>
      <c r="E4734" s="57"/>
      <c r="H4734" s="18"/>
    </row>
    <row r="4735">
      <c r="C4735" s="18"/>
      <c r="D4735" s="19"/>
      <c r="E4735" s="57"/>
      <c r="H4735" s="18"/>
    </row>
    <row r="4736">
      <c r="C4736" s="18"/>
      <c r="D4736" s="19"/>
      <c r="E4736" s="57"/>
      <c r="H4736" s="18"/>
    </row>
    <row r="4737">
      <c r="C4737" s="18"/>
      <c r="D4737" s="19"/>
      <c r="E4737" s="57"/>
      <c r="H4737" s="18"/>
    </row>
    <row r="4738">
      <c r="C4738" s="18"/>
      <c r="D4738" s="19"/>
      <c r="E4738" s="57"/>
      <c r="H4738" s="18"/>
    </row>
    <row r="4739">
      <c r="C4739" s="18"/>
      <c r="D4739" s="19"/>
      <c r="E4739" s="57"/>
      <c r="H4739" s="18"/>
    </row>
    <row r="4740">
      <c r="C4740" s="18"/>
      <c r="D4740" s="19"/>
      <c r="E4740" s="57"/>
      <c r="H4740" s="18"/>
    </row>
    <row r="4741">
      <c r="C4741" s="18"/>
      <c r="D4741" s="19"/>
      <c r="E4741" s="57"/>
      <c r="H4741" s="18"/>
    </row>
    <row r="4742">
      <c r="C4742" s="18"/>
      <c r="D4742" s="19"/>
      <c r="E4742" s="57"/>
      <c r="H4742" s="18"/>
    </row>
    <row r="4743">
      <c r="C4743" s="18"/>
      <c r="D4743" s="19"/>
      <c r="E4743" s="57"/>
      <c r="H4743" s="18"/>
    </row>
    <row r="4744">
      <c r="C4744" s="18"/>
      <c r="D4744" s="19"/>
      <c r="E4744" s="57"/>
      <c r="H4744" s="18"/>
    </row>
    <row r="4745">
      <c r="C4745" s="18"/>
      <c r="D4745" s="19"/>
      <c r="E4745" s="57"/>
      <c r="H4745" s="18"/>
    </row>
    <row r="4746">
      <c r="C4746" s="18"/>
      <c r="D4746" s="19"/>
      <c r="E4746" s="57"/>
      <c r="H4746" s="18"/>
    </row>
    <row r="4747">
      <c r="C4747" s="18"/>
      <c r="D4747" s="19"/>
      <c r="E4747" s="57"/>
      <c r="H4747" s="18"/>
    </row>
    <row r="4748">
      <c r="C4748" s="18"/>
      <c r="D4748" s="19"/>
      <c r="E4748" s="57"/>
      <c r="H4748" s="18"/>
    </row>
    <row r="4749">
      <c r="C4749" s="18"/>
      <c r="D4749" s="19"/>
      <c r="E4749" s="57"/>
      <c r="H4749" s="18"/>
    </row>
    <row r="4750">
      <c r="C4750" s="18"/>
      <c r="D4750" s="19"/>
      <c r="E4750" s="57"/>
      <c r="H4750" s="18"/>
    </row>
    <row r="4751">
      <c r="C4751" s="18"/>
      <c r="D4751" s="19"/>
      <c r="E4751" s="57"/>
      <c r="H4751" s="18"/>
    </row>
    <row r="4752">
      <c r="C4752" s="18"/>
      <c r="D4752" s="19"/>
      <c r="E4752" s="57"/>
      <c r="H4752" s="18"/>
    </row>
    <row r="4753">
      <c r="C4753" s="18"/>
      <c r="D4753" s="19"/>
      <c r="E4753" s="57"/>
      <c r="H4753" s="18"/>
    </row>
    <row r="4754">
      <c r="C4754" s="18"/>
      <c r="D4754" s="19"/>
      <c r="E4754" s="57"/>
      <c r="H4754" s="18"/>
    </row>
    <row r="4755">
      <c r="C4755" s="18"/>
      <c r="D4755" s="19"/>
      <c r="E4755" s="57"/>
      <c r="H4755" s="18"/>
    </row>
    <row r="4756">
      <c r="C4756" s="18"/>
      <c r="D4756" s="19"/>
      <c r="E4756" s="57"/>
      <c r="H4756" s="18"/>
    </row>
    <row r="4757">
      <c r="C4757" s="18"/>
      <c r="D4757" s="19"/>
      <c r="E4757" s="57"/>
      <c r="H4757" s="18"/>
    </row>
    <row r="4758">
      <c r="C4758" s="18"/>
      <c r="D4758" s="19"/>
      <c r="E4758" s="57"/>
      <c r="H4758" s="18"/>
    </row>
    <row r="4759">
      <c r="C4759" s="18"/>
      <c r="D4759" s="19"/>
      <c r="E4759" s="57"/>
      <c r="H4759" s="18"/>
    </row>
    <row r="4760">
      <c r="C4760" s="18"/>
      <c r="D4760" s="19"/>
      <c r="E4760" s="57"/>
      <c r="H4760" s="18"/>
    </row>
    <row r="4761">
      <c r="C4761" s="18"/>
      <c r="D4761" s="19"/>
      <c r="E4761" s="57"/>
      <c r="H4761" s="18"/>
    </row>
    <row r="4762">
      <c r="C4762" s="18"/>
      <c r="D4762" s="19"/>
      <c r="E4762" s="57"/>
      <c r="H4762" s="18"/>
    </row>
    <row r="4763">
      <c r="C4763" s="18"/>
      <c r="D4763" s="19"/>
      <c r="E4763" s="57"/>
      <c r="H4763" s="18"/>
    </row>
    <row r="4764">
      <c r="C4764" s="18"/>
      <c r="D4764" s="19"/>
      <c r="E4764" s="57"/>
      <c r="H4764" s="18"/>
    </row>
    <row r="4765">
      <c r="C4765" s="18"/>
      <c r="D4765" s="19"/>
      <c r="E4765" s="57"/>
      <c r="H4765" s="18"/>
    </row>
    <row r="4766">
      <c r="C4766" s="18"/>
      <c r="D4766" s="19"/>
      <c r="E4766" s="57"/>
      <c r="H4766" s="18"/>
    </row>
    <row r="4767">
      <c r="C4767" s="18"/>
      <c r="D4767" s="19"/>
      <c r="E4767" s="57"/>
      <c r="H4767" s="18"/>
    </row>
    <row r="4768">
      <c r="C4768" s="18"/>
      <c r="D4768" s="19"/>
      <c r="E4768" s="57"/>
      <c r="H4768" s="18"/>
    </row>
    <row r="4769">
      <c r="C4769" s="18"/>
      <c r="D4769" s="19"/>
      <c r="E4769" s="57"/>
      <c r="H4769" s="18"/>
    </row>
    <row r="4770">
      <c r="C4770" s="18"/>
      <c r="D4770" s="19"/>
      <c r="E4770" s="57"/>
      <c r="H4770" s="18"/>
    </row>
    <row r="4771">
      <c r="C4771" s="18"/>
      <c r="D4771" s="19"/>
      <c r="E4771" s="57"/>
      <c r="H4771" s="18"/>
    </row>
    <row r="4772">
      <c r="C4772" s="18"/>
      <c r="D4772" s="19"/>
      <c r="E4772" s="57"/>
      <c r="H4772" s="18"/>
    </row>
    <row r="4773">
      <c r="C4773" s="18"/>
      <c r="D4773" s="19"/>
      <c r="E4773" s="57"/>
      <c r="H4773" s="18"/>
    </row>
    <row r="4774">
      <c r="C4774" s="18"/>
      <c r="D4774" s="19"/>
      <c r="E4774" s="57"/>
      <c r="H4774" s="18"/>
    </row>
    <row r="4775">
      <c r="C4775" s="18"/>
      <c r="D4775" s="19"/>
      <c r="E4775" s="57"/>
      <c r="H4775" s="18"/>
    </row>
    <row r="4776">
      <c r="C4776" s="18"/>
      <c r="D4776" s="19"/>
      <c r="E4776" s="57"/>
      <c r="H4776" s="18"/>
    </row>
    <row r="4777">
      <c r="C4777" s="18"/>
      <c r="D4777" s="19"/>
      <c r="E4777" s="57"/>
      <c r="H4777" s="18"/>
    </row>
    <row r="4778">
      <c r="C4778" s="18"/>
      <c r="D4778" s="19"/>
      <c r="E4778" s="57"/>
      <c r="H4778" s="18"/>
    </row>
    <row r="4779">
      <c r="C4779" s="18"/>
      <c r="D4779" s="19"/>
      <c r="E4779" s="57"/>
      <c r="H4779" s="18"/>
    </row>
    <row r="4780">
      <c r="C4780" s="18"/>
      <c r="D4780" s="19"/>
      <c r="E4780" s="57"/>
      <c r="H4780" s="18"/>
    </row>
    <row r="4781">
      <c r="C4781" s="18"/>
      <c r="D4781" s="19"/>
      <c r="E4781" s="57"/>
      <c r="H4781" s="18"/>
    </row>
    <row r="4782">
      <c r="C4782" s="18"/>
      <c r="D4782" s="19"/>
      <c r="E4782" s="57"/>
      <c r="H4782" s="18"/>
    </row>
    <row r="4783">
      <c r="C4783" s="18"/>
      <c r="D4783" s="19"/>
      <c r="E4783" s="57"/>
      <c r="H4783" s="18"/>
    </row>
    <row r="4784">
      <c r="C4784" s="18"/>
      <c r="D4784" s="19"/>
      <c r="E4784" s="57"/>
      <c r="H4784" s="18"/>
    </row>
    <row r="4785">
      <c r="C4785" s="18"/>
      <c r="D4785" s="19"/>
      <c r="E4785" s="57"/>
      <c r="H4785" s="18"/>
    </row>
    <row r="4786">
      <c r="C4786" s="18"/>
      <c r="D4786" s="19"/>
      <c r="E4786" s="57"/>
      <c r="H4786" s="18"/>
    </row>
    <row r="4787">
      <c r="C4787" s="18"/>
      <c r="D4787" s="19"/>
      <c r="E4787" s="57"/>
      <c r="H4787" s="18"/>
    </row>
    <row r="4788">
      <c r="C4788" s="18"/>
      <c r="D4788" s="19"/>
      <c r="E4788" s="57"/>
      <c r="H4788" s="18"/>
    </row>
    <row r="4789">
      <c r="C4789" s="18"/>
      <c r="D4789" s="19"/>
      <c r="E4789" s="57"/>
      <c r="H4789" s="18"/>
    </row>
    <row r="4790">
      <c r="C4790" s="18"/>
      <c r="D4790" s="19"/>
      <c r="E4790" s="57"/>
      <c r="H4790" s="18"/>
    </row>
    <row r="4791">
      <c r="C4791" s="18"/>
      <c r="D4791" s="19"/>
      <c r="E4791" s="57"/>
      <c r="H4791" s="18"/>
    </row>
    <row r="4792">
      <c r="C4792" s="18"/>
      <c r="D4792" s="19"/>
      <c r="E4792" s="57"/>
      <c r="H4792" s="18"/>
    </row>
    <row r="4793">
      <c r="C4793" s="18"/>
      <c r="D4793" s="19"/>
      <c r="E4793" s="57"/>
      <c r="H4793" s="18"/>
    </row>
    <row r="4794">
      <c r="C4794" s="18"/>
      <c r="D4794" s="19"/>
      <c r="E4794" s="57"/>
      <c r="H4794" s="18"/>
    </row>
    <row r="4795">
      <c r="C4795" s="18"/>
      <c r="D4795" s="19"/>
      <c r="E4795" s="57"/>
      <c r="H4795" s="18"/>
    </row>
    <row r="4796">
      <c r="C4796" s="18"/>
      <c r="D4796" s="19"/>
      <c r="E4796" s="57"/>
      <c r="H4796" s="18"/>
    </row>
    <row r="4797">
      <c r="C4797" s="18"/>
      <c r="D4797" s="19"/>
      <c r="E4797" s="57"/>
      <c r="H4797" s="18"/>
    </row>
    <row r="4798">
      <c r="C4798" s="18"/>
      <c r="D4798" s="19"/>
      <c r="E4798" s="57"/>
      <c r="H4798" s="18"/>
    </row>
    <row r="4799">
      <c r="C4799" s="18"/>
      <c r="D4799" s="19"/>
      <c r="E4799" s="57"/>
      <c r="H4799" s="18"/>
    </row>
    <row r="4800">
      <c r="C4800" s="18"/>
      <c r="D4800" s="19"/>
      <c r="E4800" s="57"/>
      <c r="H4800" s="18"/>
    </row>
    <row r="4801">
      <c r="C4801" s="18"/>
      <c r="D4801" s="19"/>
      <c r="E4801" s="57"/>
      <c r="H4801" s="18"/>
    </row>
    <row r="4802">
      <c r="C4802" s="18"/>
      <c r="D4802" s="19"/>
      <c r="E4802" s="57"/>
      <c r="H4802" s="18"/>
    </row>
    <row r="4803">
      <c r="C4803" s="18"/>
      <c r="D4803" s="19"/>
      <c r="E4803" s="57"/>
      <c r="H4803" s="18"/>
    </row>
    <row r="4804">
      <c r="C4804" s="18"/>
      <c r="D4804" s="19"/>
      <c r="E4804" s="57"/>
      <c r="H4804" s="18"/>
    </row>
    <row r="4805">
      <c r="C4805" s="18"/>
      <c r="D4805" s="19"/>
      <c r="E4805" s="57"/>
      <c r="H4805" s="18"/>
    </row>
    <row r="4806">
      <c r="C4806" s="18"/>
      <c r="D4806" s="19"/>
      <c r="E4806" s="57"/>
      <c r="H4806" s="18"/>
    </row>
    <row r="4807">
      <c r="C4807" s="18"/>
      <c r="D4807" s="19"/>
      <c r="E4807" s="57"/>
      <c r="H4807" s="18"/>
    </row>
    <row r="4808">
      <c r="C4808" s="18"/>
      <c r="D4808" s="19"/>
      <c r="E4808" s="57"/>
      <c r="H4808" s="18"/>
    </row>
    <row r="4809">
      <c r="C4809" s="18"/>
      <c r="D4809" s="19"/>
      <c r="E4809" s="57"/>
      <c r="H4809" s="18"/>
    </row>
    <row r="4810">
      <c r="C4810" s="18"/>
      <c r="D4810" s="19"/>
      <c r="E4810" s="57"/>
      <c r="H4810" s="18"/>
    </row>
    <row r="4811">
      <c r="C4811" s="18"/>
      <c r="D4811" s="19"/>
      <c r="E4811" s="57"/>
      <c r="H4811" s="18"/>
    </row>
    <row r="4812">
      <c r="C4812" s="18"/>
      <c r="D4812" s="19"/>
      <c r="E4812" s="57"/>
      <c r="H4812" s="18"/>
    </row>
    <row r="4813">
      <c r="C4813" s="18"/>
      <c r="D4813" s="19"/>
      <c r="E4813" s="57"/>
      <c r="H4813" s="18"/>
    </row>
    <row r="4814">
      <c r="C4814" s="18"/>
      <c r="D4814" s="19"/>
      <c r="E4814" s="57"/>
      <c r="H4814" s="18"/>
    </row>
    <row r="4815">
      <c r="C4815" s="18"/>
      <c r="D4815" s="19"/>
      <c r="E4815" s="57"/>
      <c r="H4815" s="18"/>
    </row>
    <row r="4816">
      <c r="C4816" s="18"/>
      <c r="D4816" s="19"/>
      <c r="E4816" s="57"/>
      <c r="H4816" s="18"/>
    </row>
    <row r="4817">
      <c r="C4817" s="18"/>
      <c r="D4817" s="19"/>
      <c r="E4817" s="57"/>
      <c r="H4817" s="18"/>
    </row>
    <row r="4818">
      <c r="C4818" s="18"/>
      <c r="D4818" s="19"/>
      <c r="E4818" s="57"/>
      <c r="H4818" s="18"/>
    </row>
    <row r="4819">
      <c r="C4819" s="18"/>
      <c r="D4819" s="19"/>
      <c r="E4819" s="57"/>
      <c r="H4819" s="18"/>
    </row>
    <row r="4820">
      <c r="C4820" s="18"/>
      <c r="D4820" s="19"/>
      <c r="E4820" s="57"/>
      <c r="H4820" s="18"/>
    </row>
    <row r="4821">
      <c r="C4821" s="18"/>
      <c r="D4821" s="19"/>
      <c r="E4821" s="57"/>
      <c r="H4821" s="18"/>
    </row>
    <row r="4822">
      <c r="C4822" s="18"/>
      <c r="D4822" s="19"/>
      <c r="E4822" s="57"/>
      <c r="H4822" s="18"/>
    </row>
    <row r="4823">
      <c r="C4823" s="18"/>
      <c r="D4823" s="19"/>
      <c r="E4823" s="57"/>
      <c r="H4823" s="18"/>
    </row>
    <row r="4824">
      <c r="C4824" s="18"/>
      <c r="D4824" s="19"/>
      <c r="E4824" s="57"/>
      <c r="H4824" s="18"/>
    </row>
    <row r="4825">
      <c r="C4825" s="18"/>
      <c r="D4825" s="19"/>
      <c r="E4825" s="57"/>
      <c r="H4825" s="18"/>
    </row>
    <row r="4826">
      <c r="C4826" s="18"/>
      <c r="D4826" s="19"/>
      <c r="E4826" s="57"/>
      <c r="H4826" s="18"/>
    </row>
    <row r="4827">
      <c r="C4827" s="18"/>
      <c r="D4827" s="19"/>
      <c r="E4827" s="57"/>
      <c r="H4827" s="18"/>
    </row>
    <row r="4828">
      <c r="C4828" s="18"/>
      <c r="D4828" s="19"/>
      <c r="E4828" s="57"/>
      <c r="H4828" s="18"/>
    </row>
    <row r="4829">
      <c r="C4829" s="18"/>
      <c r="D4829" s="19"/>
      <c r="E4829" s="57"/>
      <c r="H4829" s="18"/>
    </row>
    <row r="4830">
      <c r="C4830" s="18"/>
      <c r="D4830" s="19"/>
      <c r="E4830" s="57"/>
      <c r="H4830" s="18"/>
    </row>
    <row r="4831">
      <c r="C4831" s="18"/>
      <c r="D4831" s="19"/>
      <c r="E4831" s="57"/>
      <c r="H4831" s="18"/>
    </row>
    <row r="4832">
      <c r="C4832" s="18"/>
      <c r="D4832" s="19"/>
      <c r="E4832" s="57"/>
      <c r="H4832" s="18"/>
    </row>
    <row r="4833">
      <c r="C4833" s="18"/>
      <c r="D4833" s="19"/>
      <c r="E4833" s="57"/>
      <c r="H4833" s="18"/>
    </row>
    <row r="4834">
      <c r="C4834" s="18"/>
      <c r="D4834" s="19"/>
      <c r="E4834" s="57"/>
      <c r="H4834" s="18"/>
    </row>
    <row r="4835">
      <c r="C4835" s="18"/>
      <c r="D4835" s="19"/>
      <c r="E4835" s="57"/>
      <c r="H4835" s="18"/>
    </row>
    <row r="4836">
      <c r="C4836" s="18"/>
      <c r="D4836" s="19"/>
      <c r="E4836" s="57"/>
      <c r="H4836" s="18"/>
    </row>
    <row r="4837">
      <c r="C4837" s="18"/>
      <c r="D4837" s="19"/>
      <c r="E4837" s="57"/>
      <c r="H4837" s="18"/>
    </row>
    <row r="4838">
      <c r="C4838" s="18"/>
      <c r="D4838" s="19"/>
      <c r="E4838" s="57"/>
      <c r="H4838" s="18"/>
    </row>
    <row r="4839">
      <c r="C4839" s="18"/>
      <c r="D4839" s="19"/>
      <c r="E4839" s="57"/>
      <c r="H4839" s="18"/>
    </row>
    <row r="4840">
      <c r="C4840" s="18"/>
      <c r="D4840" s="19"/>
      <c r="E4840" s="57"/>
      <c r="H4840" s="18"/>
    </row>
    <row r="4841">
      <c r="C4841" s="18"/>
      <c r="D4841" s="19"/>
      <c r="E4841" s="57"/>
      <c r="H4841" s="18"/>
    </row>
    <row r="4842">
      <c r="C4842" s="18"/>
      <c r="D4842" s="19"/>
      <c r="E4842" s="57"/>
      <c r="H4842" s="18"/>
    </row>
    <row r="4843">
      <c r="C4843" s="18"/>
      <c r="D4843" s="19"/>
      <c r="E4843" s="57"/>
      <c r="H4843" s="18"/>
    </row>
    <row r="4844">
      <c r="C4844" s="18"/>
      <c r="D4844" s="19"/>
      <c r="E4844" s="57"/>
      <c r="H4844" s="18"/>
    </row>
    <row r="4845">
      <c r="C4845" s="18"/>
      <c r="D4845" s="19"/>
      <c r="E4845" s="57"/>
      <c r="H4845" s="18"/>
    </row>
    <row r="4846">
      <c r="C4846" s="18"/>
      <c r="D4846" s="19"/>
      <c r="E4846" s="57"/>
      <c r="H4846" s="18"/>
    </row>
    <row r="4847">
      <c r="C4847" s="18"/>
      <c r="D4847" s="19"/>
      <c r="E4847" s="57"/>
      <c r="H4847" s="18"/>
    </row>
    <row r="4848">
      <c r="C4848" s="18"/>
      <c r="D4848" s="19"/>
      <c r="E4848" s="57"/>
      <c r="H4848" s="18"/>
    </row>
    <row r="4849">
      <c r="C4849" s="18"/>
      <c r="D4849" s="19"/>
      <c r="E4849" s="57"/>
      <c r="H4849" s="18"/>
    </row>
    <row r="4850">
      <c r="C4850" s="18"/>
      <c r="D4850" s="19"/>
      <c r="E4850" s="57"/>
      <c r="H4850" s="18"/>
    </row>
    <row r="4851">
      <c r="C4851" s="18"/>
      <c r="D4851" s="19"/>
      <c r="E4851" s="57"/>
      <c r="H4851" s="18"/>
    </row>
    <row r="4852">
      <c r="C4852" s="18"/>
      <c r="D4852" s="19"/>
      <c r="E4852" s="57"/>
      <c r="H4852" s="18"/>
    </row>
    <row r="4853">
      <c r="C4853" s="18"/>
      <c r="D4853" s="19"/>
      <c r="E4853" s="57"/>
      <c r="H4853" s="18"/>
    </row>
    <row r="4854">
      <c r="C4854" s="18"/>
      <c r="D4854" s="19"/>
      <c r="E4854" s="57"/>
      <c r="H4854" s="18"/>
    </row>
    <row r="4855">
      <c r="C4855" s="18"/>
      <c r="D4855" s="19"/>
      <c r="E4855" s="57"/>
      <c r="H4855" s="18"/>
    </row>
    <row r="4856">
      <c r="C4856" s="18"/>
      <c r="D4856" s="19"/>
      <c r="E4856" s="57"/>
      <c r="H4856" s="18"/>
    </row>
    <row r="4857">
      <c r="C4857" s="18"/>
      <c r="D4857" s="19"/>
      <c r="E4857" s="57"/>
      <c r="H4857" s="18"/>
    </row>
    <row r="4858">
      <c r="C4858" s="18"/>
      <c r="D4858" s="19"/>
      <c r="E4858" s="57"/>
      <c r="H4858" s="18"/>
    </row>
    <row r="4859">
      <c r="C4859" s="18"/>
      <c r="D4859" s="19"/>
      <c r="E4859" s="57"/>
      <c r="H4859" s="18"/>
    </row>
    <row r="4860">
      <c r="C4860" s="18"/>
      <c r="D4860" s="19"/>
      <c r="E4860" s="57"/>
      <c r="H4860" s="18"/>
    </row>
    <row r="4861">
      <c r="C4861" s="18"/>
      <c r="D4861" s="19"/>
      <c r="E4861" s="57"/>
      <c r="H4861" s="18"/>
    </row>
    <row r="4862">
      <c r="C4862" s="18"/>
      <c r="D4862" s="19"/>
      <c r="E4862" s="57"/>
      <c r="H4862" s="18"/>
    </row>
    <row r="4863">
      <c r="C4863" s="18"/>
      <c r="D4863" s="19"/>
      <c r="E4863" s="57"/>
      <c r="H4863" s="18"/>
    </row>
    <row r="4864">
      <c r="C4864" s="18"/>
      <c r="D4864" s="19"/>
      <c r="E4864" s="57"/>
      <c r="H4864" s="18"/>
    </row>
    <row r="4865">
      <c r="C4865" s="18"/>
      <c r="D4865" s="19"/>
      <c r="E4865" s="57"/>
      <c r="H4865" s="18"/>
    </row>
    <row r="4866">
      <c r="C4866" s="18"/>
      <c r="D4866" s="19"/>
      <c r="E4866" s="57"/>
      <c r="H4866" s="18"/>
    </row>
    <row r="4867">
      <c r="C4867" s="18"/>
      <c r="D4867" s="19"/>
      <c r="E4867" s="57"/>
      <c r="H4867" s="18"/>
    </row>
    <row r="4868">
      <c r="C4868" s="18"/>
      <c r="D4868" s="19"/>
      <c r="E4868" s="57"/>
      <c r="H4868" s="18"/>
    </row>
    <row r="4869">
      <c r="C4869" s="18"/>
      <c r="D4869" s="19"/>
      <c r="E4869" s="57"/>
      <c r="H4869" s="18"/>
    </row>
    <row r="4870">
      <c r="C4870" s="18"/>
      <c r="D4870" s="19"/>
      <c r="E4870" s="57"/>
      <c r="H4870" s="18"/>
    </row>
    <row r="4871">
      <c r="C4871" s="18"/>
      <c r="D4871" s="19"/>
      <c r="E4871" s="57"/>
      <c r="H4871" s="18"/>
    </row>
    <row r="4872">
      <c r="C4872" s="18"/>
      <c r="D4872" s="19"/>
      <c r="E4872" s="57"/>
      <c r="H4872" s="18"/>
    </row>
    <row r="4873">
      <c r="C4873" s="18"/>
      <c r="D4873" s="19"/>
      <c r="E4873" s="57"/>
      <c r="H4873" s="18"/>
    </row>
    <row r="4874">
      <c r="C4874" s="18"/>
      <c r="D4874" s="19"/>
      <c r="E4874" s="57"/>
      <c r="H4874" s="18"/>
    </row>
    <row r="4875">
      <c r="C4875" s="18"/>
      <c r="D4875" s="19"/>
      <c r="E4875" s="57"/>
      <c r="H4875" s="18"/>
    </row>
    <row r="4876">
      <c r="C4876" s="18"/>
      <c r="D4876" s="19"/>
      <c r="E4876" s="57"/>
      <c r="H4876" s="18"/>
    </row>
    <row r="4877">
      <c r="C4877" s="18"/>
      <c r="D4877" s="19"/>
      <c r="E4877" s="57"/>
      <c r="H4877" s="18"/>
    </row>
    <row r="4878">
      <c r="C4878" s="18"/>
      <c r="D4878" s="19"/>
      <c r="E4878" s="57"/>
      <c r="H4878" s="18"/>
    </row>
    <row r="4879">
      <c r="C4879" s="18"/>
      <c r="D4879" s="19"/>
      <c r="E4879" s="57"/>
      <c r="H4879" s="18"/>
    </row>
    <row r="4880">
      <c r="C4880" s="18"/>
      <c r="D4880" s="19"/>
      <c r="E4880" s="57"/>
      <c r="H4880" s="18"/>
    </row>
    <row r="4881">
      <c r="C4881" s="18"/>
      <c r="D4881" s="19"/>
      <c r="E4881" s="57"/>
      <c r="H4881" s="18"/>
    </row>
    <row r="4882">
      <c r="C4882" s="18"/>
      <c r="D4882" s="19"/>
      <c r="E4882" s="57"/>
      <c r="H4882" s="18"/>
    </row>
    <row r="4883">
      <c r="C4883" s="18"/>
      <c r="D4883" s="19"/>
      <c r="E4883" s="57"/>
      <c r="H4883" s="18"/>
    </row>
    <row r="4884">
      <c r="C4884" s="18"/>
      <c r="D4884" s="19"/>
      <c r="E4884" s="57"/>
      <c r="H4884" s="18"/>
    </row>
    <row r="4885">
      <c r="C4885" s="18"/>
      <c r="D4885" s="19"/>
      <c r="E4885" s="57"/>
      <c r="H4885" s="18"/>
    </row>
    <row r="4886">
      <c r="C4886" s="18"/>
      <c r="D4886" s="19"/>
      <c r="E4886" s="57"/>
      <c r="H4886" s="18"/>
    </row>
    <row r="4887">
      <c r="C4887" s="18"/>
      <c r="D4887" s="19"/>
      <c r="E4887" s="57"/>
      <c r="H4887" s="18"/>
    </row>
    <row r="4888">
      <c r="C4888" s="18"/>
      <c r="D4888" s="19"/>
      <c r="E4888" s="57"/>
      <c r="H4888" s="18"/>
    </row>
    <row r="4889">
      <c r="C4889" s="18"/>
      <c r="D4889" s="19"/>
      <c r="E4889" s="57"/>
      <c r="H4889" s="18"/>
    </row>
    <row r="4890">
      <c r="C4890" s="18"/>
      <c r="D4890" s="19"/>
      <c r="E4890" s="57"/>
      <c r="H4890" s="18"/>
    </row>
    <row r="4891">
      <c r="C4891" s="18"/>
      <c r="D4891" s="19"/>
      <c r="E4891" s="57"/>
      <c r="H4891" s="18"/>
    </row>
    <row r="4892">
      <c r="C4892" s="18"/>
      <c r="D4892" s="19"/>
      <c r="E4892" s="57"/>
      <c r="H4892" s="18"/>
    </row>
    <row r="4893">
      <c r="C4893" s="18"/>
      <c r="D4893" s="19"/>
      <c r="E4893" s="57"/>
      <c r="H4893" s="18"/>
    </row>
    <row r="4894">
      <c r="C4894" s="18"/>
      <c r="D4894" s="19"/>
      <c r="E4894" s="57"/>
      <c r="H4894" s="18"/>
    </row>
    <row r="4895">
      <c r="C4895" s="18"/>
      <c r="D4895" s="19"/>
      <c r="E4895" s="57"/>
      <c r="H4895" s="18"/>
    </row>
    <row r="4896">
      <c r="C4896" s="18"/>
      <c r="D4896" s="19"/>
      <c r="E4896" s="57"/>
      <c r="H4896" s="18"/>
    </row>
    <row r="4897">
      <c r="C4897" s="18"/>
      <c r="D4897" s="19"/>
      <c r="E4897" s="57"/>
      <c r="H4897" s="18"/>
    </row>
    <row r="4898">
      <c r="C4898" s="18"/>
      <c r="D4898" s="19"/>
      <c r="E4898" s="57"/>
      <c r="H4898" s="18"/>
    </row>
    <row r="4899">
      <c r="C4899" s="18"/>
      <c r="D4899" s="19"/>
      <c r="E4899" s="57"/>
      <c r="H4899" s="18"/>
    </row>
    <row r="4900">
      <c r="C4900" s="18"/>
      <c r="D4900" s="19"/>
      <c r="E4900" s="57"/>
      <c r="H4900" s="18"/>
    </row>
    <row r="4901">
      <c r="C4901" s="18"/>
      <c r="D4901" s="19"/>
      <c r="E4901" s="57"/>
      <c r="H4901" s="18"/>
    </row>
    <row r="4902">
      <c r="C4902" s="18"/>
      <c r="D4902" s="19"/>
      <c r="E4902" s="57"/>
      <c r="H4902" s="18"/>
    </row>
    <row r="4903">
      <c r="C4903" s="18"/>
      <c r="D4903" s="19"/>
      <c r="E4903" s="57"/>
      <c r="H4903" s="18"/>
    </row>
    <row r="4904">
      <c r="C4904" s="18"/>
      <c r="D4904" s="19"/>
      <c r="E4904" s="57"/>
      <c r="H4904" s="18"/>
    </row>
    <row r="4905">
      <c r="C4905" s="18"/>
      <c r="D4905" s="19"/>
      <c r="E4905" s="57"/>
      <c r="H4905" s="18"/>
    </row>
    <row r="4906">
      <c r="C4906" s="18"/>
      <c r="D4906" s="19"/>
      <c r="E4906" s="57"/>
      <c r="H4906" s="18"/>
    </row>
    <row r="4907">
      <c r="C4907" s="18"/>
      <c r="D4907" s="19"/>
      <c r="E4907" s="57"/>
      <c r="H4907" s="18"/>
    </row>
    <row r="4908">
      <c r="C4908" s="18"/>
      <c r="D4908" s="19"/>
      <c r="E4908" s="57"/>
      <c r="H4908" s="18"/>
    </row>
    <row r="4909">
      <c r="C4909" s="18"/>
      <c r="D4909" s="19"/>
      <c r="E4909" s="57"/>
      <c r="H4909" s="18"/>
    </row>
    <row r="4910">
      <c r="C4910" s="18"/>
      <c r="D4910" s="19"/>
      <c r="E4910" s="57"/>
      <c r="H4910" s="18"/>
    </row>
    <row r="4911">
      <c r="C4911" s="18"/>
      <c r="D4911" s="19"/>
      <c r="E4911" s="57"/>
      <c r="H4911" s="18"/>
    </row>
    <row r="4912">
      <c r="C4912" s="18"/>
      <c r="D4912" s="19"/>
      <c r="E4912" s="57"/>
      <c r="H4912" s="18"/>
    </row>
    <row r="4913">
      <c r="C4913" s="18"/>
      <c r="D4913" s="19"/>
      <c r="E4913" s="57"/>
      <c r="H4913" s="18"/>
    </row>
    <row r="4914">
      <c r="C4914" s="18"/>
      <c r="D4914" s="19"/>
      <c r="E4914" s="57"/>
      <c r="H4914" s="18"/>
    </row>
    <row r="4915">
      <c r="C4915" s="18"/>
      <c r="D4915" s="19"/>
      <c r="E4915" s="57"/>
      <c r="H4915" s="18"/>
    </row>
    <row r="4916">
      <c r="C4916" s="18"/>
      <c r="D4916" s="19"/>
      <c r="E4916" s="57"/>
      <c r="H4916" s="18"/>
    </row>
    <row r="4917">
      <c r="C4917" s="18"/>
      <c r="D4917" s="19"/>
      <c r="E4917" s="57"/>
      <c r="H4917" s="18"/>
    </row>
    <row r="4918">
      <c r="C4918" s="18"/>
      <c r="D4918" s="19"/>
      <c r="E4918" s="57"/>
      <c r="H4918" s="18"/>
    </row>
    <row r="4919">
      <c r="C4919" s="18"/>
      <c r="D4919" s="19"/>
      <c r="E4919" s="57"/>
      <c r="H4919" s="18"/>
    </row>
    <row r="4920">
      <c r="C4920" s="18"/>
      <c r="D4920" s="19"/>
      <c r="E4920" s="57"/>
      <c r="H4920" s="18"/>
    </row>
    <row r="4921">
      <c r="C4921" s="18"/>
      <c r="D4921" s="19"/>
      <c r="E4921" s="57"/>
      <c r="H4921" s="18"/>
    </row>
    <row r="4922">
      <c r="C4922" s="18"/>
      <c r="D4922" s="19"/>
      <c r="E4922" s="57"/>
      <c r="H4922" s="18"/>
    </row>
    <row r="4923">
      <c r="C4923" s="18"/>
      <c r="D4923" s="19"/>
      <c r="E4923" s="57"/>
      <c r="H4923" s="18"/>
    </row>
    <row r="4924">
      <c r="C4924" s="18"/>
      <c r="D4924" s="19"/>
      <c r="E4924" s="57"/>
      <c r="H4924" s="18"/>
    </row>
    <row r="4925">
      <c r="C4925" s="18"/>
      <c r="D4925" s="19"/>
      <c r="E4925" s="57"/>
      <c r="H4925" s="18"/>
    </row>
    <row r="4926">
      <c r="C4926" s="18"/>
      <c r="D4926" s="19"/>
      <c r="E4926" s="57"/>
      <c r="H4926" s="18"/>
    </row>
    <row r="4927">
      <c r="C4927" s="18"/>
      <c r="D4927" s="19"/>
      <c r="E4927" s="57"/>
      <c r="H4927" s="18"/>
    </row>
    <row r="4928">
      <c r="C4928" s="18"/>
      <c r="D4928" s="19"/>
      <c r="E4928" s="57"/>
      <c r="H4928" s="18"/>
    </row>
    <row r="4929">
      <c r="C4929" s="18"/>
      <c r="D4929" s="19"/>
      <c r="E4929" s="57"/>
      <c r="H4929" s="18"/>
    </row>
    <row r="4930">
      <c r="C4930" s="18"/>
      <c r="D4930" s="19"/>
      <c r="E4930" s="57"/>
      <c r="H4930" s="18"/>
    </row>
    <row r="4931">
      <c r="C4931" s="18"/>
      <c r="D4931" s="19"/>
      <c r="E4931" s="57"/>
      <c r="H4931" s="18"/>
    </row>
    <row r="4932">
      <c r="C4932" s="18"/>
      <c r="D4932" s="19"/>
      <c r="E4932" s="57"/>
      <c r="H4932" s="18"/>
    </row>
    <row r="4933">
      <c r="C4933" s="18"/>
      <c r="D4933" s="19"/>
      <c r="E4933" s="57"/>
      <c r="H4933" s="18"/>
    </row>
    <row r="4934">
      <c r="C4934" s="18"/>
      <c r="D4934" s="19"/>
      <c r="E4934" s="57"/>
      <c r="H4934" s="18"/>
    </row>
    <row r="4935">
      <c r="C4935" s="18"/>
      <c r="D4935" s="19"/>
      <c r="E4935" s="57"/>
      <c r="H4935" s="18"/>
    </row>
    <row r="4936">
      <c r="C4936" s="18"/>
      <c r="D4936" s="19"/>
      <c r="E4936" s="57"/>
      <c r="H4936" s="18"/>
    </row>
    <row r="4937">
      <c r="C4937" s="18"/>
      <c r="D4937" s="19"/>
      <c r="E4937" s="57"/>
      <c r="H4937" s="18"/>
    </row>
    <row r="4938">
      <c r="C4938" s="18"/>
      <c r="D4938" s="19"/>
      <c r="E4938" s="57"/>
      <c r="H4938" s="18"/>
    </row>
    <row r="4939">
      <c r="C4939" s="18"/>
      <c r="D4939" s="19"/>
      <c r="E4939" s="57"/>
      <c r="H4939" s="18"/>
    </row>
    <row r="4940">
      <c r="C4940" s="18"/>
      <c r="D4940" s="19"/>
      <c r="E4940" s="57"/>
      <c r="H4940" s="18"/>
    </row>
    <row r="4941">
      <c r="C4941" s="18"/>
      <c r="D4941" s="19"/>
      <c r="E4941" s="57"/>
      <c r="H4941" s="18"/>
    </row>
    <row r="4942">
      <c r="C4942" s="18"/>
      <c r="D4942" s="19"/>
      <c r="E4942" s="57"/>
      <c r="H4942" s="18"/>
    </row>
    <row r="4943">
      <c r="C4943" s="18"/>
      <c r="D4943" s="19"/>
      <c r="E4943" s="57"/>
      <c r="H4943" s="18"/>
    </row>
    <row r="4944">
      <c r="C4944" s="18"/>
      <c r="D4944" s="19"/>
      <c r="E4944" s="57"/>
      <c r="H4944" s="18"/>
    </row>
    <row r="4945">
      <c r="C4945" s="18"/>
      <c r="D4945" s="19"/>
      <c r="E4945" s="57"/>
      <c r="H4945" s="18"/>
    </row>
    <row r="4946">
      <c r="C4946" s="18"/>
      <c r="D4946" s="19"/>
      <c r="E4946" s="57"/>
      <c r="H4946" s="18"/>
    </row>
    <row r="4947">
      <c r="C4947" s="18"/>
      <c r="D4947" s="19"/>
      <c r="E4947" s="57"/>
      <c r="H4947" s="18"/>
    </row>
    <row r="4948">
      <c r="C4948" s="18"/>
      <c r="D4948" s="19"/>
      <c r="E4948" s="57"/>
      <c r="H4948" s="18"/>
    </row>
    <row r="4949">
      <c r="C4949" s="18"/>
      <c r="D4949" s="19"/>
      <c r="E4949" s="57"/>
      <c r="H4949" s="18"/>
    </row>
    <row r="4950">
      <c r="C4950" s="18"/>
      <c r="D4950" s="19"/>
      <c r="E4950" s="57"/>
      <c r="H4950" s="18"/>
    </row>
    <row r="4951">
      <c r="C4951" s="18"/>
      <c r="D4951" s="19"/>
      <c r="E4951" s="57"/>
      <c r="H4951" s="18"/>
    </row>
    <row r="4952">
      <c r="C4952" s="18"/>
      <c r="D4952" s="19"/>
      <c r="E4952" s="57"/>
      <c r="H4952" s="18"/>
    </row>
    <row r="4953">
      <c r="C4953" s="18"/>
      <c r="D4953" s="19"/>
      <c r="E4953" s="57"/>
      <c r="H4953" s="18"/>
    </row>
    <row r="4954">
      <c r="C4954" s="18"/>
      <c r="D4954" s="19"/>
      <c r="E4954" s="57"/>
      <c r="H4954" s="18"/>
    </row>
    <row r="4955">
      <c r="C4955" s="18"/>
      <c r="D4955" s="19"/>
      <c r="E4955" s="57"/>
      <c r="H4955" s="18"/>
    </row>
    <row r="4956">
      <c r="C4956" s="18"/>
      <c r="D4956" s="19"/>
      <c r="E4956" s="57"/>
      <c r="H4956" s="18"/>
    </row>
    <row r="4957">
      <c r="C4957" s="18"/>
      <c r="D4957" s="19"/>
      <c r="E4957" s="57"/>
      <c r="H4957" s="18"/>
    </row>
    <row r="4958">
      <c r="C4958" s="18"/>
      <c r="D4958" s="19"/>
      <c r="E4958" s="57"/>
      <c r="H4958" s="18"/>
    </row>
    <row r="4959">
      <c r="C4959" s="18"/>
      <c r="D4959" s="19"/>
      <c r="E4959" s="57"/>
      <c r="H4959" s="18"/>
    </row>
    <row r="4960">
      <c r="C4960" s="18"/>
      <c r="D4960" s="19"/>
      <c r="E4960" s="57"/>
      <c r="H4960" s="18"/>
    </row>
    <row r="4961">
      <c r="C4961" s="18"/>
      <c r="D4961" s="19"/>
      <c r="E4961" s="57"/>
      <c r="H4961" s="18"/>
    </row>
    <row r="4962">
      <c r="C4962" s="18"/>
      <c r="D4962" s="19"/>
      <c r="E4962" s="57"/>
      <c r="H4962" s="18"/>
    </row>
    <row r="4963">
      <c r="C4963" s="18"/>
      <c r="D4963" s="19"/>
      <c r="E4963" s="57"/>
      <c r="H4963" s="18"/>
    </row>
    <row r="4964">
      <c r="C4964" s="18"/>
      <c r="D4964" s="19"/>
      <c r="E4964" s="57"/>
      <c r="H4964" s="18"/>
    </row>
    <row r="4965">
      <c r="C4965" s="18"/>
      <c r="D4965" s="19"/>
      <c r="E4965" s="57"/>
      <c r="H4965" s="18"/>
    </row>
    <row r="4966">
      <c r="C4966" s="18"/>
      <c r="D4966" s="19"/>
      <c r="E4966" s="57"/>
      <c r="H4966" s="18"/>
    </row>
    <row r="4967">
      <c r="C4967" s="18"/>
      <c r="D4967" s="19"/>
      <c r="E4967" s="57"/>
      <c r="H4967" s="18"/>
    </row>
    <row r="4968">
      <c r="C4968" s="18"/>
      <c r="D4968" s="19"/>
      <c r="E4968" s="57"/>
      <c r="H4968" s="18"/>
    </row>
    <row r="4969">
      <c r="C4969" s="18"/>
      <c r="D4969" s="19"/>
      <c r="E4969" s="57"/>
      <c r="H4969" s="18"/>
    </row>
    <row r="4970">
      <c r="C4970" s="18"/>
      <c r="D4970" s="19"/>
      <c r="E4970" s="57"/>
      <c r="H4970" s="18"/>
    </row>
    <row r="4971">
      <c r="C4971" s="18"/>
      <c r="D4971" s="19"/>
      <c r="E4971" s="57"/>
      <c r="H4971" s="18"/>
    </row>
    <row r="4972">
      <c r="C4972" s="18"/>
      <c r="D4972" s="19"/>
      <c r="E4972" s="57"/>
      <c r="H4972" s="18"/>
    </row>
    <row r="4973">
      <c r="C4973" s="18"/>
      <c r="D4973" s="19"/>
      <c r="E4973" s="57"/>
      <c r="H4973" s="18"/>
    </row>
    <row r="4974">
      <c r="C4974" s="18"/>
      <c r="D4974" s="19"/>
      <c r="E4974" s="57"/>
      <c r="H4974" s="18"/>
    </row>
    <row r="4975">
      <c r="C4975" s="18"/>
      <c r="D4975" s="19"/>
      <c r="E4975" s="57"/>
      <c r="H4975" s="18"/>
    </row>
    <row r="4976">
      <c r="C4976" s="18"/>
      <c r="D4976" s="19"/>
      <c r="E4976" s="57"/>
      <c r="H4976" s="18"/>
    </row>
    <row r="4977">
      <c r="C4977" s="18"/>
      <c r="D4977" s="19"/>
      <c r="E4977" s="57"/>
      <c r="H4977" s="18"/>
    </row>
    <row r="4978">
      <c r="C4978" s="18"/>
      <c r="D4978" s="19"/>
      <c r="E4978" s="57"/>
      <c r="H4978" s="18"/>
    </row>
    <row r="4979">
      <c r="C4979" s="18"/>
      <c r="D4979" s="19"/>
      <c r="E4979" s="57"/>
      <c r="H4979" s="18"/>
    </row>
    <row r="4980">
      <c r="C4980" s="18"/>
      <c r="D4980" s="19"/>
      <c r="E4980" s="57"/>
      <c r="H4980" s="18"/>
    </row>
    <row r="4981">
      <c r="C4981" s="18"/>
      <c r="D4981" s="19"/>
      <c r="E4981" s="57"/>
      <c r="H4981" s="18"/>
    </row>
    <row r="4982">
      <c r="C4982" s="18"/>
      <c r="D4982" s="19"/>
      <c r="E4982" s="57"/>
      <c r="H4982" s="18"/>
    </row>
    <row r="4983">
      <c r="C4983" s="18"/>
      <c r="D4983" s="19"/>
      <c r="E4983" s="57"/>
      <c r="H4983" s="18"/>
    </row>
    <row r="4984">
      <c r="C4984" s="18"/>
      <c r="D4984" s="19"/>
      <c r="E4984" s="57"/>
      <c r="H4984" s="18"/>
    </row>
    <row r="4985">
      <c r="C4985" s="18"/>
      <c r="D4985" s="19"/>
      <c r="E4985" s="57"/>
      <c r="H4985" s="18"/>
    </row>
    <row r="4986">
      <c r="C4986" s="18"/>
      <c r="D4986" s="19"/>
      <c r="E4986" s="57"/>
      <c r="H4986" s="18"/>
    </row>
    <row r="4987">
      <c r="C4987" s="18"/>
      <c r="D4987" s="19"/>
      <c r="E4987" s="57"/>
      <c r="H4987" s="18"/>
    </row>
    <row r="4988">
      <c r="C4988" s="18"/>
      <c r="D4988" s="19"/>
      <c r="E4988" s="57"/>
      <c r="H4988" s="18"/>
    </row>
    <row r="4989">
      <c r="C4989" s="18"/>
      <c r="D4989" s="19"/>
      <c r="E4989" s="57"/>
      <c r="H4989" s="18"/>
    </row>
    <row r="4990">
      <c r="C4990" s="18"/>
      <c r="D4990" s="19"/>
      <c r="E4990" s="57"/>
      <c r="H4990" s="18"/>
    </row>
    <row r="4991">
      <c r="C4991" s="18"/>
      <c r="D4991" s="19"/>
      <c r="E4991" s="57"/>
      <c r="H4991" s="18"/>
    </row>
    <row r="4992">
      <c r="C4992" s="18"/>
      <c r="D4992" s="19"/>
      <c r="E4992" s="57"/>
      <c r="H4992" s="18"/>
    </row>
    <row r="4993">
      <c r="C4993" s="18"/>
      <c r="D4993" s="19"/>
      <c r="E4993" s="57"/>
      <c r="H4993" s="18"/>
    </row>
    <row r="4994">
      <c r="C4994" s="18"/>
      <c r="D4994" s="19"/>
      <c r="E4994" s="57"/>
      <c r="H4994" s="18"/>
    </row>
    <row r="4995">
      <c r="C4995" s="18"/>
      <c r="D4995" s="19"/>
      <c r="E4995" s="57"/>
      <c r="H4995" s="18"/>
    </row>
    <row r="4996">
      <c r="C4996" s="18"/>
      <c r="D4996" s="19"/>
      <c r="E4996" s="57"/>
      <c r="H4996" s="18"/>
    </row>
    <row r="4997">
      <c r="C4997" s="18"/>
      <c r="D4997" s="19"/>
      <c r="E4997" s="57"/>
      <c r="H4997" s="18"/>
    </row>
    <row r="4998">
      <c r="C4998" s="18"/>
      <c r="D4998" s="19"/>
      <c r="E4998" s="57"/>
      <c r="H4998" s="18"/>
    </row>
    <row r="4999">
      <c r="C4999" s="18"/>
      <c r="D4999" s="19"/>
      <c r="E4999" s="57"/>
      <c r="H4999" s="18"/>
    </row>
    <row r="5000">
      <c r="C5000" s="18"/>
      <c r="D5000" s="19"/>
      <c r="E5000" s="57"/>
      <c r="H5000" s="18"/>
    </row>
    <row r="5001">
      <c r="C5001" s="18"/>
      <c r="D5001" s="19"/>
      <c r="E5001" s="57"/>
      <c r="H5001" s="18"/>
    </row>
    <row r="5002">
      <c r="C5002" s="18"/>
      <c r="D5002" s="19"/>
      <c r="E5002" s="57"/>
      <c r="H5002" s="18"/>
    </row>
    <row r="5003">
      <c r="C5003" s="18"/>
      <c r="D5003" s="19"/>
      <c r="E5003" s="57"/>
      <c r="H5003" s="18"/>
    </row>
    <row r="5004">
      <c r="C5004" s="18"/>
      <c r="D5004" s="19"/>
      <c r="E5004" s="57"/>
      <c r="H5004" s="18"/>
    </row>
    <row r="5005">
      <c r="C5005" s="18"/>
      <c r="D5005" s="19"/>
      <c r="E5005" s="57"/>
      <c r="H5005" s="18"/>
    </row>
    <row r="5006">
      <c r="C5006" s="18"/>
      <c r="D5006" s="19"/>
      <c r="E5006" s="57"/>
      <c r="H5006" s="18"/>
    </row>
    <row r="5007">
      <c r="C5007" s="18"/>
      <c r="D5007" s="19"/>
      <c r="E5007" s="57"/>
      <c r="H5007" s="18"/>
    </row>
    <row r="5008">
      <c r="C5008" s="18"/>
      <c r="D5008" s="19"/>
      <c r="E5008" s="57"/>
      <c r="H5008" s="18"/>
    </row>
    <row r="5009">
      <c r="C5009" s="18"/>
      <c r="D5009" s="19"/>
      <c r="E5009" s="57"/>
      <c r="H5009" s="18"/>
    </row>
    <row r="5010">
      <c r="C5010" s="18"/>
      <c r="D5010" s="19"/>
      <c r="E5010" s="57"/>
      <c r="H5010" s="18"/>
    </row>
    <row r="5011">
      <c r="C5011" s="18"/>
      <c r="D5011" s="19"/>
      <c r="E5011" s="57"/>
      <c r="H5011" s="18"/>
    </row>
    <row r="5012">
      <c r="C5012" s="18"/>
      <c r="D5012" s="19"/>
      <c r="E5012" s="57"/>
      <c r="H5012" s="18"/>
    </row>
    <row r="5013">
      <c r="C5013" s="18"/>
      <c r="D5013" s="19"/>
      <c r="E5013" s="57"/>
      <c r="H5013" s="18"/>
    </row>
    <row r="5014">
      <c r="C5014" s="18"/>
      <c r="D5014" s="19"/>
      <c r="E5014" s="57"/>
      <c r="H5014" s="18"/>
    </row>
    <row r="5015">
      <c r="C5015" s="18"/>
      <c r="D5015" s="19"/>
      <c r="E5015" s="57"/>
      <c r="H5015" s="18"/>
    </row>
    <row r="5016">
      <c r="C5016" s="18"/>
      <c r="D5016" s="19"/>
      <c r="E5016" s="57"/>
      <c r="H5016" s="18"/>
    </row>
    <row r="5017">
      <c r="C5017" s="18"/>
      <c r="D5017" s="19"/>
      <c r="E5017" s="57"/>
      <c r="H5017" s="18"/>
    </row>
    <row r="5018">
      <c r="C5018" s="18"/>
      <c r="D5018" s="19"/>
      <c r="E5018" s="57"/>
      <c r="H5018" s="18"/>
    </row>
    <row r="5019">
      <c r="C5019" s="18"/>
      <c r="D5019" s="19"/>
      <c r="E5019" s="57"/>
      <c r="H5019" s="18"/>
    </row>
    <row r="5020">
      <c r="C5020" s="18"/>
      <c r="D5020" s="19"/>
      <c r="E5020" s="57"/>
      <c r="H5020" s="18"/>
    </row>
    <row r="5021">
      <c r="C5021" s="18"/>
      <c r="D5021" s="19"/>
      <c r="E5021" s="57"/>
      <c r="H5021" s="18"/>
    </row>
    <row r="5022">
      <c r="C5022" s="18"/>
      <c r="D5022" s="19"/>
      <c r="E5022" s="57"/>
      <c r="H5022" s="18"/>
    </row>
    <row r="5023">
      <c r="C5023" s="18"/>
      <c r="D5023" s="19"/>
      <c r="E5023" s="57"/>
      <c r="H5023" s="18"/>
    </row>
    <row r="5024">
      <c r="C5024" s="18"/>
      <c r="D5024" s="19"/>
      <c r="E5024" s="57"/>
      <c r="H5024" s="18"/>
    </row>
    <row r="5025">
      <c r="C5025" s="18"/>
      <c r="D5025" s="19"/>
      <c r="E5025" s="57"/>
      <c r="H5025" s="18"/>
    </row>
    <row r="5026">
      <c r="C5026" s="18"/>
      <c r="D5026" s="19"/>
      <c r="E5026" s="57"/>
      <c r="H5026" s="18"/>
    </row>
    <row r="5027">
      <c r="C5027" s="18"/>
      <c r="D5027" s="19"/>
      <c r="E5027" s="57"/>
      <c r="H5027" s="18"/>
    </row>
    <row r="5028">
      <c r="C5028" s="18"/>
      <c r="D5028" s="19"/>
      <c r="E5028" s="57"/>
      <c r="H5028" s="18"/>
    </row>
    <row r="5029">
      <c r="C5029" s="18"/>
      <c r="D5029" s="19"/>
      <c r="E5029" s="57"/>
      <c r="H5029" s="18"/>
    </row>
    <row r="5030">
      <c r="C5030" s="18"/>
      <c r="D5030" s="19"/>
      <c r="E5030" s="57"/>
      <c r="H5030" s="18"/>
    </row>
    <row r="5031">
      <c r="C5031" s="18"/>
      <c r="D5031" s="19"/>
      <c r="E5031" s="57"/>
      <c r="H5031" s="18"/>
    </row>
    <row r="5032">
      <c r="C5032" s="18"/>
      <c r="D5032" s="19"/>
      <c r="E5032" s="57"/>
      <c r="H5032" s="18"/>
    </row>
    <row r="5033">
      <c r="C5033" s="18"/>
      <c r="D5033" s="19"/>
      <c r="E5033" s="57"/>
      <c r="H5033" s="18"/>
    </row>
    <row r="5034">
      <c r="C5034" s="18"/>
      <c r="D5034" s="19"/>
      <c r="E5034" s="57"/>
      <c r="H5034" s="18"/>
    </row>
    <row r="5035">
      <c r="C5035" s="18"/>
      <c r="D5035" s="19"/>
      <c r="E5035" s="57"/>
      <c r="H5035" s="18"/>
    </row>
    <row r="5036">
      <c r="C5036" s="18"/>
      <c r="D5036" s="19"/>
      <c r="E5036" s="57"/>
      <c r="H5036" s="18"/>
    </row>
    <row r="5037">
      <c r="C5037" s="18"/>
      <c r="D5037" s="19"/>
      <c r="E5037" s="57"/>
      <c r="H5037" s="18"/>
    </row>
    <row r="5038">
      <c r="C5038" s="18"/>
      <c r="D5038" s="19"/>
      <c r="E5038" s="57"/>
      <c r="H5038" s="18"/>
    </row>
    <row r="5039">
      <c r="C5039" s="18"/>
      <c r="D5039" s="19"/>
      <c r="E5039" s="57"/>
      <c r="H5039" s="18"/>
    </row>
    <row r="5040">
      <c r="C5040" s="18"/>
      <c r="D5040" s="19"/>
      <c r="E5040" s="57"/>
      <c r="H5040" s="18"/>
    </row>
    <row r="5041">
      <c r="C5041" s="18"/>
      <c r="D5041" s="19"/>
      <c r="E5041" s="57"/>
      <c r="H5041" s="18"/>
    </row>
    <row r="5042">
      <c r="C5042" s="18"/>
      <c r="D5042" s="19"/>
      <c r="E5042" s="57"/>
      <c r="H5042" s="18"/>
    </row>
    <row r="5043">
      <c r="C5043" s="18"/>
      <c r="D5043" s="19"/>
      <c r="E5043" s="57"/>
      <c r="H5043" s="18"/>
    </row>
    <row r="5044">
      <c r="C5044" s="18"/>
      <c r="D5044" s="19"/>
      <c r="E5044" s="57"/>
      <c r="H5044" s="18"/>
    </row>
    <row r="5045">
      <c r="C5045" s="18"/>
      <c r="D5045" s="19"/>
      <c r="E5045" s="57"/>
      <c r="H5045" s="18"/>
    </row>
    <row r="5046">
      <c r="C5046" s="18"/>
      <c r="D5046" s="19"/>
      <c r="E5046" s="57"/>
      <c r="H5046" s="18"/>
    </row>
    <row r="5047">
      <c r="C5047" s="18"/>
      <c r="D5047" s="19"/>
      <c r="E5047" s="57"/>
      <c r="H5047" s="18"/>
    </row>
    <row r="5048">
      <c r="C5048" s="18"/>
      <c r="D5048" s="19"/>
      <c r="E5048" s="57"/>
      <c r="H5048" s="18"/>
    </row>
    <row r="5049">
      <c r="C5049" s="18"/>
      <c r="D5049" s="19"/>
      <c r="E5049" s="57"/>
      <c r="H5049" s="18"/>
    </row>
    <row r="5050">
      <c r="C5050" s="18"/>
      <c r="D5050" s="19"/>
      <c r="E5050" s="57"/>
      <c r="H5050" s="18"/>
    </row>
    <row r="5051">
      <c r="C5051" s="18"/>
      <c r="D5051" s="19"/>
      <c r="E5051" s="57"/>
      <c r="H5051" s="18"/>
    </row>
    <row r="5052">
      <c r="C5052" s="18"/>
      <c r="D5052" s="19"/>
      <c r="E5052" s="57"/>
      <c r="H5052" s="18"/>
    </row>
    <row r="5053">
      <c r="C5053" s="18"/>
      <c r="D5053" s="19"/>
      <c r="E5053" s="57"/>
      <c r="H5053" s="18"/>
    </row>
    <row r="5054">
      <c r="C5054" s="18"/>
      <c r="D5054" s="19"/>
      <c r="E5054" s="57"/>
      <c r="H5054" s="18"/>
    </row>
    <row r="5055">
      <c r="C5055" s="18"/>
      <c r="D5055" s="19"/>
      <c r="E5055" s="57"/>
      <c r="H5055" s="18"/>
    </row>
    <row r="5056">
      <c r="C5056" s="18"/>
      <c r="D5056" s="19"/>
      <c r="E5056" s="57"/>
      <c r="H5056" s="18"/>
    </row>
    <row r="5057">
      <c r="C5057" s="18"/>
      <c r="D5057" s="19"/>
      <c r="E5057" s="57"/>
      <c r="H5057" s="18"/>
    </row>
    <row r="5058">
      <c r="C5058" s="18"/>
      <c r="D5058" s="19"/>
      <c r="E5058" s="57"/>
      <c r="H5058" s="18"/>
    </row>
    <row r="5059">
      <c r="C5059" s="18"/>
      <c r="D5059" s="19"/>
      <c r="E5059" s="57"/>
      <c r="H5059" s="18"/>
    </row>
    <row r="5060">
      <c r="C5060" s="18"/>
      <c r="D5060" s="19"/>
      <c r="E5060" s="57"/>
      <c r="H5060" s="18"/>
    </row>
    <row r="5061">
      <c r="C5061" s="18"/>
      <c r="D5061" s="19"/>
      <c r="E5061" s="57"/>
      <c r="H5061" s="18"/>
    </row>
    <row r="5062">
      <c r="C5062" s="18"/>
      <c r="D5062" s="19"/>
      <c r="E5062" s="57"/>
      <c r="H5062" s="18"/>
    </row>
    <row r="5063">
      <c r="C5063" s="18"/>
      <c r="D5063" s="19"/>
      <c r="E5063" s="57"/>
      <c r="H5063" s="18"/>
    </row>
    <row r="5064">
      <c r="C5064" s="18"/>
      <c r="D5064" s="19"/>
      <c r="E5064" s="57"/>
      <c r="H5064" s="18"/>
    </row>
    <row r="5065">
      <c r="C5065" s="18"/>
      <c r="D5065" s="19"/>
      <c r="E5065" s="57"/>
      <c r="H5065" s="18"/>
    </row>
    <row r="5066">
      <c r="C5066" s="18"/>
      <c r="D5066" s="19"/>
      <c r="E5066" s="57"/>
      <c r="H5066" s="18"/>
    </row>
    <row r="5067">
      <c r="C5067" s="18"/>
      <c r="D5067" s="19"/>
      <c r="E5067" s="57"/>
      <c r="H5067" s="18"/>
    </row>
    <row r="5068">
      <c r="C5068" s="18"/>
      <c r="D5068" s="19"/>
      <c r="E5068" s="57"/>
      <c r="H5068" s="18"/>
    </row>
    <row r="5069">
      <c r="C5069" s="18"/>
      <c r="D5069" s="19"/>
      <c r="E5069" s="57"/>
      <c r="H5069" s="18"/>
    </row>
    <row r="5070">
      <c r="C5070" s="18"/>
      <c r="D5070" s="19"/>
      <c r="E5070" s="57"/>
      <c r="H5070" s="18"/>
    </row>
    <row r="5071">
      <c r="C5071" s="18"/>
      <c r="D5071" s="19"/>
      <c r="E5071" s="57"/>
      <c r="H5071" s="18"/>
    </row>
    <row r="5072">
      <c r="C5072" s="18"/>
      <c r="D5072" s="19"/>
      <c r="E5072" s="57"/>
      <c r="H5072" s="18"/>
    </row>
    <row r="5073">
      <c r="C5073" s="18"/>
      <c r="D5073" s="19"/>
      <c r="E5073" s="57"/>
      <c r="H5073" s="18"/>
    </row>
    <row r="5074">
      <c r="C5074" s="18"/>
      <c r="D5074" s="19"/>
      <c r="E5074" s="57"/>
      <c r="H5074" s="18"/>
    </row>
    <row r="5075">
      <c r="C5075" s="18"/>
      <c r="D5075" s="19"/>
      <c r="E5075" s="57"/>
      <c r="H5075" s="18"/>
    </row>
    <row r="5076">
      <c r="C5076" s="18"/>
      <c r="D5076" s="19"/>
      <c r="E5076" s="57"/>
      <c r="H5076" s="18"/>
    </row>
    <row r="5077">
      <c r="C5077" s="18"/>
      <c r="D5077" s="19"/>
      <c r="E5077" s="57"/>
      <c r="H5077" s="18"/>
    </row>
    <row r="5078">
      <c r="C5078" s="18"/>
      <c r="D5078" s="19"/>
      <c r="E5078" s="57"/>
      <c r="H5078" s="18"/>
    </row>
    <row r="5079">
      <c r="C5079" s="18"/>
      <c r="D5079" s="19"/>
      <c r="E5079" s="57"/>
      <c r="H5079" s="18"/>
    </row>
    <row r="5080">
      <c r="C5080" s="18"/>
      <c r="D5080" s="19"/>
      <c r="E5080" s="57"/>
      <c r="H5080" s="18"/>
    </row>
    <row r="5081">
      <c r="C5081" s="18"/>
      <c r="D5081" s="19"/>
      <c r="E5081" s="57"/>
      <c r="H5081" s="18"/>
    </row>
    <row r="5082">
      <c r="C5082" s="18"/>
      <c r="D5082" s="19"/>
      <c r="E5082" s="57"/>
      <c r="H5082" s="18"/>
    </row>
    <row r="5083">
      <c r="C5083" s="18"/>
      <c r="D5083" s="19"/>
      <c r="E5083" s="57"/>
      <c r="H5083" s="18"/>
    </row>
    <row r="5084">
      <c r="C5084" s="18"/>
      <c r="D5084" s="19"/>
      <c r="E5084" s="57"/>
      <c r="H5084" s="18"/>
    </row>
    <row r="5085">
      <c r="C5085" s="18"/>
      <c r="D5085" s="19"/>
      <c r="E5085" s="57"/>
      <c r="H5085" s="18"/>
    </row>
    <row r="5086">
      <c r="C5086" s="18"/>
      <c r="D5086" s="19"/>
      <c r="E5086" s="57"/>
      <c r="H5086" s="18"/>
    </row>
    <row r="5087">
      <c r="C5087" s="18"/>
      <c r="D5087" s="19"/>
      <c r="E5087" s="57"/>
      <c r="H5087" s="18"/>
    </row>
    <row r="5088">
      <c r="C5088" s="18"/>
      <c r="D5088" s="19"/>
      <c r="E5088" s="57"/>
      <c r="H5088" s="18"/>
    </row>
    <row r="5089">
      <c r="C5089" s="18"/>
      <c r="D5089" s="19"/>
      <c r="E5089" s="57"/>
      <c r="H5089" s="18"/>
    </row>
    <row r="5090">
      <c r="C5090" s="18"/>
      <c r="D5090" s="19"/>
      <c r="E5090" s="57"/>
      <c r="H5090" s="18"/>
    </row>
    <row r="5091">
      <c r="C5091" s="18"/>
      <c r="D5091" s="19"/>
      <c r="E5091" s="57"/>
      <c r="H5091" s="18"/>
    </row>
    <row r="5092">
      <c r="C5092" s="18"/>
      <c r="D5092" s="19"/>
      <c r="E5092" s="57"/>
      <c r="H5092" s="18"/>
    </row>
    <row r="5093">
      <c r="C5093" s="18"/>
      <c r="D5093" s="19"/>
      <c r="E5093" s="57"/>
      <c r="H5093" s="18"/>
    </row>
    <row r="5094">
      <c r="C5094" s="18"/>
      <c r="D5094" s="19"/>
      <c r="E5094" s="57"/>
      <c r="H5094" s="18"/>
    </row>
    <row r="5095">
      <c r="C5095" s="18"/>
      <c r="D5095" s="19"/>
      <c r="E5095" s="57"/>
      <c r="H5095" s="18"/>
    </row>
    <row r="5096">
      <c r="C5096" s="18"/>
      <c r="D5096" s="19"/>
      <c r="E5096" s="57"/>
      <c r="H5096" s="18"/>
    </row>
    <row r="5097">
      <c r="C5097" s="18"/>
      <c r="D5097" s="19"/>
      <c r="E5097" s="57"/>
      <c r="H5097" s="18"/>
    </row>
    <row r="5098">
      <c r="C5098" s="18"/>
      <c r="D5098" s="19"/>
      <c r="E5098" s="57"/>
      <c r="H5098" s="18"/>
    </row>
    <row r="5099">
      <c r="C5099" s="18"/>
      <c r="D5099" s="19"/>
      <c r="E5099" s="57"/>
      <c r="H5099" s="18"/>
    </row>
    <row r="5100">
      <c r="C5100" s="18"/>
      <c r="D5100" s="19"/>
      <c r="E5100" s="57"/>
      <c r="H5100" s="18"/>
    </row>
    <row r="5101">
      <c r="C5101" s="18"/>
      <c r="D5101" s="19"/>
      <c r="E5101" s="57"/>
      <c r="H5101" s="18"/>
    </row>
    <row r="5102">
      <c r="C5102" s="18"/>
      <c r="D5102" s="19"/>
      <c r="E5102" s="57"/>
      <c r="H5102" s="18"/>
    </row>
    <row r="5103">
      <c r="C5103" s="18"/>
      <c r="D5103" s="19"/>
      <c r="E5103" s="57"/>
      <c r="H5103" s="18"/>
    </row>
    <row r="5104">
      <c r="C5104" s="18"/>
      <c r="D5104" s="19"/>
      <c r="E5104" s="57"/>
      <c r="H5104" s="18"/>
    </row>
    <row r="5105">
      <c r="C5105" s="18"/>
      <c r="D5105" s="19"/>
      <c r="E5105" s="57"/>
      <c r="H5105" s="18"/>
    </row>
    <row r="5106">
      <c r="C5106" s="18"/>
      <c r="D5106" s="19"/>
      <c r="E5106" s="57"/>
      <c r="H5106" s="18"/>
    </row>
    <row r="5107">
      <c r="C5107" s="18"/>
      <c r="D5107" s="19"/>
      <c r="E5107" s="57"/>
      <c r="H5107" s="18"/>
    </row>
    <row r="5108">
      <c r="C5108" s="18"/>
      <c r="D5108" s="19"/>
      <c r="E5108" s="57"/>
      <c r="H5108" s="18"/>
    </row>
    <row r="5109">
      <c r="C5109" s="18"/>
      <c r="D5109" s="19"/>
      <c r="E5109" s="57"/>
      <c r="H5109" s="18"/>
    </row>
    <row r="5110">
      <c r="C5110" s="18"/>
      <c r="D5110" s="19"/>
      <c r="E5110" s="57"/>
      <c r="H5110" s="18"/>
    </row>
    <row r="5111">
      <c r="C5111" s="18"/>
      <c r="D5111" s="19"/>
      <c r="E5111" s="57"/>
      <c r="H5111" s="18"/>
    </row>
    <row r="5112">
      <c r="C5112" s="18"/>
      <c r="D5112" s="19"/>
      <c r="E5112" s="57"/>
      <c r="H5112" s="18"/>
    </row>
    <row r="5113">
      <c r="C5113" s="18"/>
      <c r="D5113" s="19"/>
      <c r="E5113" s="57"/>
      <c r="H5113" s="18"/>
    </row>
    <row r="5114">
      <c r="C5114" s="18"/>
      <c r="D5114" s="19"/>
      <c r="E5114" s="57"/>
      <c r="H5114" s="18"/>
    </row>
    <row r="5115">
      <c r="C5115" s="18"/>
      <c r="D5115" s="19"/>
      <c r="E5115" s="57"/>
      <c r="H5115" s="18"/>
    </row>
    <row r="5116">
      <c r="C5116" s="18"/>
      <c r="D5116" s="19"/>
      <c r="E5116" s="57"/>
      <c r="H5116" s="18"/>
    </row>
    <row r="5117">
      <c r="C5117" s="18"/>
      <c r="D5117" s="19"/>
      <c r="E5117" s="57"/>
      <c r="H5117" s="18"/>
    </row>
    <row r="5118">
      <c r="C5118" s="18"/>
      <c r="D5118" s="19"/>
      <c r="E5118" s="57"/>
      <c r="H5118" s="18"/>
    </row>
    <row r="5119">
      <c r="C5119" s="18"/>
      <c r="D5119" s="19"/>
      <c r="E5119" s="57"/>
      <c r="H5119" s="18"/>
    </row>
    <row r="5120">
      <c r="C5120" s="18"/>
      <c r="D5120" s="19"/>
      <c r="E5120" s="57"/>
      <c r="H5120" s="18"/>
    </row>
    <row r="5121">
      <c r="C5121" s="18"/>
      <c r="D5121" s="19"/>
      <c r="E5121" s="57"/>
      <c r="H5121" s="18"/>
    </row>
    <row r="5122">
      <c r="C5122" s="18"/>
      <c r="D5122" s="19"/>
      <c r="E5122" s="57"/>
      <c r="H5122" s="18"/>
    </row>
    <row r="5123">
      <c r="C5123" s="18"/>
      <c r="D5123" s="19"/>
      <c r="E5123" s="57"/>
      <c r="H5123" s="18"/>
    </row>
    <row r="5124">
      <c r="C5124" s="18"/>
      <c r="D5124" s="19"/>
      <c r="E5124" s="57"/>
      <c r="H5124" s="18"/>
    </row>
    <row r="5125">
      <c r="C5125" s="18"/>
      <c r="D5125" s="19"/>
      <c r="E5125" s="57"/>
      <c r="H5125" s="18"/>
    </row>
    <row r="5126">
      <c r="C5126" s="18"/>
      <c r="D5126" s="19"/>
      <c r="E5126" s="57"/>
      <c r="H5126" s="18"/>
    </row>
    <row r="5127">
      <c r="C5127" s="18"/>
      <c r="D5127" s="19"/>
      <c r="E5127" s="57"/>
      <c r="H5127" s="18"/>
    </row>
    <row r="5128">
      <c r="C5128" s="18"/>
      <c r="D5128" s="19"/>
      <c r="E5128" s="57"/>
      <c r="H5128" s="18"/>
    </row>
    <row r="5129">
      <c r="C5129" s="18"/>
      <c r="D5129" s="19"/>
      <c r="E5129" s="57"/>
      <c r="H5129" s="18"/>
    </row>
    <row r="5130">
      <c r="C5130" s="18"/>
      <c r="D5130" s="19"/>
      <c r="E5130" s="57"/>
      <c r="H5130" s="18"/>
    </row>
    <row r="5131">
      <c r="C5131" s="18"/>
      <c r="D5131" s="19"/>
      <c r="E5131" s="57"/>
      <c r="H5131" s="18"/>
    </row>
    <row r="5132">
      <c r="C5132" s="18"/>
      <c r="D5132" s="19"/>
      <c r="E5132" s="57"/>
      <c r="H5132" s="18"/>
    </row>
    <row r="5133">
      <c r="C5133" s="18"/>
      <c r="D5133" s="19"/>
      <c r="E5133" s="57"/>
      <c r="H5133" s="18"/>
    </row>
    <row r="5134">
      <c r="C5134" s="18"/>
      <c r="D5134" s="19"/>
      <c r="E5134" s="57"/>
      <c r="H5134" s="18"/>
    </row>
    <row r="5135">
      <c r="C5135" s="18"/>
      <c r="D5135" s="19"/>
      <c r="E5135" s="57"/>
      <c r="H5135" s="18"/>
    </row>
    <row r="5136">
      <c r="C5136" s="18"/>
      <c r="D5136" s="19"/>
      <c r="E5136" s="57"/>
      <c r="H5136" s="18"/>
    </row>
    <row r="5137">
      <c r="C5137" s="18"/>
      <c r="D5137" s="19"/>
      <c r="E5137" s="57"/>
      <c r="H5137" s="18"/>
    </row>
    <row r="5138">
      <c r="C5138" s="18"/>
      <c r="D5138" s="19"/>
      <c r="E5138" s="57"/>
      <c r="H5138" s="18"/>
    </row>
    <row r="5139">
      <c r="C5139" s="18"/>
      <c r="D5139" s="19"/>
      <c r="E5139" s="57"/>
      <c r="H5139" s="18"/>
    </row>
    <row r="5140">
      <c r="C5140" s="18"/>
      <c r="D5140" s="19"/>
      <c r="E5140" s="57"/>
      <c r="H5140" s="18"/>
    </row>
    <row r="5141">
      <c r="C5141" s="18"/>
      <c r="D5141" s="19"/>
      <c r="E5141" s="57"/>
      <c r="H5141" s="18"/>
    </row>
    <row r="5142">
      <c r="C5142" s="18"/>
      <c r="D5142" s="19"/>
      <c r="E5142" s="57"/>
      <c r="H5142" s="18"/>
    </row>
    <row r="5143">
      <c r="C5143" s="18"/>
      <c r="D5143" s="19"/>
      <c r="E5143" s="57"/>
      <c r="H5143" s="18"/>
    </row>
    <row r="5144">
      <c r="C5144" s="18"/>
      <c r="D5144" s="19"/>
      <c r="E5144" s="57"/>
      <c r="H5144" s="18"/>
    </row>
    <row r="5145">
      <c r="C5145" s="18"/>
      <c r="D5145" s="19"/>
      <c r="E5145" s="57"/>
      <c r="H5145" s="18"/>
    </row>
    <row r="5146">
      <c r="C5146" s="18"/>
      <c r="D5146" s="19"/>
      <c r="E5146" s="57"/>
      <c r="H5146" s="18"/>
    </row>
    <row r="5147">
      <c r="C5147" s="18"/>
      <c r="D5147" s="19"/>
      <c r="E5147" s="57"/>
      <c r="H5147" s="18"/>
    </row>
    <row r="5148">
      <c r="C5148" s="18"/>
      <c r="D5148" s="19"/>
      <c r="E5148" s="57"/>
      <c r="H5148" s="18"/>
    </row>
    <row r="5149">
      <c r="C5149" s="18"/>
      <c r="D5149" s="19"/>
      <c r="E5149" s="57"/>
      <c r="H5149" s="18"/>
    </row>
    <row r="5150">
      <c r="C5150" s="18"/>
      <c r="D5150" s="19"/>
      <c r="E5150" s="57"/>
      <c r="H5150" s="18"/>
    </row>
    <row r="5151">
      <c r="C5151" s="18"/>
      <c r="D5151" s="19"/>
      <c r="E5151" s="57"/>
      <c r="H5151" s="18"/>
    </row>
    <row r="5152">
      <c r="C5152" s="18"/>
      <c r="D5152" s="19"/>
      <c r="E5152" s="57"/>
      <c r="H5152" s="18"/>
    </row>
    <row r="5153">
      <c r="C5153" s="18"/>
      <c r="D5153" s="19"/>
      <c r="E5153" s="57"/>
      <c r="H5153" s="18"/>
    </row>
    <row r="5154">
      <c r="C5154" s="18"/>
      <c r="D5154" s="19"/>
      <c r="E5154" s="57"/>
      <c r="H5154" s="18"/>
    </row>
    <row r="5155">
      <c r="C5155" s="18"/>
      <c r="D5155" s="19"/>
      <c r="E5155" s="57"/>
      <c r="H5155" s="18"/>
    </row>
    <row r="5156">
      <c r="C5156" s="18"/>
      <c r="D5156" s="19"/>
      <c r="E5156" s="57"/>
      <c r="H5156" s="18"/>
    </row>
    <row r="5157">
      <c r="C5157" s="18"/>
      <c r="D5157" s="19"/>
      <c r="E5157" s="57"/>
      <c r="H5157" s="18"/>
    </row>
    <row r="5158">
      <c r="C5158" s="18"/>
      <c r="D5158" s="19"/>
      <c r="E5158" s="57"/>
      <c r="H5158" s="18"/>
    </row>
    <row r="5159">
      <c r="C5159" s="18"/>
      <c r="D5159" s="19"/>
      <c r="E5159" s="57"/>
      <c r="H5159" s="18"/>
    </row>
    <row r="5160">
      <c r="C5160" s="18"/>
      <c r="D5160" s="19"/>
      <c r="E5160" s="57"/>
      <c r="H5160" s="18"/>
    </row>
    <row r="5161">
      <c r="C5161" s="18"/>
      <c r="D5161" s="19"/>
      <c r="E5161" s="57"/>
      <c r="H5161" s="18"/>
    </row>
    <row r="5162">
      <c r="C5162" s="18"/>
      <c r="D5162" s="19"/>
      <c r="E5162" s="57"/>
      <c r="H5162" s="18"/>
    </row>
    <row r="5163">
      <c r="C5163" s="18"/>
      <c r="D5163" s="19"/>
      <c r="E5163" s="57"/>
      <c r="H5163" s="18"/>
    </row>
    <row r="5164">
      <c r="C5164" s="18"/>
      <c r="D5164" s="19"/>
      <c r="E5164" s="57"/>
      <c r="H5164" s="18"/>
    </row>
    <row r="5165">
      <c r="C5165" s="18"/>
      <c r="D5165" s="19"/>
      <c r="E5165" s="57"/>
      <c r="H5165" s="18"/>
    </row>
    <row r="5166">
      <c r="C5166" s="18"/>
      <c r="D5166" s="19"/>
      <c r="E5166" s="57"/>
      <c r="H5166" s="18"/>
    </row>
    <row r="5167">
      <c r="C5167" s="18"/>
      <c r="D5167" s="19"/>
      <c r="E5167" s="57"/>
      <c r="H5167" s="18"/>
    </row>
    <row r="5168">
      <c r="C5168" s="18"/>
      <c r="D5168" s="19"/>
      <c r="E5168" s="57"/>
      <c r="H5168" s="18"/>
    </row>
    <row r="5169">
      <c r="C5169" s="18"/>
      <c r="D5169" s="19"/>
      <c r="E5169" s="57"/>
      <c r="H5169" s="18"/>
    </row>
    <row r="5170">
      <c r="C5170" s="18"/>
      <c r="D5170" s="19"/>
      <c r="E5170" s="57"/>
      <c r="H5170" s="18"/>
    </row>
    <row r="5171">
      <c r="C5171" s="18"/>
      <c r="D5171" s="19"/>
      <c r="E5171" s="57"/>
      <c r="H5171" s="18"/>
    </row>
    <row r="5172">
      <c r="C5172" s="18"/>
      <c r="D5172" s="19"/>
      <c r="E5172" s="57"/>
      <c r="H5172" s="18"/>
    </row>
    <row r="5173">
      <c r="C5173" s="18"/>
      <c r="D5173" s="19"/>
      <c r="E5173" s="57"/>
      <c r="H5173" s="18"/>
    </row>
    <row r="5174">
      <c r="C5174" s="18"/>
      <c r="D5174" s="19"/>
      <c r="E5174" s="57"/>
      <c r="H5174" s="18"/>
    </row>
    <row r="5175">
      <c r="C5175" s="18"/>
      <c r="D5175" s="19"/>
      <c r="E5175" s="57"/>
      <c r="H5175" s="18"/>
    </row>
    <row r="5176">
      <c r="C5176" s="18"/>
      <c r="D5176" s="19"/>
      <c r="E5176" s="57"/>
      <c r="H5176" s="18"/>
    </row>
    <row r="5177">
      <c r="C5177" s="18"/>
      <c r="D5177" s="19"/>
      <c r="E5177" s="57"/>
      <c r="H5177" s="18"/>
    </row>
    <row r="5178">
      <c r="C5178" s="18"/>
      <c r="D5178" s="19"/>
      <c r="E5178" s="57"/>
      <c r="H5178" s="18"/>
    </row>
    <row r="5179">
      <c r="C5179" s="18"/>
      <c r="D5179" s="19"/>
      <c r="E5179" s="57"/>
      <c r="H5179" s="18"/>
    </row>
    <row r="5180">
      <c r="C5180" s="18"/>
      <c r="D5180" s="19"/>
      <c r="E5180" s="57"/>
      <c r="H5180" s="18"/>
    </row>
    <row r="5181">
      <c r="C5181" s="18"/>
      <c r="D5181" s="19"/>
      <c r="E5181" s="57"/>
      <c r="H5181" s="18"/>
    </row>
    <row r="5182">
      <c r="C5182" s="18"/>
      <c r="D5182" s="19"/>
      <c r="E5182" s="57"/>
      <c r="H5182" s="18"/>
    </row>
    <row r="5183">
      <c r="C5183" s="18"/>
      <c r="D5183" s="19"/>
      <c r="E5183" s="57"/>
      <c r="H5183" s="18"/>
    </row>
    <row r="5184">
      <c r="C5184" s="18"/>
      <c r="D5184" s="19"/>
      <c r="E5184" s="57"/>
      <c r="H5184" s="18"/>
    </row>
    <row r="5185">
      <c r="C5185" s="18"/>
      <c r="D5185" s="19"/>
      <c r="E5185" s="57"/>
      <c r="H5185" s="18"/>
    </row>
    <row r="5186">
      <c r="C5186" s="18"/>
      <c r="D5186" s="19"/>
      <c r="E5186" s="57"/>
      <c r="H5186" s="18"/>
    </row>
    <row r="5187">
      <c r="C5187" s="18"/>
      <c r="D5187" s="19"/>
      <c r="E5187" s="57"/>
      <c r="H5187" s="18"/>
    </row>
    <row r="5188">
      <c r="C5188" s="18"/>
      <c r="D5188" s="19"/>
      <c r="E5188" s="57"/>
      <c r="H5188" s="18"/>
    </row>
    <row r="5189">
      <c r="C5189" s="18"/>
      <c r="D5189" s="19"/>
      <c r="E5189" s="57"/>
      <c r="H5189" s="18"/>
    </row>
    <row r="5190">
      <c r="C5190" s="18"/>
      <c r="D5190" s="19"/>
      <c r="E5190" s="57"/>
      <c r="H5190" s="18"/>
    </row>
    <row r="5191">
      <c r="C5191" s="18"/>
      <c r="D5191" s="19"/>
      <c r="E5191" s="57"/>
      <c r="H5191" s="18"/>
    </row>
    <row r="5192">
      <c r="C5192" s="18"/>
      <c r="D5192" s="19"/>
      <c r="E5192" s="57"/>
      <c r="H5192" s="18"/>
    </row>
    <row r="5193">
      <c r="C5193" s="18"/>
      <c r="D5193" s="19"/>
      <c r="E5193" s="57"/>
      <c r="H5193" s="18"/>
    </row>
    <row r="5194">
      <c r="C5194" s="18"/>
      <c r="D5194" s="19"/>
      <c r="E5194" s="57"/>
      <c r="H5194" s="18"/>
    </row>
    <row r="5195">
      <c r="C5195" s="18"/>
      <c r="D5195" s="19"/>
      <c r="E5195" s="57"/>
      <c r="H5195" s="18"/>
    </row>
    <row r="5196">
      <c r="C5196" s="18"/>
      <c r="D5196" s="19"/>
      <c r="E5196" s="57"/>
      <c r="H5196" s="18"/>
    </row>
    <row r="5197">
      <c r="C5197" s="18"/>
      <c r="D5197" s="19"/>
      <c r="E5197" s="57"/>
      <c r="H5197" s="18"/>
    </row>
    <row r="5198">
      <c r="C5198" s="18"/>
      <c r="D5198" s="19"/>
      <c r="E5198" s="57"/>
      <c r="H5198" s="18"/>
    </row>
    <row r="5199">
      <c r="C5199" s="18"/>
      <c r="D5199" s="19"/>
      <c r="E5199" s="57"/>
      <c r="H5199" s="18"/>
    </row>
    <row r="5200">
      <c r="C5200" s="18"/>
      <c r="D5200" s="19"/>
      <c r="E5200" s="57"/>
      <c r="H5200" s="18"/>
    </row>
    <row r="5201">
      <c r="C5201" s="18"/>
      <c r="D5201" s="19"/>
      <c r="E5201" s="57"/>
      <c r="H5201" s="18"/>
    </row>
    <row r="5202">
      <c r="C5202" s="18"/>
      <c r="D5202" s="19"/>
      <c r="E5202" s="57"/>
      <c r="H5202" s="18"/>
    </row>
    <row r="5203">
      <c r="C5203" s="18"/>
      <c r="D5203" s="19"/>
      <c r="E5203" s="57"/>
      <c r="H5203" s="18"/>
    </row>
    <row r="5204">
      <c r="C5204" s="18"/>
      <c r="D5204" s="19"/>
      <c r="E5204" s="57"/>
      <c r="H5204" s="18"/>
    </row>
    <row r="5205">
      <c r="C5205" s="18"/>
      <c r="D5205" s="19"/>
      <c r="E5205" s="57"/>
      <c r="H5205" s="18"/>
    </row>
    <row r="5206">
      <c r="C5206" s="18"/>
      <c r="D5206" s="19"/>
      <c r="E5206" s="57"/>
      <c r="H5206" s="18"/>
    </row>
    <row r="5207">
      <c r="C5207" s="18"/>
      <c r="D5207" s="19"/>
      <c r="E5207" s="57"/>
      <c r="H5207" s="18"/>
    </row>
    <row r="5208">
      <c r="C5208" s="18"/>
      <c r="D5208" s="19"/>
      <c r="E5208" s="57"/>
      <c r="H5208" s="18"/>
    </row>
    <row r="5209">
      <c r="C5209" s="18"/>
      <c r="D5209" s="19"/>
      <c r="E5209" s="57"/>
      <c r="H5209" s="18"/>
    </row>
    <row r="5210">
      <c r="C5210" s="18"/>
      <c r="D5210" s="19"/>
      <c r="E5210" s="57"/>
      <c r="H5210" s="18"/>
    </row>
    <row r="5211">
      <c r="C5211" s="18"/>
      <c r="D5211" s="19"/>
      <c r="E5211" s="57"/>
      <c r="H5211" s="18"/>
    </row>
    <row r="5212">
      <c r="C5212" s="18"/>
      <c r="D5212" s="19"/>
      <c r="E5212" s="57"/>
      <c r="H5212" s="18"/>
    </row>
    <row r="5213">
      <c r="C5213" s="18"/>
      <c r="D5213" s="19"/>
      <c r="E5213" s="57"/>
      <c r="H5213" s="18"/>
    </row>
    <row r="5214">
      <c r="C5214" s="18"/>
      <c r="D5214" s="19"/>
      <c r="E5214" s="57"/>
      <c r="H5214" s="18"/>
    </row>
    <row r="5215">
      <c r="C5215" s="18"/>
      <c r="D5215" s="19"/>
      <c r="E5215" s="57"/>
      <c r="H5215" s="18"/>
    </row>
    <row r="5216">
      <c r="C5216" s="18"/>
      <c r="D5216" s="19"/>
      <c r="E5216" s="57"/>
      <c r="H5216" s="18"/>
    </row>
    <row r="5217">
      <c r="C5217" s="18"/>
      <c r="D5217" s="19"/>
      <c r="E5217" s="57"/>
      <c r="H5217" s="18"/>
    </row>
    <row r="5218">
      <c r="C5218" s="18"/>
      <c r="D5218" s="19"/>
      <c r="E5218" s="57"/>
      <c r="H5218" s="18"/>
    </row>
    <row r="5219">
      <c r="C5219" s="18"/>
      <c r="D5219" s="19"/>
      <c r="E5219" s="57"/>
      <c r="H5219" s="18"/>
    </row>
    <row r="5220">
      <c r="C5220" s="18"/>
      <c r="D5220" s="19"/>
      <c r="E5220" s="57"/>
      <c r="H5220" s="18"/>
    </row>
    <row r="5221">
      <c r="C5221" s="18"/>
      <c r="D5221" s="19"/>
      <c r="E5221" s="57"/>
      <c r="H5221" s="18"/>
    </row>
    <row r="5222">
      <c r="C5222" s="18"/>
      <c r="D5222" s="19"/>
      <c r="E5222" s="57"/>
      <c r="H5222" s="18"/>
    </row>
    <row r="5223">
      <c r="C5223" s="18"/>
      <c r="D5223" s="19"/>
      <c r="E5223" s="57"/>
      <c r="H5223" s="18"/>
    </row>
    <row r="5224">
      <c r="C5224" s="18"/>
      <c r="D5224" s="19"/>
      <c r="E5224" s="57"/>
      <c r="H5224" s="18"/>
    </row>
    <row r="5225">
      <c r="C5225" s="18"/>
      <c r="D5225" s="19"/>
      <c r="E5225" s="57"/>
      <c r="H5225" s="18"/>
    </row>
    <row r="5226">
      <c r="C5226" s="18"/>
      <c r="D5226" s="19"/>
      <c r="E5226" s="57"/>
      <c r="H5226" s="18"/>
    </row>
    <row r="5227">
      <c r="C5227" s="18"/>
      <c r="D5227" s="19"/>
      <c r="E5227" s="57"/>
      <c r="H5227" s="18"/>
    </row>
    <row r="5228">
      <c r="C5228" s="18"/>
      <c r="D5228" s="19"/>
      <c r="E5228" s="57"/>
      <c r="H5228" s="18"/>
    </row>
    <row r="5229">
      <c r="C5229" s="18"/>
      <c r="D5229" s="19"/>
      <c r="E5229" s="57"/>
      <c r="H5229" s="18"/>
    </row>
    <row r="5230">
      <c r="C5230" s="18"/>
      <c r="D5230" s="19"/>
      <c r="E5230" s="57"/>
      <c r="H5230" s="18"/>
    </row>
    <row r="5231">
      <c r="C5231" s="18"/>
      <c r="D5231" s="19"/>
      <c r="E5231" s="57"/>
      <c r="H5231" s="18"/>
    </row>
    <row r="5232">
      <c r="C5232" s="18"/>
      <c r="D5232" s="19"/>
      <c r="E5232" s="57"/>
      <c r="H5232" s="18"/>
    </row>
    <row r="5233">
      <c r="C5233" s="18"/>
      <c r="D5233" s="19"/>
      <c r="E5233" s="57"/>
      <c r="H5233" s="18"/>
    </row>
    <row r="5234">
      <c r="C5234" s="18"/>
      <c r="D5234" s="19"/>
      <c r="E5234" s="57"/>
      <c r="H5234" s="18"/>
    </row>
    <row r="5235">
      <c r="C5235" s="18"/>
      <c r="D5235" s="19"/>
      <c r="E5235" s="57"/>
      <c r="H5235" s="18"/>
    </row>
    <row r="5236">
      <c r="C5236" s="18"/>
      <c r="D5236" s="19"/>
      <c r="E5236" s="57"/>
      <c r="H5236" s="18"/>
    </row>
    <row r="5237">
      <c r="C5237" s="18"/>
      <c r="D5237" s="19"/>
      <c r="E5237" s="57"/>
      <c r="H5237" s="18"/>
    </row>
    <row r="5238">
      <c r="C5238" s="18"/>
      <c r="D5238" s="19"/>
      <c r="E5238" s="57"/>
      <c r="H5238" s="18"/>
    </row>
    <row r="5239">
      <c r="C5239" s="18"/>
      <c r="D5239" s="19"/>
      <c r="E5239" s="57"/>
      <c r="H5239" s="18"/>
    </row>
    <row r="5240">
      <c r="C5240" s="18"/>
      <c r="D5240" s="19"/>
      <c r="E5240" s="57"/>
      <c r="H5240" s="18"/>
    </row>
    <row r="5241">
      <c r="C5241" s="18"/>
      <c r="D5241" s="19"/>
      <c r="E5241" s="57"/>
      <c r="H5241" s="18"/>
    </row>
    <row r="5242">
      <c r="C5242" s="18"/>
      <c r="D5242" s="19"/>
      <c r="E5242" s="57"/>
      <c r="H5242" s="18"/>
    </row>
    <row r="5243">
      <c r="C5243" s="18"/>
      <c r="D5243" s="19"/>
      <c r="E5243" s="57"/>
      <c r="H5243" s="18"/>
    </row>
    <row r="5244">
      <c r="C5244" s="18"/>
      <c r="D5244" s="19"/>
      <c r="E5244" s="57"/>
      <c r="H5244" s="18"/>
    </row>
    <row r="5245">
      <c r="C5245" s="18"/>
      <c r="D5245" s="19"/>
      <c r="E5245" s="57"/>
      <c r="H5245" s="18"/>
    </row>
    <row r="5246">
      <c r="C5246" s="18"/>
      <c r="D5246" s="19"/>
      <c r="E5246" s="57"/>
      <c r="H5246" s="18"/>
    </row>
    <row r="5247">
      <c r="C5247" s="18"/>
      <c r="D5247" s="19"/>
      <c r="E5247" s="57"/>
      <c r="H5247" s="18"/>
    </row>
    <row r="5248">
      <c r="C5248" s="18"/>
      <c r="D5248" s="19"/>
      <c r="E5248" s="57"/>
      <c r="H5248" s="18"/>
    </row>
    <row r="5249">
      <c r="C5249" s="18"/>
      <c r="D5249" s="19"/>
      <c r="E5249" s="57"/>
      <c r="H5249" s="18"/>
    </row>
    <row r="5250">
      <c r="C5250" s="18"/>
      <c r="D5250" s="19"/>
      <c r="E5250" s="57"/>
      <c r="H5250" s="18"/>
    </row>
    <row r="5251">
      <c r="C5251" s="18"/>
      <c r="D5251" s="19"/>
      <c r="E5251" s="57"/>
      <c r="H5251" s="18"/>
    </row>
    <row r="5252">
      <c r="C5252" s="18"/>
      <c r="D5252" s="19"/>
      <c r="E5252" s="57"/>
      <c r="H5252" s="18"/>
    </row>
    <row r="5253">
      <c r="C5253" s="18"/>
      <c r="D5253" s="19"/>
      <c r="E5253" s="57"/>
      <c r="H5253" s="18"/>
    </row>
    <row r="5254">
      <c r="C5254" s="18"/>
      <c r="D5254" s="19"/>
      <c r="E5254" s="57"/>
      <c r="H5254" s="18"/>
    </row>
    <row r="5255">
      <c r="C5255" s="18"/>
      <c r="D5255" s="19"/>
      <c r="E5255" s="57"/>
      <c r="H5255" s="18"/>
    </row>
    <row r="5256">
      <c r="C5256" s="18"/>
      <c r="D5256" s="19"/>
      <c r="E5256" s="57"/>
      <c r="H5256" s="18"/>
    </row>
    <row r="5257">
      <c r="C5257" s="18"/>
      <c r="D5257" s="19"/>
      <c r="E5257" s="57"/>
      <c r="H5257" s="18"/>
    </row>
    <row r="5258">
      <c r="C5258" s="18"/>
      <c r="D5258" s="19"/>
      <c r="E5258" s="57"/>
      <c r="H5258" s="18"/>
    </row>
    <row r="5259">
      <c r="C5259" s="18"/>
      <c r="D5259" s="19"/>
      <c r="E5259" s="57"/>
      <c r="H5259" s="18"/>
    </row>
    <row r="5260">
      <c r="C5260" s="18"/>
      <c r="D5260" s="19"/>
      <c r="E5260" s="57"/>
      <c r="H5260" s="18"/>
    </row>
    <row r="5261">
      <c r="C5261" s="18"/>
      <c r="D5261" s="19"/>
      <c r="E5261" s="57"/>
      <c r="H5261" s="18"/>
    </row>
    <row r="5262">
      <c r="C5262" s="18"/>
      <c r="D5262" s="19"/>
      <c r="E5262" s="57"/>
      <c r="H5262" s="18"/>
    </row>
    <row r="5263">
      <c r="C5263" s="18"/>
      <c r="D5263" s="19"/>
      <c r="E5263" s="57"/>
      <c r="H5263" s="18"/>
    </row>
    <row r="5264">
      <c r="C5264" s="18"/>
      <c r="D5264" s="19"/>
      <c r="E5264" s="57"/>
      <c r="H5264" s="18"/>
    </row>
    <row r="5265">
      <c r="C5265" s="18"/>
      <c r="D5265" s="19"/>
      <c r="E5265" s="57"/>
      <c r="H5265" s="18"/>
    </row>
    <row r="5266">
      <c r="C5266" s="18"/>
      <c r="D5266" s="19"/>
      <c r="E5266" s="57"/>
      <c r="H5266" s="18"/>
    </row>
    <row r="5267">
      <c r="C5267" s="18"/>
      <c r="D5267" s="19"/>
      <c r="E5267" s="57"/>
      <c r="H5267" s="18"/>
    </row>
    <row r="5268">
      <c r="C5268" s="18"/>
      <c r="D5268" s="19"/>
      <c r="E5268" s="57"/>
      <c r="H5268" s="18"/>
    </row>
    <row r="5269">
      <c r="C5269" s="18"/>
      <c r="D5269" s="19"/>
      <c r="E5269" s="57"/>
      <c r="H5269" s="18"/>
    </row>
    <row r="5270">
      <c r="C5270" s="18"/>
      <c r="D5270" s="19"/>
      <c r="E5270" s="57"/>
      <c r="H5270" s="18"/>
    </row>
    <row r="5271">
      <c r="C5271" s="18"/>
      <c r="D5271" s="19"/>
      <c r="E5271" s="57"/>
      <c r="H5271" s="18"/>
    </row>
    <row r="5272">
      <c r="C5272" s="18"/>
      <c r="D5272" s="19"/>
      <c r="E5272" s="57"/>
      <c r="H5272" s="18"/>
    </row>
    <row r="5273">
      <c r="C5273" s="18"/>
      <c r="D5273" s="19"/>
      <c r="E5273" s="57"/>
      <c r="H5273" s="18"/>
    </row>
    <row r="5274">
      <c r="C5274" s="18"/>
      <c r="D5274" s="19"/>
      <c r="E5274" s="57"/>
      <c r="H5274" s="18"/>
    </row>
    <row r="5275">
      <c r="C5275" s="18"/>
      <c r="D5275" s="19"/>
      <c r="E5275" s="57"/>
      <c r="H5275" s="18"/>
    </row>
    <row r="5276">
      <c r="C5276" s="18"/>
      <c r="D5276" s="19"/>
      <c r="E5276" s="57"/>
      <c r="H5276" s="18"/>
    </row>
    <row r="5277">
      <c r="C5277" s="18"/>
      <c r="D5277" s="19"/>
      <c r="E5277" s="57"/>
      <c r="H5277" s="18"/>
    </row>
    <row r="5278">
      <c r="C5278" s="18"/>
      <c r="D5278" s="19"/>
      <c r="E5278" s="57"/>
      <c r="H5278" s="18"/>
    </row>
    <row r="5279">
      <c r="C5279" s="18"/>
      <c r="D5279" s="19"/>
      <c r="E5279" s="57"/>
      <c r="H5279" s="18"/>
    </row>
    <row r="5280">
      <c r="C5280" s="18"/>
      <c r="D5280" s="19"/>
      <c r="E5280" s="57"/>
      <c r="H5280" s="18"/>
    </row>
    <row r="5281">
      <c r="C5281" s="18"/>
      <c r="D5281" s="19"/>
      <c r="E5281" s="57"/>
      <c r="H5281" s="18"/>
    </row>
    <row r="5282">
      <c r="C5282" s="18"/>
      <c r="D5282" s="19"/>
      <c r="E5282" s="57"/>
      <c r="H5282" s="18"/>
    </row>
    <row r="5283">
      <c r="C5283" s="18"/>
      <c r="D5283" s="19"/>
      <c r="E5283" s="57"/>
      <c r="H5283" s="18"/>
    </row>
    <row r="5284">
      <c r="C5284" s="18"/>
      <c r="D5284" s="19"/>
      <c r="E5284" s="57"/>
      <c r="H5284" s="18"/>
    </row>
    <row r="5285">
      <c r="C5285" s="18"/>
      <c r="D5285" s="19"/>
      <c r="E5285" s="57"/>
      <c r="H5285" s="18"/>
    </row>
    <row r="5286">
      <c r="C5286" s="18"/>
      <c r="D5286" s="19"/>
      <c r="E5286" s="57"/>
      <c r="H5286" s="18"/>
    </row>
    <row r="5287">
      <c r="C5287" s="18"/>
      <c r="D5287" s="19"/>
      <c r="E5287" s="57"/>
      <c r="H5287" s="18"/>
    </row>
    <row r="5288">
      <c r="C5288" s="18"/>
      <c r="D5288" s="19"/>
      <c r="E5288" s="57"/>
      <c r="H5288" s="18"/>
    </row>
    <row r="5289">
      <c r="C5289" s="18"/>
      <c r="D5289" s="19"/>
      <c r="E5289" s="57"/>
      <c r="H5289" s="18"/>
    </row>
    <row r="5290">
      <c r="C5290" s="18"/>
      <c r="D5290" s="19"/>
      <c r="E5290" s="57"/>
      <c r="H5290" s="18"/>
    </row>
    <row r="5291">
      <c r="C5291" s="18"/>
      <c r="D5291" s="19"/>
      <c r="E5291" s="57"/>
      <c r="H5291" s="18"/>
    </row>
    <row r="5292">
      <c r="C5292" s="18"/>
      <c r="D5292" s="19"/>
      <c r="E5292" s="57"/>
      <c r="H5292" s="18"/>
    </row>
    <row r="5293">
      <c r="C5293" s="18"/>
      <c r="D5293" s="19"/>
      <c r="E5293" s="57"/>
      <c r="H5293" s="18"/>
    </row>
    <row r="5294">
      <c r="C5294" s="18"/>
      <c r="D5294" s="19"/>
      <c r="E5294" s="57"/>
      <c r="H5294" s="18"/>
    </row>
    <row r="5295">
      <c r="C5295" s="18"/>
      <c r="D5295" s="19"/>
      <c r="E5295" s="57"/>
      <c r="H5295" s="18"/>
    </row>
    <row r="5296">
      <c r="C5296" s="18"/>
      <c r="D5296" s="19"/>
      <c r="E5296" s="57"/>
      <c r="H5296" s="18"/>
    </row>
    <row r="5297">
      <c r="C5297" s="18"/>
      <c r="D5297" s="19"/>
      <c r="E5297" s="57"/>
      <c r="H5297" s="18"/>
    </row>
    <row r="5298">
      <c r="C5298" s="18"/>
      <c r="D5298" s="19"/>
      <c r="E5298" s="57"/>
      <c r="H5298" s="18"/>
    </row>
    <row r="5299">
      <c r="C5299" s="18"/>
      <c r="D5299" s="19"/>
      <c r="E5299" s="57"/>
      <c r="H5299" s="18"/>
    </row>
    <row r="5300">
      <c r="C5300" s="18"/>
      <c r="D5300" s="19"/>
      <c r="E5300" s="57"/>
      <c r="H5300" s="18"/>
    </row>
    <row r="5301">
      <c r="C5301" s="18"/>
      <c r="D5301" s="19"/>
      <c r="E5301" s="57"/>
      <c r="H5301" s="18"/>
    </row>
    <row r="5302">
      <c r="C5302" s="18"/>
      <c r="D5302" s="19"/>
      <c r="E5302" s="57"/>
      <c r="H5302" s="18"/>
    </row>
    <row r="5303">
      <c r="C5303" s="18"/>
      <c r="D5303" s="19"/>
      <c r="E5303" s="57"/>
      <c r="H5303" s="18"/>
    </row>
    <row r="5304">
      <c r="C5304" s="18"/>
      <c r="D5304" s="19"/>
      <c r="E5304" s="57"/>
      <c r="H5304" s="18"/>
    </row>
    <row r="5305">
      <c r="C5305" s="18"/>
      <c r="D5305" s="19"/>
      <c r="E5305" s="57"/>
      <c r="H5305" s="18"/>
    </row>
    <row r="5306">
      <c r="C5306" s="18"/>
      <c r="D5306" s="19"/>
      <c r="E5306" s="57"/>
      <c r="H5306" s="18"/>
    </row>
    <row r="5307">
      <c r="C5307" s="18"/>
      <c r="D5307" s="19"/>
      <c r="E5307" s="57"/>
      <c r="H5307" s="18"/>
    </row>
    <row r="5308">
      <c r="C5308" s="18"/>
      <c r="D5308" s="19"/>
      <c r="E5308" s="57"/>
      <c r="H5308" s="18"/>
    </row>
    <row r="5309">
      <c r="C5309" s="18"/>
      <c r="D5309" s="19"/>
      <c r="E5309" s="57"/>
      <c r="H5309" s="18"/>
    </row>
    <row r="5310">
      <c r="C5310" s="18"/>
      <c r="D5310" s="19"/>
      <c r="E5310" s="57"/>
      <c r="H5310" s="18"/>
    </row>
    <row r="5311">
      <c r="C5311" s="18"/>
      <c r="D5311" s="19"/>
      <c r="E5311" s="57"/>
      <c r="H5311" s="18"/>
    </row>
    <row r="5312">
      <c r="C5312" s="18"/>
      <c r="D5312" s="19"/>
      <c r="E5312" s="57"/>
      <c r="H5312" s="18"/>
    </row>
    <row r="5313">
      <c r="C5313" s="18"/>
      <c r="D5313" s="19"/>
      <c r="E5313" s="57"/>
      <c r="H5313" s="18"/>
    </row>
    <row r="5314">
      <c r="C5314" s="18"/>
      <c r="D5314" s="19"/>
      <c r="E5314" s="57"/>
      <c r="H5314" s="18"/>
    </row>
    <row r="5315">
      <c r="C5315" s="18"/>
      <c r="D5315" s="19"/>
      <c r="E5315" s="57"/>
      <c r="H5315" s="18"/>
    </row>
    <row r="5316">
      <c r="C5316" s="18"/>
      <c r="D5316" s="19"/>
      <c r="E5316" s="57"/>
      <c r="H5316" s="18"/>
    </row>
    <row r="5317">
      <c r="C5317" s="18"/>
      <c r="D5317" s="19"/>
      <c r="E5317" s="57"/>
      <c r="H5317" s="18"/>
    </row>
    <row r="5318">
      <c r="C5318" s="18"/>
      <c r="D5318" s="19"/>
      <c r="E5318" s="57"/>
      <c r="H5318" s="18"/>
    </row>
    <row r="5319">
      <c r="C5319" s="18"/>
      <c r="D5319" s="19"/>
      <c r="E5319" s="57"/>
      <c r="H5319" s="18"/>
    </row>
    <row r="5320">
      <c r="C5320" s="18"/>
      <c r="D5320" s="19"/>
      <c r="E5320" s="57"/>
      <c r="H5320" s="18"/>
    </row>
    <row r="5321">
      <c r="C5321" s="18"/>
      <c r="D5321" s="19"/>
      <c r="E5321" s="57"/>
      <c r="H5321" s="18"/>
    </row>
    <row r="5322">
      <c r="C5322" s="18"/>
      <c r="D5322" s="19"/>
      <c r="E5322" s="57"/>
      <c r="H5322" s="18"/>
    </row>
    <row r="5323">
      <c r="C5323" s="18"/>
      <c r="D5323" s="19"/>
      <c r="E5323" s="57"/>
      <c r="H5323" s="18"/>
    </row>
    <row r="5324">
      <c r="C5324" s="18"/>
      <c r="D5324" s="19"/>
      <c r="E5324" s="57"/>
      <c r="H5324" s="18"/>
    </row>
    <row r="5325">
      <c r="C5325" s="18"/>
      <c r="D5325" s="19"/>
      <c r="E5325" s="57"/>
      <c r="H5325" s="18"/>
    </row>
    <row r="5326">
      <c r="C5326" s="18"/>
      <c r="D5326" s="19"/>
      <c r="E5326" s="57"/>
      <c r="H5326" s="18"/>
    </row>
    <row r="5327">
      <c r="C5327" s="18"/>
      <c r="D5327" s="19"/>
      <c r="E5327" s="57"/>
      <c r="H5327" s="18"/>
    </row>
    <row r="5328">
      <c r="C5328" s="18"/>
      <c r="D5328" s="19"/>
      <c r="E5328" s="57"/>
      <c r="H5328" s="18"/>
    </row>
    <row r="5329">
      <c r="C5329" s="18"/>
      <c r="D5329" s="19"/>
      <c r="E5329" s="57"/>
      <c r="H5329" s="18"/>
    </row>
    <row r="5330">
      <c r="C5330" s="18"/>
      <c r="D5330" s="19"/>
      <c r="E5330" s="57"/>
      <c r="H5330" s="18"/>
    </row>
    <row r="5331">
      <c r="C5331" s="18"/>
      <c r="D5331" s="19"/>
      <c r="E5331" s="57"/>
      <c r="H5331" s="18"/>
    </row>
    <row r="5332">
      <c r="C5332" s="18"/>
      <c r="D5332" s="19"/>
      <c r="E5332" s="57"/>
      <c r="H5332" s="18"/>
    </row>
    <row r="5333">
      <c r="C5333" s="18"/>
      <c r="D5333" s="19"/>
      <c r="E5333" s="57"/>
      <c r="H5333" s="18"/>
    </row>
    <row r="5334">
      <c r="C5334" s="18"/>
      <c r="D5334" s="19"/>
      <c r="E5334" s="57"/>
      <c r="H5334" s="18"/>
    </row>
    <row r="5335">
      <c r="C5335" s="18"/>
      <c r="D5335" s="19"/>
      <c r="E5335" s="57"/>
      <c r="H5335" s="18"/>
    </row>
    <row r="5336">
      <c r="C5336" s="18"/>
      <c r="D5336" s="19"/>
      <c r="E5336" s="57"/>
      <c r="H5336" s="18"/>
    </row>
    <row r="5337">
      <c r="C5337" s="18"/>
      <c r="D5337" s="19"/>
      <c r="E5337" s="57"/>
      <c r="H5337" s="18"/>
    </row>
    <row r="5338">
      <c r="C5338" s="18"/>
      <c r="D5338" s="19"/>
      <c r="E5338" s="57"/>
      <c r="H5338" s="18"/>
    </row>
    <row r="5339">
      <c r="C5339" s="18"/>
      <c r="D5339" s="19"/>
      <c r="E5339" s="57"/>
      <c r="H5339" s="18"/>
    </row>
    <row r="5340">
      <c r="C5340" s="18"/>
      <c r="D5340" s="19"/>
      <c r="E5340" s="57"/>
      <c r="H5340" s="18"/>
    </row>
    <row r="5341">
      <c r="C5341" s="18"/>
      <c r="D5341" s="19"/>
      <c r="E5341" s="57"/>
      <c r="H5341" s="18"/>
    </row>
    <row r="5342">
      <c r="C5342" s="18"/>
      <c r="D5342" s="19"/>
      <c r="E5342" s="57"/>
      <c r="H5342" s="18"/>
    </row>
    <row r="5343">
      <c r="C5343" s="18"/>
      <c r="D5343" s="19"/>
      <c r="E5343" s="57"/>
      <c r="H5343" s="18"/>
    </row>
    <row r="5344">
      <c r="C5344" s="18"/>
      <c r="D5344" s="19"/>
      <c r="E5344" s="57"/>
      <c r="H5344" s="18"/>
    </row>
    <row r="5345">
      <c r="C5345" s="18"/>
      <c r="D5345" s="19"/>
      <c r="E5345" s="57"/>
      <c r="H5345" s="18"/>
    </row>
    <row r="5346">
      <c r="C5346" s="18"/>
      <c r="D5346" s="19"/>
      <c r="E5346" s="57"/>
      <c r="H5346" s="18"/>
    </row>
    <row r="5347">
      <c r="C5347" s="18"/>
      <c r="D5347" s="19"/>
      <c r="E5347" s="57"/>
      <c r="H5347" s="18"/>
    </row>
    <row r="5348">
      <c r="C5348" s="18"/>
      <c r="D5348" s="19"/>
      <c r="E5348" s="57"/>
      <c r="H5348" s="18"/>
    </row>
    <row r="5349">
      <c r="C5349" s="18"/>
      <c r="D5349" s="19"/>
      <c r="E5349" s="57"/>
      <c r="H5349" s="18"/>
    </row>
    <row r="5350">
      <c r="C5350" s="18"/>
      <c r="D5350" s="19"/>
      <c r="E5350" s="57"/>
      <c r="H5350" s="18"/>
    </row>
    <row r="5351">
      <c r="C5351" s="18"/>
      <c r="D5351" s="19"/>
      <c r="E5351" s="57"/>
      <c r="H5351" s="18"/>
    </row>
    <row r="5352">
      <c r="C5352" s="18"/>
      <c r="D5352" s="19"/>
      <c r="E5352" s="57"/>
      <c r="H5352" s="18"/>
    </row>
    <row r="5353">
      <c r="C5353" s="18"/>
      <c r="D5353" s="19"/>
      <c r="E5353" s="57"/>
      <c r="H5353" s="18"/>
    </row>
    <row r="5354">
      <c r="C5354" s="18"/>
      <c r="D5354" s="19"/>
      <c r="E5354" s="57"/>
      <c r="H5354" s="18"/>
    </row>
    <row r="5355">
      <c r="C5355" s="18"/>
      <c r="D5355" s="19"/>
      <c r="E5355" s="57"/>
      <c r="H5355" s="18"/>
    </row>
    <row r="5356">
      <c r="C5356" s="18"/>
      <c r="D5356" s="19"/>
      <c r="E5356" s="57"/>
      <c r="H5356" s="18"/>
    </row>
    <row r="5357">
      <c r="C5357" s="18"/>
      <c r="D5357" s="19"/>
      <c r="E5357" s="57"/>
      <c r="H5357" s="18"/>
    </row>
    <row r="5358">
      <c r="C5358" s="18"/>
      <c r="D5358" s="19"/>
      <c r="E5358" s="57"/>
      <c r="H5358" s="18"/>
    </row>
    <row r="5359">
      <c r="C5359" s="18"/>
      <c r="D5359" s="19"/>
      <c r="E5359" s="57"/>
      <c r="H5359" s="18"/>
    </row>
    <row r="5360">
      <c r="C5360" s="18"/>
      <c r="D5360" s="19"/>
      <c r="E5360" s="57"/>
      <c r="H5360" s="18"/>
    </row>
    <row r="5361">
      <c r="C5361" s="18"/>
      <c r="D5361" s="19"/>
      <c r="E5361" s="57"/>
      <c r="H5361" s="18"/>
    </row>
    <row r="5362">
      <c r="C5362" s="18"/>
      <c r="D5362" s="19"/>
      <c r="E5362" s="57"/>
      <c r="H5362" s="18"/>
    </row>
    <row r="5363">
      <c r="C5363" s="18"/>
      <c r="D5363" s="19"/>
      <c r="E5363" s="57"/>
      <c r="H5363" s="18"/>
    </row>
    <row r="5364">
      <c r="C5364" s="18"/>
      <c r="D5364" s="19"/>
      <c r="E5364" s="57"/>
      <c r="H5364" s="18"/>
    </row>
    <row r="5365">
      <c r="C5365" s="18"/>
      <c r="D5365" s="19"/>
      <c r="E5365" s="57"/>
      <c r="H5365" s="18"/>
    </row>
    <row r="5366">
      <c r="C5366" s="18"/>
      <c r="D5366" s="19"/>
      <c r="E5366" s="57"/>
      <c r="H5366" s="18"/>
    </row>
    <row r="5367">
      <c r="C5367" s="18"/>
      <c r="D5367" s="19"/>
      <c r="E5367" s="57"/>
      <c r="H5367" s="18"/>
    </row>
    <row r="5368">
      <c r="C5368" s="18"/>
      <c r="D5368" s="19"/>
      <c r="E5368" s="57"/>
      <c r="H5368" s="18"/>
    </row>
    <row r="5369">
      <c r="C5369" s="18"/>
      <c r="D5369" s="19"/>
      <c r="E5369" s="57"/>
      <c r="H5369" s="18"/>
    </row>
    <row r="5370">
      <c r="C5370" s="18"/>
      <c r="D5370" s="19"/>
      <c r="E5370" s="57"/>
      <c r="H5370" s="18"/>
    </row>
    <row r="5371">
      <c r="C5371" s="18"/>
      <c r="D5371" s="19"/>
      <c r="E5371" s="57"/>
      <c r="H5371" s="18"/>
    </row>
    <row r="5372">
      <c r="C5372" s="18"/>
      <c r="D5372" s="19"/>
      <c r="E5372" s="57"/>
      <c r="H5372" s="18"/>
    </row>
    <row r="5373">
      <c r="C5373" s="18"/>
      <c r="D5373" s="19"/>
      <c r="E5373" s="57"/>
      <c r="H5373" s="18"/>
    </row>
    <row r="5374">
      <c r="C5374" s="18"/>
      <c r="D5374" s="19"/>
      <c r="E5374" s="57"/>
      <c r="H5374" s="18"/>
    </row>
    <row r="5375">
      <c r="C5375" s="18"/>
      <c r="D5375" s="19"/>
      <c r="E5375" s="57"/>
      <c r="H5375" s="18"/>
    </row>
    <row r="5376">
      <c r="C5376" s="18"/>
      <c r="D5376" s="19"/>
      <c r="E5376" s="57"/>
      <c r="H5376" s="18"/>
    </row>
    <row r="5377">
      <c r="C5377" s="18"/>
      <c r="D5377" s="19"/>
      <c r="E5377" s="57"/>
      <c r="H5377" s="18"/>
    </row>
    <row r="5378">
      <c r="C5378" s="18"/>
      <c r="D5378" s="19"/>
      <c r="E5378" s="57"/>
      <c r="H5378" s="18"/>
    </row>
    <row r="5379">
      <c r="C5379" s="18"/>
      <c r="D5379" s="19"/>
      <c r="E5379" s="57"/>
      <c r="H5379" s="18"/>
    </row>
    <row r="5380">
      <c r="C5380" s="18"/>
      <c r="D5380" s="19"/>
      <c r="E5380" s="57"/>
      <c r="H5380" s="18"/>
    </row>
    <row r="5381">
      <c r="C5381" s="18"/>
      <c r="D5381" s="19"/>
      <c r="E5381" s="57"/>
      <c r="H5381" s="18"/>
    </row>
    <row r="5382">
      <c r="C5382" s="18"/>
      <c r="D5382" s="19"/>
      <c r="E5382" s="57"/>
      <c r="H5382" s="18"/>
    </row>
    <row r="5383">
      <c r="C5383" s="18"/>
      <c r="D5383" s="19"/>
      <c r="E5383" s="57"/>
      <c r="H5383" s="18"/>
    </row>
    <row r="5384">
      <c r="C5384" s="18"/>
      <c r="D5384" s="19"/>
      <c r="E5384" s="57"/>
      <c r="H5384" s="18"/>
    </row>
    <row r="5385">
      <c r="C5385" s="18"/>
      <c r="D5385" s="19"/>
      <c r="E5385" s="57"/>
      <c r="H5385" s="18"/>
    </row>
    <row r="5386">
      <c r="C5386" s="18"/>
      <c r="D5386" s="19"/>
      <c r="E5386" s="57"/>
      <c r="H5386" s="18"/>
    </row>
    <row r="5387">
      <c r="C5387" s="18"/>
      <c r="D5387" s="19"/>
      <c r="E5387" s="57"/>
      <c r="H5387" s="18"/>
    </row>
    <row r="5388">
      <c r="C5388" s="18"/>
      <c r="D5388" s="19"/>
      <c r="E5388" s="57"/>
      <c r="H5388" s="18"/>
    </row>
    <row r="5389">
      <c r="C5389" s="18"/>
      <c r="D5389" s="19"/>
      <c r="E5389" s="57"/>
      <c r="H5389" s="18"/>
    </row>
    <row r="5390">
      <c r="C5390" s="18"/>
      <c r="D5390" s="19"/>
      <c r="E5390" s="57"/>
      <c r="H5390" s="18"/>
    </row>
    <row r="5391">
      <c r="C5391" s="18"/>
      <c r="D5391" s="19"/>
      <c r="E5391" s="57"/>
      <c r="H5391" s="18"/>
    </row>
    <row r="5392">
      <c r="C5392" s="18"/>
      <c r="D5392" s="19"/>
      <c r="E5392" s="57"/>
      <c r="H5392" s="18"/>
    </row>
    <row r="5393">
      <c r="C5393" s="18"/>
      <c r="D5393" s="19"/>
      <c r="E5393" s="57"/>
      <c r="H5393" s="18"/>
    </row>
    <row r="5394">
      <c r="C5394" s="18"/>
      <c r="D5394" s="19"/>
      <c r="E5394" s="57"/>
      <c r="H5394" s="18"/>
    </row>
    <row r="5395">
      <c r="C5395" s="18"/>
      <c r="D5395" s="19"/>
      <c r="E5395" s="57"/>
      <c r="H5395" s="18"/>
    </row>
    <row r="5396">
      <c r="C5396" s="18"/>
      <c r="D5396" s="19"/>
      <c r="E5396" s="57"/>
      <c r="H5396" s="18"/>
    </row>
    <row r="5397">
      <c r="C5397" s="18"/>
      <c r="D5397" s="19"/>
      <c r="E5397" s="57"/>
      <c r="H5397" s="18"/>
    </row>
    <row r="5398">
      <c r="C5398" s="18"/>
      <c r="D5398" s="19"/>
      <c r="E5398" s="57"/>
      <c r="H5398" s="18"/>
    </row>
    <row r="5399">
      <c r="C5399" s="18"/>
      <c r="D5399" s="19"/>
      <c r="E5399" s="57"/>
      <c r="H5399" s="18"/>
    </row>
    <row r="5400">
      <c r="C5400" s="18"/>
      <c r="D5400" s="19"/>
      <c r="E5400" s="57"/>
      <c r="H5400" s="18"/>
    </row>
    <row r="5401">
      <c r="C5401" s="18"/>
      <c r="D5401" s="19"/>
      <c r="E5401" s="57"/>
      <c r="H5401" s="18"/>
    </row>
    <row r="5402">
      <c r="C5402" s="18"/>
      <c r="D5402" s="19"/>
      <c r="E5402" s="57"/>
      <c r="H5402" s="18"/>
    </row>
    <row r="5403">
      <c r="C5403" s="18"/>
      <c r="D5403" s="19"/>
      <c r="E5403" s="57"/>
      <c r="H5403" s="18"/>
    </row>
    <row r="5404">
      <c r="C5404" s="18"/>
      <c r="D5404" s="19"/>
      <c r="E5404" s="57"/>
      <c r="H5404" s="18"/>
    </row>
    <row r="5405">
      <c r="C5405" s="18"/>
      <c r="D5405" s="19"/>
      <c r="E5405" s="57"/>
      <c r="H5405" s="18"/>
    </row>
    <row r="5406">
      <c r="C5406" s="18"/>
      <c r="D5406" s="19"/>
      <c r="E5406" s="57"/>
      <c r="H5406" s="18"/>
    </row>
    <row r="5407">
      <c r="C5407" s="18"/>
      <c r="D5407" s="19"/>
      <c r="E5407" s="57"/>
      <c r="H5407" s="18"/>
    </row>
    <row r="5408">
      <c r="C5408" s="18"/>
      <c r="D5408" s="19"/>
      <c r="E5408" s="57"/>
      <c r="H5408" s="18"/>
    </row>
    <row r="5409">
      <c r="C5409" s="18"/>
      <c r="D5409" s="19"/>
      <c r="E5409" s="57"/>
      <c r="H5409" s="18"/>
    </row>
    <row r="5410">
      <c r="C5410" s="18"/>
      <c r="D5410" s="19"/>
      <c r="E5410" s="57"/>
      <c r="H5410" s="18"/>
    </row>
    <row r="5411">
      <c r="C5411" s="18"/>
      <c r="D5411" s="19"/>
      <c r="E5411" s="57"/>
      <c r="H5411" s="18"/>
    </row>
    <row r="5412">
      <c r="C5412" s="18"/>
      <c r="D5412" s="19"/>
      <c r="E5412" s="57"/>
      <c r="H5412" s="18"/>
    </row>
    <row r="5413">
      <c r="C5413" s="18"/>
      <c r="D5413" s="19"/>
      <c r="E5413" s="57"/>
      <c r="H5413" s="18"/>
    </row>
    <row r="5414">
      <c r="C5414" s="18"/>
      <c r="D5414" s="19"/>
      <c r="E5414" s="57"/>
      <c r="H5414" s="18"/>
    </row>
    <row r="5415">
      <c r="C5415" s="18"/>
      <c r="D5415" s="19"/>
      <c r="E5415" s="57"/>
      <c r="H5415" s="18"/>
    </row>
    <row r="5416">
      <c r="C5416" s="18"/>
      <c r="D5416" s="19"/>
      <c r="E5416" s="57"/>
      <c r="H5416" s="18"/>
    </row>
    <row r="5417">
      <c r="C5417" s="18"/>
      <c r="D5417" s="19"/>
      <c r="E5417" s="57"/>
      <c r="H5417" s="18"/>
    </row>
    <row r="5418">
      <c r="C5418" s="18"/>
      <c r="D5418" s="19"/>
      <c r="E5418" s="57"/>
      <c r="H5418" s="18"/>
    </row>
    <row r="5419">
      <c r="C5419" s="18"/>
      <c r="D5419" s="19"/>
      <c r="E5419" s="57"/>
      <c r="H5419" s="18"/>
    </row>
    <row r="5420">
      <c r="C5420" s="18"/>
      <c r="D5420" s="19"/>
      <c r="E5420" s="57"/>
      <c r="H5420" s="18"/>
    </row>
    <row r="5421">
      <c r="C5421" s="18"/>
      <c r="D5421" s="19"/>
      <c r="E5421" s="57"/>
      <c r="H5421" s="18"/>
    </row>
    <row r="5422">
      <c r="C5422" s="18"/>
      <c r="D5422" s="19"/>
      <c r="E5422" s="57"/>
      <c r="H5422" s="18"/>
    </row>
    <row r="5423">
      <c r="C5423" s="18"/>
      <c r="D5423" s="19"/>
      <c r="E5423" s="57"/>
      <c r="H5423" s="18"/>
    </row>
    <row r="5424">
      <c r="C5424" s="18"/>
      <c r="D5424" s="19"/>
      <c r="E5424" s="57"/>
      <c r="H5424" s="18"/>
    </row>
    <row r="5425">
      <c r="C5425" s="18"/>
      <c r="D5425" s="19"/>
      <c r="E5425" s="57"/>
      <c r="H5425" s="18"/>
    </row>
    <row r="5426">
      <c r="C5426" s="18"/>
      <c r="D5426" s="19"/>
      <c r="E5426" s="57"/>
      <c r="H5426" s="18"/>
    </row>
    <row r="5427">
      <c r="C5427" s="18"/>
      <c r="D5427" s="19"/>
      <c r="E5427" s="57"/>
      <c r="H5427" s="18"/>
    </row>
    <row r="5428">
      <c r="C5428" s="18"/>
      <c r="D5428" s="19"/>
      <c r="E5428" s="57"/>
      <c r="H5428" s="18"/>
    </row>
    <row r="5429">
      <c r="C5429" s="18"/>
      <c r="D5429" s="19"/>
      <c r="E5429" s="57"/>
      <c r="H5429" s="18"/>
    </row>
    <row r="5430">
      <c r="C5430" s="18"/>
      <c r="D5430" s="19"/>
      <c r="E5430" s="57"/>
      <c r="H5430" s="18"/>
    </row>
    <row r="5431">
      <c r="C5431" s="18"/>
      <c r="D5431" s="19"/>
      <c r="E5431" s="57"/>
      <c r="H5431" s="18"/>
    </row>
    <row r="5432">
      <c r="C5432" s="18"/>
      <c r="D5432" s="19"/>
      <c r="E5432" s="57"/>
      <c r="H5432" s="18"/>
    </row>
    <row r="5433">
      <c r="C5433" s="18"/>
      <c r="D5433" s="19"/>
      <c r="E5433" s="57"/>
      <c r="H5433" s="18"/>
    </row>
    <row r="5434">
      <c r="C5434" s="18"/>
      <c r="D5434" s="19"/>
      <c r="E5434" s="57"/>
      <c r="H5434" s="18"/>
    </row>
    <row r="5435">
      <c r="C5435" s="18"/>
      <c r="D5435" s="19"/>
      <c r="E5435" s="57"/>
      <c r="H5435" s="18"/>
    </row>
    <row r="5436">
      <c r="C5436" s="18"/>
      <c r="D5436" s="19"/>
      <c r="E5436" s="57"/>
      <c r="H5436" s="18"/>
    </row>
    <row r="5437">
      <c r="C5437" s="18"/>
      <c r="D5437" s="19"/>
      <c r="E5437" s="57"/>
      <c r="H5437" s="18"/>
    </row>
    <row r="5438">
      <c r="C5438" s="18"/>
      <c r="D5438" s="19"/>
      <c r="E5438" s="57"/>
      <c r="H5438" s="18"/>
    </row>
    <row r="5439">
      <c r="C5439" s="18"/>
      <c r="D5439" s="19"/>
      <c r="E5439" s="57"/>
      <c r="H5439" s="18"/>
    </row>
    <row r="5440">
      <c r="C5440" s="18"/>
      <c r="D5440" s="19"/>
      <c r="E5440" s="57"/>
      <c r="H5440" s="18"/>
    </row>
    <row r="5441">
      <c r="C5441" s="18"/>
      <c r="D5441" s="19"/>
      <c r="E5441" s="57"/>
      <c r="H5441" s="18"/>
    </row>
    <row r="5442">
      <c r="C5442" s="18"/>
      <c r="D5442" s="19"/>
      <c r="E5442" s="57"/>
      <c r="H5442" s="18"/>
    </row>
    <row r="5443">
      <c r="C5443" s="18"/>
      <c r="D5443" s="19"/>
      <c r="E5443" s="57"/>
      <c r="H5443" s="18"/>
    </row>
    <row r="5444">
      <c r="C5444" s="18"/>
      <c r="D5444" s="19"/>
      <c r="E5444" s="57"/>
      <c r="H5444" s="18"/>
    </row>
    <row r="5445">
      <c r="C5445" s="18"/>
      <c r="D5445" s="19"/>
      <c r="E5445" s="57"/>
      <c r="H5445" s="18"/>
    </row>
    <row r="5446">
      <c r="C5446" s="18"/>
      <c r="D5446" s="19"/>
      <c r="E5446" s="57"/>
      <c r="H5446" s="18"/>
    </row>
    <row r="5447">
      <c r="C5447" s="18"/>
      <c r="D5447" s="19"/>
      <c r="E5447" s="57"/>
      <c r="H5447" s="18"/>
    </row>
    <row r="5448">
      <c r="C5448" s="18"/>
      <c r="D5448" s="19"/>
      <c r="E5448" s="57"/>
      <c r="H5448" s="18"/>
    </row>
    <row r="5449">
      <c r="C5449" s="18"/>
      <c r="D5449" s="19"/>
      <c r="E5449" s="57"/>
      <c r="H5449" s="18"/>
    </row>
    <row r="5450">
      <c r="C5450" s="18"/>
      <c r="D5450" s="19"/>
      <c r="E5450" s="57"/>
      <c r="H5450" s="18"/>
    </row>
    <row r="5451">
      <c r="C5451" s="18"/>
      <c r="D5451" s="19"/>
      <c r="E5451" s="57"/>
      <c r="H5451" s="18"/>
    </row>
    <row r="5452">
      <c r="C5452" s="18"/>
      <c r="D5452" s="19"/>
      <c r="E5452" s="57"/>
      <c r="H5452" s="18"/>
    </row>
    <row r="5453">
      <c r="C5453" s="18"/>
      <c r="D5453" s="19"/>
      <c r="E5453" s="57"/>
      <c r="H5453" s="18"/>
    </row>
    <row r="5454">
      <c r="C5454" s="18"/>
      <c r="D5454" s="19"/>
      <c r="E5454" s="57"/>
      <c r="H5454" s="18"/>
    </row>
    <row r="5455">
      <c r="C5455" s="18"/>
      <c r="D5455" s="19"/>
      <c r="E5455" s="57"/>
      <c r="H5455" s="18"/>
    </row>
    <row r="5456">
      <c r="C5456" s="18"/>
      <c r="D5456" s="19"/>
      <c r="E5456" s="57"/>
      <c r="H5456" s="18"/>
    </row>
    <row r="5457">
      <c r="C5457" s="18"/>
      <c r="D5457" s="19"/>
      <c r="E5457" s="57"/>
      <c r="H5457" s="18"/>
    </row>
    <row r="5458">
      <c r="C5458" s="18"/>
      <c r="D5458" s="19"/>
      <c r="E5458" s="57"/>
      <c r="H5458" s="18"/>
    </row>
    <row r="5459">
      <c r="C5459" s="18"/>
      <c r="D5459" s="19"/>
      <c r="E5459" s="57"/>
      <c r="H5459" s="18"/>
    </row>
    <row r="5460">
      <c r="C5460" s="18"/>
      <c r="D5460" s="19"/>
      <c r="E5460" s="57"/>
      <c r="H5460" s="18"/>
    </row>
    <row r="5461">
      <c r="C5461" s="18"/>
      <c r="D5461" s="19"/>
      <c r="E5461" s="57"/>
      <c r="H5461" s="18"/>
    </row>
    <row r="5462">
      <c r="C5462" s="18"/>
      <c r="D5462" s="19"/>
      <c r="E5462" s="57"/>
      <c r="H5462" s="18"/>
    </row>
    <row r="5463">
      <c r="C5463" s="18"/>
      <c r="D5463" s="19"/>
      <c r="E5463" s="57"/>
      <c r="H5463" s="18"/>
    </row>
    <row r="5464">
      <c r="C5464" s="18"/>
      <c r="D5464" s="19"/>
      <c r="E5464" s="57"/>
      <c r="H5464" s="18"/>
    </row>
    <row r="5465">
      <c r="C5465" s="18"/>
      <c r="D5465" s="19"/>
      <c r="E5465" s="57"/>
      <c r="H5465" s="18"/>
    </row>
    <row r="5466">
      <c r="C5466" s="18"/>
      <c r="D5466" s="19"/>
      <c r="E5466" s="57"/>
      <c r="H5466" s="18"/>
    </row>
    <row r="5467">
      <c r="C5467" s="18"/>
      <c r="D5467" s="19"/>
      <c r="E5467" s="57"/>
      <c r="H5467" s="18"/>
    </row>
    <row r="5468">
      <c r="C5468" s="18"/>
      <c r="D5468" s="19"/>
      <c r="E5468" s="57"/>
      <c r="H5468" s="18"/>
    </row>
    <row r="5469">
      <c r="C5469" s="18"/>
      <c r="D5469" s="19"/>
      <c r="E5469" s="57"/>
      <c r="H5469" s="18"/>
    </row>
    <row r="5470">
      <c r="C5470" s="18"/>
      <c r="D5470" s="19"/>
      <c r="E5470" s="57"/>
      <c r="H5470" s="18"/>
    </row>
    <row r="5471">
      <c r="C5471" s="18"/>
      <c r="D5471" s="19"/>
      <c r="E5471" s="57"/>
      <c r="H5471" s="18"/>
    </row>
    <row r="5472">
      <c r="C5472" s="18"/>
      <c r="D5472" s="19"/>
      <c r="E5472" s="57"/>
      <c r="H5472" s="18"/>
    </row>
    <row r="5473">
      <c r="C5473" s="18"/>
      <c r="D5473" s="19"/>
      <c r="E5473" s="57"/>
      <c r="H5473" s="18"/>
    </row>
    <row r="5474">
      <c r="C5474" s="18"/>
      <c r="D5474" s="19"/>
      <c r="E5474" s="57"/>
      <c r="H5474" s="18"/>
    </row>
    <row r="5475">
      <c r="C5475" s="18"/>
      <c r="D5475" s="19"/>
      <c r="E5475" s="57"/>
      <c r="H5475" s="18"/>
    </row>
    <row r="5476">
      <c r="C5476" s="18"/>
      <c r="D5476" s="19"/>
      <c r="E5476" s="57"/>
      <c r="H5476" s="18"/>
    </row>
    <row r="5477">
      <c r="C5477" s="18"/>
      <c r="D5477" s="19"/>
      <c r="E5477" s="57"/>
      <c r="H5477" s="18"/>
    </row>
    <row r="5478">
      <c r="C5478" s="18"/>
      <c r="D5478" s="19"/>
      <c r="E5478" s="57"/>
      <c r="H5478" s="18"/>
    </row>
    <row r="5479">
      <c r="C5479" s="18"/>
      <c r="D5479" s="19"/>
      <c r="E5479" s="57"/>
      <c r="H5479" s="18"/>
    </row>
    <row r="5480">
      <c r="C5480" s="18"/>
      <c r="D5480" s="19"/>
      <c r="E5480" s="57"/>
      <c r="H5480" s="18"/>
    </row>
    <row r="5481">
      <c r="C5481" s="18"/>
      <c r="D5481" s="19"/>
      <c r="E5481" s="57"/>
      <c r="H5481" s="18"/>
    </row>
    <row r="5482">
      <c r="C5482" s="18"/>
      <c r="D5482" s="19"/>
      <c r="E5482" s="57"/>
      <c r="H5482" s="18"/>
    </row>
    <row r="5483">
      <c r="C5483" s="18"/>
      <c r="D5483" s="19"/>
      <c r="E5483" s="57"/>
      <c r="H5483" s="18"/>
    </row>
    <row r="5484">
      <c r="C5484" s="18"/>
      <c r="D5484" s="19"/>
      <c r="E5484" s="57"/>
      <c r="H5484" s="18"/>
    </row>
    <row r="5485">
      <c r="C5485" s="18"/>
      <c r="D5485" s="19"/>
      <c r="E5485" s="57"/>
      <c r="H5485" s="18"/>
    </row>
    <row r="5486">
      <c r="C5486" s="18"/>
      <c r="D5486" s="19"/>
      <c r="E5486" s="57"/>
      <c r="H5486" s="18"/>
    </row>
    <row r="5487">
      <c r="C5487" s="18"/>
      <c r="D5487" s="19"/>
      <c r="E5487" s="57"/>
      <c r="H5487" s="18"/>
    </row>
    <row r="5488">
      <c r="C5488" s="18"/>
      <c r="D5488" s="19"/>
      <c r="E5488" s="57"/>
      <c r="H5488" s="18"/>
    </row>
    <row r="5489">
      <c r="C5489" s="18"/>
      <c r="D5489" s="19"/>
      <c r="E5489" s="57"/>
      <c r="H5489" s="18"/>
    </row>
    <row r="5490">
      <c r="C5490" s="18"/>
      <c r="D5490" s="19"/>
      <c r="E5490" s="57"/>
      <c r="H5490" s="18"/>
    </row>
    <row r="5491">
      <c r="C5491" s="18"/>
      <c r="D5491" s="19"/>
      <c r="E5491" s="57"/>
      <c r="H5491" s="18"/>
    </row>
    <row r="5492">
      <c r="C5492" s="18"/>
      <c r="D5492" s="19"/>
      <c r="E5492" s="57"/>
      <c r="H5492" s="18"/>
    </row>
    <row r="5493">
      <c r="C5493" s="18"/>
      <c r="D5493" s="19"/>
      <c r="E5493" s="57"/>
      <c r="H5493" s="18"/>
    </row>
    <row r="5494">
      <c r="C5494" s="18"/>
      <c r="D5494" s="19"/>
      <c r="E5494" s="57"/>
      <c r="H5494" s="18"/>
    </row>
    <row r="5495">
      <c r="C5495" s="18"/>
      <c r="D5495" s="19"/>
      <c r="E5495" s="57"/>
      <c r="H5495" s="18"/>
    </row>
    <row r="5496">
      <c r="C5496" s="18"/>
      <c r="D5496" s="19"/>
      <c r="E5496" s="57"/>
      <c r="H5496" s="18"/>
    </row>
    <row r="5497">
      <c r="C5497" s="18"/>
      <c r="D5497" s="19"/>
      <c r="E5497" s="57"/>
      <c r="H5497" s="18"/>
    </row>
    <row r="5498">
      <c r="C5498" s="18"/>
      <c r="D5498" s="19"/>
      <c r="E5498" s="57"/>
      <c r="H5498" s="18"/>
    </row>
    <row r="5499">
      <c r="C5499" s="18"/>
      <c r="D5499" s="19"/>
      <c r="E5499" s="57"/>
      <c r="H5499" s="18"/>
    </row>
    <row r="5500">
      <c r="C5500" s="18"/>
      <c r="D5500" s="19"/>
      <c r="E5500" s="57"/>
      <c r="H5500" s="18"/>
    </row>
    <row r="5501">
      <c r="C5501" s="18"/>
      <c r="D5501" s="19"/>
      <c r="E5501" s="57"/>
      <c r="H5501" s="18"/>
    </row>
    <row r="5502">
      <c r="C5502" s="18"/>
      <c r="D5502" s="19"/>
      <c r="E5502" s="57"/>
      <c r="H5502" s="18"/>
    </row>
    <row r="5503">
      <c r="C5503" s="18"/>
      <c r="D5503" s="19"/>
      <c r="E5503" s="57"/>
      <c r="H5503" s="18"/>
    </row>
    <row r="5504">
      <c r="C5504" s="18"/>
      <c r="D5504" s="19"/>
      <c r="E5504" s="57"/>
      <c r="H5504" s="18"/>
    </row>
    <row r="5505">
      <c r="C5505" s="18"/>
      <c r="D5505" s="19"/>
      <c r="E5505" s="57"/>
      <c r="H5505" s="18"/>
    </row>
    <row r="5506">
      <c r="C5506" s="18"/>
      <c r="D5506" s="19"/>
      <c r="E5506" s="57"/>
      <c r="H5506" s="18"/>
    </row>
    <row r="5507">
      <c r="C5507" s="18"/>
      <c r="D5507" s="19"/>
      <c r="E5507" s="57"/>
      <c r="H5507" s="18"/>
    </row>
    <row r="5508">
      <c r="C5508" s="18"/>
      <c r="D5508" s="19"/>
      <c r="E5508" s="57"/>
      <c r="H5508" s="18"/>
    </row>
    <row r="5509">
      <c r="C5509" s="18"/>
      <c r="D5509" s="19"/>
      <c r="E5509" s="57"/>
      <c r="H5509" s="18"/>
    </row>
    <row r="5510">
      <c r="C5510" s="18"/>
      <c r="D5510" s="19"/>
      <c r="E5510" s="57"/>
      <c r="H5510" s="18"/>
    </row>
    <row r="5511">
      <c r="C5511" s="18"/>
      <c r="D5511" s="19"/>
      <c r="E5511" s="57"/>
      <c r="H5511" s="18"/>
    </row>
    <row r="5512">
      <c r="C5512" s="18"/>
      <c r="D5512" s="19"/>
      <c r="E5512" s="57"/>
      <c r="H5512" s="18"/>
    </row>
    <row r="5513">
      <c r="C5513" s="18"/>
      <c r="D5513" s="19"/>
      <c r="E5513" s="57"/>
      <c r="H5513" s="18"/>
    </row>
    <row r="5514">
      <c r="C5514" s="18"/>
      <c r="D5514" s="19"/>
      <c r="E5514" s="57"/>
      <c r="H5514" s="18"/>
    </row>
    <row r="5515">
      <c r="C5515" s="18"/>
      <c r="D5515" s="19"/>
      <c r="E5515" s="57"/>
      <c r="H5515" s="18"/>
    </row>
    <row r="5516">
      <c r="C5516" s="18"/>
      <c r="D5516" s="19"/>
      <c r="E5516" s="57"/>
      <c r="H5516" s="18"/>
    </row>
    <row r="5517">
      <c r="C5517" s="18"/>
      <c r="D5517" s="19"/>
      <c r="E5517" s="57"/>
      <c r="H5517" s="18"/>
    </row>
    <row r="5518">
      <c r="C5518" s="18"/>
      <c r="D5518" s="19"/>
      <c r="E5518" s="57"/>
      <c r="H5518" s="18"/>
    </row>
    <row r="5519">
      <c r="C5519" s="18"/>
      <c r="D5519" s="19"/>
      <c r="E5519" s="57"/>
      <c r="H5519" s="18"/>
    </row>
    <row r="5520">
      <c r="C5520" s="18"/>
      <c r="D5520" s="19"/>
      <c r="E5520" s="57"/>
      <c r="H5520" s="18"/>
    </row>
    <row r="5521">
      <c r="C5521" s="18"/>
      <c r="D5521" s="19"/>
      <c r="E5521" s="57"/>
      <c r="H5521" s="18"/>
    </row>
    <row r="5522">
      <c r="C5522" s="18"/>
      <c r="D5522" s="19"/>
      <c r="E5522" s="57"/>
      <c r="H5522" s="18"/>
    </row>
    <row r="5523">
      <c r="C5523" s="18"/>
      <c r="D5523" s="19"/>
      <c r="E5523" s="57"/>
      <c r="H5523" s="18"/>
    </row>
    <row r="5524">
      <c r="C5524" s="18"/>
      <c r="D5524" s="19"/>
      <c r="E5524" s="57"/>
      <c r="H5524" s="18"/>
    </row>
    <row r="5525">
      <c r="C5525" s="18"/>
      <c r="D5525" s="19"/>
      <c r="E5525" s="57"/>
      <c r="H5525" s="18"/>
    </row>
    <row r="5526">
      <c r="C5526" s="18"/>
      <c r="D5526" s="19"/>
      <c r="E5526" s="57"/>
      <c r="H5526" s="18"/>
    </row>
    <row r="5527">
      <c r="C5527" s="18"/>
      <c r="D5527" s="19"/>
      <c r="E5527" s="57"/>
      <c r="H5527" s="18"/>
    </row>
    <row r="5528">
      <c r="C5528" s="18"/>
      <c r="D5528" s="19"/>
      <c r="E5528" s="57"/>
      <c r="H5528" s="18"/>
    </row>
    <row r="5529">
      <c r="C5529" s="18"/>
      <c r="D5529" s="19"/>
      <c r="E5529" s="57"/>
      <c r="H5529" s="18"/>
    </row>
    <row r="5530">
      <c r="C5530" s="18"/>
      <c r="D5530" s="19"/>
      <c r="E5530" s="57"/>
      <c r="H5530" s="18"/>
    </row>
    <row r="5531">
      <c r="C5531" s="18"/>
      <c r="D5531" s="19"/>
      <c r="E5531" s="57"/>
      <c r="H5531" s="18"/>
    </row>
    <row r="5532">
      <c r="C5532" s="18"/>
      <c r="D5532" s="19"/>
      <c r="E5532" s="57"/>
      <c r="H5532" s="18"/>
    </row>
    <row r="5533">
      <c r="C5533" s="18"/>
      <c r="D5533" s="19"/>
      <c r="E5533" s="57"/>
      <c r="H5533" s="18"/>
    </row>
    <row r="5534">
      <c r="C5534" s="18"/>
      <c r="D5534" s="19"/>
      <c r="E5534" s="57"/>
      <c r="H5534" s="18"/>
    </row>
    <row r="5535">
      <c r="C5535" s="18"/>
      <c r="D5535" s="19"/>
      <c r="E5535" s="57"/>
      <c r="H5535" s="18"/>
    </row>
    <row r="5536">
      <c r="C5536" s="18"/>
      <c r="D5536" s="19"/>
      <c r="E5536" s="57"/>
      <c r="H5536" s="18"/>
    </row>
    <row r="5537">
      <c r="C5537" s="18"/>
      <c r="D5537" s="19"/>
      <c r="E5537" s="57"/>
      <c r="H5537" s="18"/>
    </row>
    <row r="5538">
      <c r="C5538" s="18"/>
      <c r="D5538" s="19"/>
      <c r="E5538" s="57"/>
      <c r="H5538" s="18"/>
    </row>
    <row r="5539">
      <c r="C5539" s="18"/>
      <c r="D5539" s="19"/>
      <c r="E5539" s="57"/>
      <c r="H5539" s="18"/>
    </row>
    <row r="5540">
      <c r="C5540" s="18"/>
      <c r="D5540" s="19"/>
      <c r="E5540" s="57"/>
      <c r="H5540" s="18"/>
    </row>
    <row r="5541">
      <c r="C5541" s="18"/>
      <c r="D5541" s="19"/>
      <c r="E5541" s="57"/>
      <c r="H5541" s="18"/>
    </row>
    <row r="5542">
      <c r="C5542" s="18"/>
      <c r="D5542" s="19"/>
      <c r="E5542" s="57"/>
      <c r="H5542" s="18"/>
    </row>
    <row r="5543">
      <c r="C5543" s="18"/>
      <c r="D5543" s="19"/>
      <c r="E5543" s="57"/>
      <c r="H5543" s="18"/>
    </row>
    <row r="5544">
      <c r="C5544" s="18"/>
      <c r="D5544" s="19"/>
      <c r="E5544" s="57"/>
      <c r="H5544" s="18"/>
    </row>
    <row r="5545">
      <c r="C5545" s="18"/>
      <c r="D5545" s="19"/>
      <c r="E5545" s="57"/>
      <c r="H5545" s="18"/>
    </row>
    <row r="5546">
      <c r="C5546" s="18"/>
      <c r="D5546" s="19"/>
      <c r="E5546" s="57"/>
      <c r="H5546" s="18"/>
    </row>
    <row r="5547">
      <c r="C5547" s="18"/>
      <c r="D5547" s="19"/>
      <c r="E5547" s="57"/>
      <c r="H5547" s="18"/>
    </row>
    <row r="5548">
      <c r="C5548" s="18"/>
      <c r="D5548" s="19"/>
      <c r="E5548" s="57"/>
      <c r="H5548" s="18"/>
    </row>
    <row r="5549">
      <c r="C5549" s="18"/>
      <c r="D5549" s="19"/>
      <c r="E5549" s="57"/>
      <c r="H5549" s="18"/>
    </row>
    <row r="5550">
      <c r="C5550" s="18"/>
      <c r="D5550" s="19"/>
      <c r="E5550" s="57"/>
      <c r="H5550" s="18"/>
    </row>
    <row r="5551">
      <c r="C5551" s="18"/>
      <c r="D5551" s="19"/>
      <c r="E5551" s="57"/>
      <c r="H5551" s="18"/>
    </row>
    <row r="5552">
      <c r="C5552" s="18"/>
      <c r="D5552" s="19"/>
      <c r="E5552" s="57"/>
      <c r="H5552" s="18"/>
    </row>
    <row r="5553">
      <c r="C5553" s="18"/>
      <c r="D5553" s="19"/>
      <c r="E5553" s="57"/>
      <c r="H5553" s="18"/>
    </row>
    <row r="5554">
      <c r="C5554" s="18"/>
      <c r="D5554" s="19"/>
      <c r="E5554" s="57"/>
      <c r="H5554" s="18"/>
    </row>
    <row r="5555">
      <c r="C5555" s="18"/>
      <c r="D5555" s="19"/>
      <c r="E5555" s="57"/>
      <c r="H5555" s="18"/>
    </row>
    <row r="5556">
      <c r="C5556" s="18"/>
      <c r="D5556" s="19"/>
      <c r="E5556" s="57"/>
      <c r="H5556" s="18"/>
    </row>
    <row r="5557">
      <c r="C5557" s="18"/>
      <c r="D5557" s="19"/>
      <c r="E5557" s="57"/>
      <c r="H5557" s="18"/>
    </row>
    <row r="5558">
      <c r="C5558" s="18"/>
      <c r="D5558" s="19"/>
      <c r="E5558" s="57"/>
      <c r="H5558" s="18"/>
    </row>
    <row r="5559">
      <c r="C5559" s="18"/>
      <c r="D5559" s="19"/>
      <c r="E5559" s="57"/>
      <c r="H5559" s="18"/>
    </row>
    <row r="5560">
      <c r="C5560" s="18"/>
      <c r="D5560" s="19"/>
      <c r="E5560" s="57"/>
      <c r="H5560" s="18"/>
    </row>
    <row r="5561">
      <c r="C5561" s="18"/>
      <c r="D5561" s="19"/>
      <c r="E5561" s="57"/>
      <c r="H5561" s="18"/>
    </row>
    <row r="5562">
      <c r="C5562" s="18"/>
      <c r="D5562" s="19"/>
      <c r="E5562" s="57"/>
      <c r="H5562" s="18"/>
    </row>
    <row r="5563">
      <c r="C5563" s="18"/>
      <c r="D5563" s="19"/>
      <c r="E5563" s="57"/>
      <c r="H5563" s="18"/>
    </row>
    <row r="5564">
      <c r="C5564" s="18"/>
      <c r="D5564" s="19"/>
      <c r="E5564" s="57"/>
      <c r="H5564" s="18"/>
    </row>
    <row r="5565">
      <c r="C5565" s="18"/>
      <c r="D5565" s="19"/>
      <c r="E5565" s="57"/>
      <c r="H5565" s="18"/>
    </row>
    <row r="5566">
      <c r="C5566" s="18"/>
      <c r="D5566" s="19"/>
      <c r="E5566" s="57"/>
      <c r="H5566" s="18"/>
    </row>
    <row r="5567">
      <c r="C5567" s="18"/>
      <c r="D5567" s="19"/>
      <c r="E5567" s="57"/>
      <c r="H5567" s="18"/>
    </row>
    <row r="5568">
      <c r="C5568" s="18"/>
      <c r="D5568" s="19"/>
      <c r="E5568" s="57"/>
      <c r="H5568" s="18"/>
    </row>
    <row r="5569">
      <c r="C5569" s="18"/>
      <c r="D5569" s="19"/>
      <c r="E5569" s="57"/>
      <c r="H5569" s="18"/>
    </row>
    <row r="5570">
      <c r="C5570" s="18"/>
      <c r="D5570" s="19"/>
      <c r="E5570" s="57"/>
      <c r="H5570" s="18"/>
    </row>
    <row r="5571">
      <c r="C5571" s="18"/>
      <c r="D5571" s="19"/>
      <c r="E5571" s="57"/>
      <c r="H5571" s="18"/>
    </row>
    <row r="5572">
      <c r="C5572" s="18"/>
      <c r="D5572" s="19"/>
      <c r="E5572" s="57"/>
      <c r="H5572" s="18"/>
    </row>
    <row r="5573">
      <c r="C5573" s="18"/>
      <c r="D5573" s="19"/>
      <c r="E5573" s="57"/>
      <c r="H5573" s="18"/>
    </row>
    <row r="5574">
      <c r="C5574" s="18"/>
      <c r="D5574" s="19"/>
      <c r="E5574" s="57"/>
      <c r="H5574" s="18"/>
    </row>
    <row r="5575">
      <c r="C5575" s="18"/>
      <c r="D5575" s="19"/>
      <c r="E5575" s="57"/>
      <c r="H5575" s="18"/>
    </row>
    <row r="5576">
      <c r="C5576" s="18"/>
      <c r="D5576" s="19"/>
      <c r="E5576" s="57"/>
      <c r="H5576" s="18"/>
    </row>
    <row r="5577">
      <c r="C5577" s="18"/>
      <c r="D5577" s="19"/>
      <c r="E5577" s="57"/>
      <c r="H5577" s="18"/>
    </row>
    <row r="5578">
      <c r="C5578" s="18"/>
      <c r="D5578" s="19"/>
      <c r="E5578" s="57"/>
      <c r="H5578" s="18"/>
    </row>
    <row r="5579">
      <c r="C5579" s="18"/>
      <c r="D5579" s="19"/>
      <c r="E5579" s="57"/>
      <c r="H5579" s="18"/>
    </row>
    <row r="5580">
      <c r="C5580" s="18"/>
      <c r="D5580" s="19"/>
      <c r="E5580" s="57"/>
      <c r="H5580" s="18"/>
    </row>
    <row r="5581">
      <c r="C5581" s="18"/>
      <c r="D5581" s="19"/>
      <c r="E5581" s="57"/>
      <c r="H5581" s="18"/>
    </row>
    <row r="5582">
      <c r="C5582" s="18"/>
      <c r="D5582" s="19"/>
      <c r="E5582" s="57"/>
      <c r="H5582" s="18"/>
    </row>
    <row r="5583">
      <c r="C5583" s="18"/>
      <c r="D5583" s="19"/>
      <c r="E5583" s="57"/>
      <c r="H5583" s="18"/>
    </row>
    <row r="5584">
      <c r="C5584" s="18"/>
      <c r="D5584" s="19"/>
      <c r="E5584" s="57"/>
      <c r="H5584" s="18"/>
    </row>
    <row r="5585">
      <c r="C5585" s="18"/>
      <c r="D5585" s="19"/>
      <c r="E5585" s="57"/>
      <c r="H5585" s="18"/>
    </row>
    <row r="5586">
      <c r="C5586" s="18"/>
      <c r="D5586" s="19"/>
      <c r="E5586" s="57"/>
      <c r="H5586" s="18"/>
    </row>
    <row r="5587">
      <c r="C5587" s="18"/>
      <c r="D5587" s="19"/>
      <c r="E5587" s="57"/>
      <c r="H5587" s="18"/>
    </row>
    <row r="5588">
      <c r="C5588" s="18"/>
      <c r="D5588" s="19"/>
      <c r="E5588" s="57"/>
      <c r="H5588" s="18"/>
    </row>
    <row r="5589">
      <c r="C5589" s="18"/>
      <c r="D5589" s="19"/>
      <c r="E5589" s="57"/>
      <c r="H5589" s="18"/>
    </row>
    <row r="5590">
      <c r="C5590" s="18"/>
      <c r="D5590" s="19"/>
      <c r="E5590" s="57"/>
      <c r="H5590" s="18"/>
    </row>
    <row r="5591">
      <c r="C5591" s="18"/>
      <c r="D5591" s="19"/>
      <c r="E5591" s="57"/>
      <c r="H5591" s="18"/>
    </row>
    <row r="5592">
      <c r="C5592" s="18"/>
      <c r="D5592" s="19"/>
      <c r="E5592" s="57"/>
      <c r="H5592" s="18"/>
    </row>
    <row r="5593">
      <c r="C5593" s="18"/>
      <c r="D5593" s="19"/>
      <c r="E5593" s="57"/>
      <c r="H5593" s="18"/>
    </row>
    <row r="5594">
      <c r="C5594" s="18"/>
      <c r="D5594" s="19"/>
      <c r="E5594" s="57"/>
      <c r="H5594" s="18"/>
    </row>
    <row r="5595">
      <c r="C5595" s="18"/>
      <c r="D5595" s="19"/>
      <c r="E5595" s="57"/>
      <c r="H5595" s="18"/>
    </row>
    <row r="5596">
      <c r="C5596" s="18"/>
      <c r="D5596" s="19"/>
      <c r="E5596" s="57"/>
      <c r="H5596" s="18"/>
    </row>
    <row r="5597">
      <c r="C5597" s="18"/>
      <c r="D5597" s="19"/>
      <c r="E5597" s="57"/>
      <c r="H5597" s="18"/>
    </row>
    <row r="5598">
      <c r="C5598" s="18"/>
      <c r="D5598" s="19"/>
      <c r="E5598" s="57"/>
      <c r="H5598" s="18"/>
    </row>
    <row r="5599">
      <c r="C5599" s="18"/>
      <c r="D5599" s="19"/>
      <c r="E5599" s="57"/>
      <c r="H5599" s="18"/>
    </row>
    <row r="5600">
      <c r="C5600" s="18"/>
      <c r="D5600" s="19"/>
      <c r="E5600" s="57"/>
      <c r="H5600" s="18"/>
    </row>
    <row r="5601">
      <c r="C5601" s="18"/>
      <c r="D5601" s="19"/>
      <c r="E5601" s="57"/>
      <c r="H5601" s="18"/>
    </row>
    <row r="5602">
      <c r="C5602" s="18"/>
      <c r="D5602" s="19"/>
      <c r="E5602" s="57"/>
      <c r="H5602" s="18"/>
    </row>
    <row r="5603">
      <c r="C5603" s="18"/>
      <c r="D5603" s="19"/>
      <c r="E5603" s="57"/>
      <c r="H5603" s="18"/>
    </row>
    <row r="5604">
      <c r="C5604" s="18"/>
      <c r="D5604" s="19"/>
      <c r="E5604" s="57"/>
      <c r="H5604" s="18"/>
    </row>
    <row r="5605">
      <c r="C5605" s="18"/>
      <c r="D5605" s="19"/>
      <c r="E5605" s="57"/>
      <c r="H5605" s="18"/>
    </row>
    <row r="5606">
      <c r="C5606" s="18"/>
      <c r="D5606" s="19"/>
      <c r="E5606" s="57"/>
      <c r="H5606" s="18"/>
    </row>
    <row r="5607">
      <c r="C5607" s="18"/>
      <c r="D5607" s="19"/>
      <c r="E5607" s="57"/>
      <c r="H5607" s="18"/>
    </row>
    <row r="5608">
      <c r="C5608" s="18"/>
      <c r="D5608" s="19"/>
      <c r="E5608" s="57"/>
      <c r="H5608" s="18"/>
    </row>
    <row r="5609">
      <c r="C5609" s="18"/>
      <c r="D5609" s="19"/>
      <c r="E5609" s="57"/>
      <c r="H5609" s="18"/>
    </row>
    <row r="5610">
      <c r="C5610" s="18"/>
      <c r="D5610" s="19"/>
      <c r="E5610" s="57"/>
      <c r="H5610" s="18"/>
    </row>
    <row r="5611">
      <c r="C5611" s="18"/>
      <c r="D5611" s="19"/>
      <c r="E5611" s="57"/>
      <c r="H5611" s="18"/>
    </row>
    <row r="5612">
      <c r="C5612" s="18"/>
      <c r="D5612" s="19"/>
      <c r="E5612" s="57"/>
      <c r="H5612" s="18"/>
    </row>
    <row r="5613">
      <c r="C5613" s="18"/>
      <c r="D5613" s="19"/>
      <c r="E5613" s="57"/>
      <c r="H5613" s="18"/>
    </row>
    <row r="5614">
      <c r="C5614" s="18"/>
      <c r="D5614" s="19"/>
      <c r="E5614" s="57"/>
      <c r="H5614" s="18"/>
    </row>
    <row r="5615">
      <c r="C5615" s="18"/>
      <c r="D5615" s="19"/>
      <c r="E5615" s="57"/>
      <c r="H5615" s="18"/>
    </row>
    <row r="5616">
      <c r="C5616" s="18"/>
      <c r="D5616" s="19"/>
      <c r="E5616" s="57"/>
      <c r="H5616" s="18"/>
    </row>
    <row r="5617">
      <c r="C5617" s="18"/>
      <c r="D5617" s="19"/>
      <c r="E5617" s="57"/>
      <c r="H5617" s="18"/>
    </row>
    <row r="5618">
      <c r="C5618" s="18"/>
      <c r="D5618" s="19"/>
      <c r="E5618" s="57"/>
      <c r="H5618" s="18"/>
    </row>
    <row r="5619">
      <c r="C5619" s="18"/>
      <c r="D5619" s="19"/>
      <c r="E5619" s="57"/>
      <c r="H5619" s="18"/>
    </row>
    <row r="5620">
      <c r="C5620" s="18"/>
      <c r="D5620" s="19"/>
      <c r="E5620" s="57"/>
      <c r="H5620" s="18"/>
    </row>
    <row r="5621">
      <c r="C5621" s="18"/>
      <c r="D5621" s="19"/>
      <c r="E5621" s="57"/>
      <c r="H5621" s="18"/>
    </row>
    <row r="5622">
      <c r="C5622" s="18"/>
      <c r="D5622" s="19"/>
      <c r="E5622" s="57"/>
      <c r="H5622" s="18"/>
    </row>
    <row r="5623">
      <c r="C5623" s="18"/>
      <c r="D5623" s="19"/>
      <c r="E5623" s="57"/>
      <c r="H5623" s="18"/>
    </row>
    <row r="5624">
      <c r="C5624" s="18"/>
      <c r="D5624" s="19"/>
      <c r="E5624" s="57"/>
      <c r="H5624" s="18"/>
    </row>
    <row r="5625">
      <c r="C5625" s="18"/>
      <c r="D5625" s="19"/>
      <c r="E5625" s="57"/>
      <c r="H5625" s="18"/>
    </row>
    <row r="5626">
      <c r="C5626" s="18"/>
      <c r="D5626" s="19"/>
      <c r="E5626" s="57"/>
      <c r="H5626" s="18"/>
    </row>
    <row r="5627">
      <c r="C5627" s="18"/>
      <c r="D5627" s="19"/>
      <c r="E5627" s="57"/>
      <c r="H5627" s="18"/>
    </row>
    <row r="5628">
      <c r="C5628" s="18"/>
      <c r="D5628" s="19"/>
      <c r="E5628" s="57"/>
      <c r="H5628" s="18"/>
    </row>
    <row r="5629">
      <c r="C5629" s="18"/>
      <c r="D5629" s="19"/>
      <c r="E5629" s="57"/>
      <c r="H5629" s="18"/>
    </row>
    <row r="5630">
      <c r="C5630" s="18"/>
      <c r="D5630" s="19"/>
      <c r="E5630" s="57"/>
      <c r="H5630" s="18"/>
    </row>
    <row r="5631">
      <c r="C5631" s="18"/>
      <c r="D5631" s="19"/>
      <c r="E5631" s="57"/>
      <c r="H5631" s="18"/>
    </row>
    <row r="5632">
      <c r="C5632" s="18"/>
      <c r="D5632" s="19"/>
      <c r="E5632" s="57"/>
      <c r="H5632" s="18"/>
    </row>
    <row r="5633">
      <c r="C5633" s="18"/>
      <c r="D5633" s="19"/>
      <c r="E5633" s="57"/>
      <c r="H5633" s="18"/>
    </row>
    <row r="5634">
      <c r="C5634" s="18"/>
      <c r="D5634" s="19"/>
      <c r="E5634" s="57"/>
      <c r="H5634" s="18"/>
    </row>
    <row r="5635">
      <c r="C5635" s="18"/>
      <c r="D5635" s="19"/>
      <c r="E5635" s="57"/>
      <c r="H5635" s="18"/>
    </row>
    <row r="5636">
      <c r="C5636" s="18"/>
      <c r="D5636" s="19"/>
      <c r="E5636" s="57"/>
      <c r="H5636" s="18"/>
    </row>
    <row r="5637">
      <c r="C5637" s="18"/>
      <c r="D5637" s="19"/>
      <c r="E5637" s="57"/>
      <c r="H5637" s="18"/>
    </row>
    <row r="5638">
      <c r="C5638" s="18"/>
      <c r="D5638" s="19"/>
      <c r="E5638" s="57"/>
      <c r="H5638" s="18"/>
    </row>
    <row r="5639">
      <c r="C5639" s="18"/>
      <c r="D5639" s="19"/>
      <c r="E5639" s="57"/>
      <c r="H5639" s="18"/>
    </row>
    <row r="5640">
      <c r="C5640" s="18"/>
      <c r="D5640" s="19"/>
      <c r="E5640" s="57"/>
      <c r="H5640" s="18"/>
    </row>
    <row r="5641">
      <c r="C5641" s="18"/>
      <c r="D5641" s="19"/>
      <c r="E5641" s="57"/>
      <c r="H5641" s="18"/>
    </row>
    <row r="5642">
      <c r="C5642" s="18"/>
      <c r="D5642" s="19"/>
      <c r="E5642" s="57"/>
      <c r="H5642" s="18"/>
    </row>
    <row r="5643">
      <c r="C5643" s="18"/>
      <c r="D5643" s="19"/>
      <c r="E5643" s="57"/>
      <c r="H5643" s="18"/>
    </row>
    <row r="5644">
      <c r="C5644" s="18"/>
      <c r="D5644" s="19"/>
      <c r="E5644" s="57"/>
      <c r="H5644" s="18"/>
    </row>
    <row r="5645">
      <c r="C5645" s="18"/>
      <c r="D5645" s="19"/>
      <c r="E5645" s="57"/>
      <c r="H5645" s="18"/>
    </row>
    <row r="5646">
      <c r="C5646" s="18"/>
      <c r="D5646" s="19"/>
      <c r="E5646" s="57"/>
      <c r="H5646" s="18"/>
    </row>
    <row r="5647">
      <c r="C5647" s="18"/>
      <c r="D5647" s="19"/>
      <c r="E5647" s="57"/>
      <c r="H5647" s="18"/>
    </row>
    <row r="5648">
      <c r="C5648" s="18"/>
      <c r="D5648" s="19"/>
      <c r="E5648" s="57"/>
      <c r="H5648" s="18"/>
    </row>
    <row r="5649">
      <c r="C5649" s="18"/>
      <c r="D5649" s="19"/>
      <c r="E5649" s="57"/>
      <c r="H5649" s="18"/>
    </row>
    <row r="5650">
      <c r="C5650" s="18"/>
      <c r="D5650" s="19"/>
      <c r="E5650" s="57"/>
      <c r="H5650" s="18"/>
    </row>
    <row r="5651">
      <c r="C5651" s="18"/>
      <c r="D5651" s="19"/>
      <c r="E5651" s="57"/>
      <c r="H5651" s="18"/>
    </row>
    <row r="5652">
      <c r="C5652" s="18"/>
      <c r="D5652" s="19"/>
      <c r="E5652" s="57"/>
      <c r="H5652" s="18"/>
    </row>
    <row r="5653">
      <c r="C5653" s="18"/>
      <c r="D5653" s="19"/>
      <c r="E5653" s="57"/>
      <c r="H5653" s="18"/>
    </row>
    <row r="5654">
      <c r="C5654" s="18"/>
      <c r="D5654" s="19"/>
      <c r="E5654" s="57"/>
      <c r="H5654" s="18"/>
    </row>
    <row r="5655">
      <c r="C5655" s="18"/>
      <c r="D5655" s="19"/>
      <c r="E5655" s="57"/>
      <c r="H5655" s="18"/>
    </row>
    <row r="5656">
      <c r="C5656" s="18"/>
      <c r="D5656" s="19"/>
      <c r="E5656" s="57"/>
      <c r="H5656" s="18"/>
    </row>
    <row r="5657">
      <c r="C5657" s="18"/>
      <c r="D5657" s="19"/>
      <c r="E5657" s="57"/>
      <c r="H5657" s="18"/>
    </row>
    <row r="5658">
      <c r="C5658" s="18"/>
      <c r="D5658" s="19"/>
      <c r="E5658" s="57"/>
      <c r="H5658" s="18"/>
    </row>
    <row r="5659">
      <c r="C5659" s="18"/>
      <c r="D5659" s="19"/>
      <c r="E5659" s="57"/>
      <c r="H5659" s="18"/>
    </row>
    <row r="5660">
      <c r="C5660" s="18"/>
      <c r="D5660" s="19"/>
      <c r="E5660" s="57"/>
      <c r="H5660" s="18"/>
    </row>
    <row r="5661">
      <c r="C5661" s="18"/>
      <c r="D5661" s="19"/>
      <c r="E5661" s="57"/>
      <c r="H5661" s="18"/>
    </row>
    <row r="5662">
      <c r="C5662" s="18"/>
      <c r="D5662" s="19"/>
      <c r="E5662" s="57"/>
      <c r="H5662" s="18"/>
    </row>
    <row r="5663">
      <c r="C5663" s="18"/>
      <c r="D5663" s="19"/>
      <c r="E5663" s="57"/>
      <c r="H5663" s="18"/>
    </row>
    <row r="5664">
      <c r="C5664" s="18"/>
      <c r="D5664" s="19"/>
      <c r="E5664" s="57"/>
      <c r="H5664" s="18"/>
    </row>
    <row r="5665">
      <c r="C5665" s="18"/>
      <c r="D5665" s="19"/>
      <c r="E5665" s="57"/>
      <c r="H5665" s="18"/>
    </row>
    <row r="5666">
      <c r="C5666" s="18"/>
      <c r="D5666" s="19"/>
      <c r="E5666" s="57"/>
      <c r="H5666" s="18"/>
    </row>
    <row r="5667">
      <c r="C5667" s="18"/>
      <c r="D5667" s="19"/>
      <c r="E5667" s="57"/>
      <c r="H5667" s="18"/>
    </row>
    <row r="5668">
      <c r="C5668" s="18"/>
      <c r="D5668" s="19"/>
      <c r="E5668" s="57"/>
      <c r="H5668" s="18"/>
    </row>
    <row r="5669">
      <c r="C5669" s="18"/>
      <c r="D5669" s="19"/>
      <c r="E5669" s="57"/>
      <c r="H5669" s="18"/>
    </row>
    <row r="5670">
      <c r="C5670" s="18"/>
      <c r="D5670" s="19"/>
      <c r="E5670" s="57"/>
      <c r="H5670" s="18"/>
    </row>
    <row r="5671">
      <c r="C5671" s="18"/>
      <c r="D5671" s="19"/>
      <c r="E5671" s="57"/>
      <c r="H5671" s="18"/>
    </row>
    <row r="5672">
      <c r="C5672" s="18"/>
      <c r="D5672" s="19"/>
      <c r="E5672" s="57"/>
      <c r="H5672" s="18"/>
    </row>
    <row r="5673">
      <c r="C5673" s="18"/>
      <c r="D5673" s="19"/>
      <c r="E5673" s="57"/>
      <c r="H5673" s="18"/>
    </row>
    <row r="5674">
      <c r="C5674" s="18"/>
      <c r="D5674" s="19"/>
      <c r="E5674" s="57"/>
      <c r="H5674" s="18"/>
    </row>
    <row r="5675">
      <c r="C5675" s="18"/>
      <c r="D5675" s="19"/>
      <c r="E5675" s="57"/>
      <c r="H5675" s="18"/>
    </row>
    <row r="5676">
      <c r="C5676" s="18"/>
      <c r="D5676" s="19"/>
      <c r="E5676" s="57"/>
      <c r="H5676" s="18"/>
    </row>
    <row r="5677">
      <c r="C5677" s="18"/>
      <c r="D5677" s="19"/>
      <c r="E5677" s="57"/>
      <c r="H5677" s="18"/>
    </row>
    <row r="5678">
      <c r="C5678" s="18"/>
      <c r="D5678" s="19"/>
      <c r="E5678" s="57"/>
      <c r="H5678" s="18"/>
    </row>
    <row r="5679">
      <c r="C5679" s="18"/>
      <c r="D5679" s="19"/>
      <c r="E5679" s="57"/>
      <c r="H5679" s="18"/>
    </row>
    <row r="5680">
      <c r="C5680" s="18"/>
      <c r="D5680" s="19"/>
      <c r="E5680" s="57"/>
      <c r="H5680" s="18"/>
    </row>
    <row r="5681">
      <c r="C5681" s="18"/>
      <c r="D5681" s="19"/>
      <c r="E5681" s="57"/>
      <c r="H5681" s="18"/>
    </row>
    <row r="5682">
      <c r="C5682" s="18"/>
      <c r="D5682" s="19"/>
      <c r="E5682" s="57"/>
      <c r="H5682" s="18"/>
    </row>
    <row r="5683">
      <c r="C5683" s="18"/>
      <c r="D5683" s="19"/>
      <c r="E5683" s="57"/>
      <c r="H5683" s="18"/>
    </row>
    <row r="5684">
      <c r="C5684" s="18"/>
      <c r="D5684" s="19"/>
      <c r="E5684" s="57"/>
      <c r="H5684" s="18"/>
    </row>
    <row r="5685">
      <c r="C5685" s="18"/>
      <c r="D5685" s="19"/>
      <c r="E5685" s="57"/>
      <c r="H5685" s="18"/>
    </row>
    <row r="5686">
      <c r="C5686" s="18"/>
      <c r="D5686" s="19"/>
      <c r="E5686" s="57"/>
      <c r="H5686" s="18"/>
    </row>
    <row r="5687">
      <c r="C5687" s="18"/>
      <c r="D5687" s="19"/>
      <c r="E5687" s="57"/>
      <c r="H5687" s="18"/>
    </row>
    <row r="5688">
      <c r="C5688" s="18"/>
      <c r="D5688" s="19"/>
      <c r="E5688" s="57"/>
      <c r="H5688" s="18"/>
    </row>
    <row r="5689">
      <c r="C5689" s="18"/>
      <c r="D5689" s="19"/>
      <c r="E5689" s="57"/>
      <c r="H5689" s="18"/>
    </row>
    <row r="5690">
      <c r="C5690" s="18"/>
      <c r="D5690" s="19"/>
      <c r="E5690" s="57"/>
      <c r="H5690" s="18"/>
    </row>
    <row r="5691">
      <c r="C5691" s="18"/>
      <c r="D5691" s="19"/>
      <c r="E5691" s="57"/>
      <c r="H5691" s="18"/>
    </row>
    <row r="5692">
      <c r="C5692" s="18"/>
      <c r="D5692" s="19"/>
      <c r="E5692" s="57"/>
      <c r="H5692" s="18"/>
    </row>
    <row r="5693">
      <c r="C5693" s="18"/>
      <c r="D5693" s="19"/>
      <c r="E5693" s="57"/>
      <c r="H5693" s="18"/>
    </row>
    <row r="5694">
      <c r="C5694" s="18"/>
      <c r="D5694" s="19"/>
      <c r="E5694" s="57"/>
      <c r="H5694" s="18"/>
    </row>
    <row r="5695">
      <c r="C5695" s="18"/>
      <c r="D5695" s="19"/>
      <c r="E5695" s="57"/>
      <c r="H5695" s="18"/>
    </row>
    <row r="5696">
      <c r="C5696" s="18"/>
      <c r="D5696" s="19"/>
      <c r="E5696" s="57"/>
      <c r="H5696" s="18"/>
    </row>
    <row r="5697">
      <c r="C5697" s="18"/>
      <c r="D5697" s="19"/>
      <c r="E5697" s="57"/>
      <c r="H5697" s="18"/>
    </row>
    <row r="5698">
      <c r="C5698" s="18"/>
      <c r="D5698" s="19"/>
      <c r="E5698" s="57"/>
      <c r="H5698" s="18"/>
    </row>
    <row r="5699">
      <c r="C5699" s="18"/>
      <c r="D5699" s="19"/>
      <c r="E5699" s="57"/>
      <c r="H5699" s="18"/>
    </row>
    <row r="5700">
      <c r="C5700" s="18"/>
      <c r="D5700" s="19"/>
      <c r="E5700" s="57"/>
      <c r="H5700" s="18"/>
    </row>
    <row r="5701">
      <c r="C5701" s="18"/>
      <c r="D5701" s="19"/>
      <c r="E5701" s="57"/>
      <c r="H5701" s="18"/>
    </row>
    <row r="5702">
      <c r="C5702" s="18"/>
      <c r="D5702" s="19"/>
      <c r="E5702" s="57"/>
      <c r="H5702" s="18"/>
    </row>
    <row r="5703">
      <c r="C5703" s="18"/>
      <c r="D5703" s="19"/>
      <c r="E5703" s="57"/>
      <c r="H5703" s="18"/>
    </row>
    <row r="5704">
      <c r="C5704" s="18"/>
      <c r="D5704" s="19"/>
      <c r="E5704" s="57"/>
      <c r="H5704" s="18"/>
    </row>
    <row r="5705">
      <c r="C5705" s="18"/>
      <c r="D5705" s="19"/>
      <c r="E5705" s="57"/>
      <c r="H5705" s="18"/>
    </row>
    <row r="5706">
      <c r="C5706" s="18"/>
      <c r="D5706" s="19"/>
      <c r="E5706" s="57"/>
      <c r="H5706" s="18"/>
    </row>
    <row r="5707">
      <c r="C5707" s="18"/>
      <c r="D5707" s="19"/>
      <c r="E5707" s="57"/>
      <c r="H5707" s="18"/>
    </row>
    <row r="5708">
      <c r="C5708" s="18"/>
      <c r="D5708" s="19"/>
      <c r="E5708" s="57"/>
      <c r="H5708" s="18"/>
    </row>
    <row r="5709">
      <c r="C5709" s="18"/>
      <c r="D5709" s="19"/>
      <c r="E5709" s="57"/>
      <c r="H5709" s="18"/>
    </row>
    <row r="5710">
      <c r="C5710" s="18"/>
      <c r="D5710" s="19"/>
      <c r="E5710" s="57"/>
      <c r="H5710" s="18"/>
    </row>
    <row r="5711">
      <c r="C5711" s="18"/>
      <c r="D5711" s="19"/>
      <c r="E5711" s="57"/>
      <c r="H5711" s="18"/>
    </row>
    <row r="5712">
      <c r="C5712" s="18"/>
      <c r="D5712" s="19"/>
      <c r="E5712" s="57"/>
      <c r="H5712" s="18"/>
    </row>
    <row r="5713">
      <c r="C5713" s="18"/>
      <c r="D5713" s="19"/>
      <c r="E5713" s="57"/>
      <c r="H5713" s="18"/>
    </row>
    <row r="5714">
      <c r="C5714" s="18"/>
      <c r="D5714" s="19"/>
      <c r="E5714" s="57"/>
      <c r="H5714" s="18"/>
    </row>
    <row r="5715">
      <c r="C5715" s="18"/>
      <c r="D5715" s="19"/>
      <c r="E5715" s="57"/>
      <c r="H5715" s="18"/>
    </row>
    <row r="5716">
      <c r="C5716" s="18"/>
      <c r="D5716" s="19"/>
      <c r="E5716" s="57"/>
      <c r="H5716" s="18"/>
    </row>
    <row r="5717">
      <c r="C5717" s="18"/>
      <c r="D5717" s="19"/>
      <c r="E5717" s="57"/>
      <c r="H5717" s="18"/>
    </row>
    <row r="5718">
      <c r="C5718" s="18"/>
      <c r="D5718" s="19"/>
      <c r="E5718" s="57"/>
      <c r="H5718" s="18"/>
    </row>
    <row r="5719">
      <c r="C5719" s="18"/>
      <c r="D5719" s="19"/>
      <c r="E5719" s="57"/>
      <c r="H5719" s="18"/>
    </row>
    <row r="5720">
      <c r="C5720" s="18"/>
      <c r="D5720" s="19"/>
      <c r="E5720" s="57"/>
      <c r="H5720" s="18"/>
    </row>
    <row r="5721">
      <c r="C5721" s="18"/>
      <c r="D5721" s="19"/>
      <c r="E5721" s="57"/>
      <c r="H5721" s="18"/>
    </row>
    <row r="5722">
      <c r="C5722" s="18"/>
      <c r="D5722" s="19"/>
      <c r="E5722" s="57"/>
      <c r="H5722" s="18"/>
    </row>
    <row r="5723">
      <c r="C5723" s="18"/>
      <c r="D5723" s="19"/>
      <c r="E5723" s="57"/>
      <c r="H5723" s="18"/>
    </row>
    <row r="5724">
      <c r="C5724" s="18"/>
      <c r="D5724" s="19"/>
      <c r="E5724" s="57"/>
      <c r="H5724" s="18"/>
    </row>
    <row r="5725">
      <c r="C5725" s="18"/>
      <c r="D5725" s="19"/>
      <c r="E5725" s="57"/>
      <c r="H5725" s="18"/>
    </row>
    <row r="5726">
      <c r="C5726" s="18"/>
      <c r="D5726" s="19"/>
      <c r="E5726" s="57"/>
      <c r="H5726" s="18"/>
    </row>
    <row r="5727">
      <c r="C5727" s="18"/>
      <c r="D5727" s="19"/>
      <c r="E5727" s="57"/>
      <c r="H5727" s="18"/>
    </row>
    <row r="5728">
      <c r="C5728" s="18"/>
      <c r="D5728" s="19"/>
      <c r="E5728" s="57"/>
      <c r="H5728" s="18"/>
    </row>
    <row r="5729">
      <c r="C5729" s="18"/>
      <c r="D5729" s="19"/>
      <c r="E5729" s="57"/>
      <c r="H5729" s="18"/>
    </row>
    <row r="5730">
      <c r="C5730" s="18"/>
      <c r="D5730" s="19"/>
      <c r="E5730" s="57"/>
      <c r="H5730" s="18"/>
    </row>
    <row r="5731">
      <c r="C5731" s="18"/>
      <c r="D5731" s="19"/>
      <c r="E5731" s="57"/>
      <c r="H5731" s="18"/>
    </row>
    <row r="5732">
      <c r="C5732" s="18"/>
      <c r="D5732" s="19"/>
      <c r="E5732" s="57"/>
      <c r="H5732" s="18"/>
    </row>
    <row r="5733">
      <c r="C5733" s="18"/>
      <c r="D5733" s="19"/>
      <c r="E5733" s="57"/>
      <c r="H5733" s="18"/>
    </row>
    <row r="5734">
      <c r="C5734" s="18"/>
      <c r="D5734" s="19"/>
      <c r="E5734" s="57"/>
      <c r="H5734" s="18"/>
    </row>
    <row r="5735">
      <c r="C5735" s="18"/>
      <c r="D5735" s="19"/>
      <c r="E5735" s="57"/>
      <c r="H5735" s="18"/>
    </row>
    <row r="5736">
      <c r="C5736" s="18"/>
      <c r="D5736" s="19"/>
      <c r="E5736" s="57"/>
      <c r="H5736" s="18"/>
    </row>
    <row r="5737">
      <c r="C5737" s="18"/>
      <c r="D5737" s="19"/>
      <c r="E5737" s="57"/>
      <c r="H5737" s="18"/>
    </row>
    <row r="5738">
      <c r="C5738" s="18"/>
      <c r="D5738" s="19"/>
      <c r="E5738" s="57"/>
      <c r="H5738" s="18"/>
    </row>
    <row r="5739">
      <c r="C5739" s="18"/>
      <c r="D5739" s="19"/>
      <c r="E5739" s="57"/>
      <c r="H5739" s="18"/>
    </row>
    <row r="5740">
      <c r="C5740" s="18"/>
      <c r="D5740" s="19"/>
      <c r="E5740" s="57"/>
      <c r="H5740" s="18"/>
    </row>
    <row r="5741">
      <c r="C5741" s="18"/>
      <c r="D5741" s="19"/>
      <c r="E5741" s="57"/>
      <c r="H5741" s="18"/>
    </row>
    <row r="5742">
      <c r="C5742" s="18"/>
      <c r="D5742" s="19"/>
      <c r="E5742" s="57"/>
      <c r="H5742" s="18"/>
    </row>
    <row r="5743">
      <c r="C5743" s="18"/>
      <c r="D5743" s="19"/>
      <c r="E5743" s="57"/>
      <c r="H5743" s="18"/>
    </row>
    <row r="5744">
      <c r="C5744" s="18"/>
      <c r="D5744" s="19"/>
      <c r="E5744" s="57"/>
      <c r="H5744" s="18"/>
    </row>
    <row r="5745">
      <c r="C5745" s="18"/>
      <c r="D5745" s="19"/>
      <c r="E5745" s="57"/>
      <c r="H5745" s="18"/>
    </row>
    <row r="5746">
      <c r="C5746" s="18"/>
      <c r="D5746" s="19"/>
      <c r="E5746" s="57"/>
      <c r="H5746" s="18"/>
    </row>
    <row r="5747">
      <c r="C5747" s="18"/>
      <c r="D5747" s="19"/>
      <c r="E5747" s="57"/>
      <c r="H5747" s="18"/>
    </row>
    <row r="5748">
      <c r="C5748" s="18"/>
      <c r="D5748" s="19"/>
      <c r="E5748" s="57"/>
      <c r="H5748" s="18"/>
    </row>
    <row r="5749">
      <c r="C5749" s="18"/>
      <c r="D5749" s="19"/>
      <c r="E5749" s="57"/>
      <c r="H5749" s="18"/>
    </row>
    <row r="5750">
      <c r="C5750" s="18"/>
      <c r="D5750" s="19"/>
      <c r="E5750" s="57"/>
      <c r="H5750" s="18"/>
    </row>
    <row r="5751">
      <c r="C5751" s="18"/>
      <c r="D5751" s="19"/>
      <c r="E5751" s="57"/>
      <c r="H5751" s="18"/>
    </row>
    <row r="5752">
      <c r="C5752" s="18"/>
      <c r="D5752" s="19"/>
      <c r="E5752" s="57"/>
      <c r="H5752" s="18"/>
    </row>
    <row r="5753">
      <c r="C5753" s="18"/>
      <c r="D5753" s="19"/>
      <c r="E5753" s="57"/>
      <c r="H5753" s="18"/>
    </row>
    <row r="5754">
      <c r="C5754" s="18"/>
      <c r="D5754" s="19"/>
      <c r="E5754" s="57"/>
      <c r="H5754" s="18"/>
    </row>
    <row r="5755">
      <c r="C5755" s="18"/>
      <c r="D5755" s="19"/>
      <c r="E5755" s="57"/>
      <c r="H5755" s="18"/>
    </row>
    <row r="5756">
      <c r="C5756" s="18"/>
      <c r="D5756" s="19"/>
      <c r="E5756" s="57"/>
      <c r="H5756" s="18"/>
    </row>
    <row r="5757">
      <c r="C5757" s="18"/>
      <c r="D5757" s="19"/>
      <c r="E5757" s="57"/>
      <c r="H5757" s="18"/>
    </row>
    <row r="5758">
      <c r="C5758" s="18"/>
      <c r="D5758" s="19"/>
      <c r="E5758" s="57"/>
      <c r="H5758" s="18"/>
    </row>
    <row r="5759">
      <c r="C5759" s="18"/>
      <c r="D5759" s="19"/>
      <c r="E5759" s="57"/>
      <c r="H5759" s="18"/>
    </row>
    <row r="5760">
      <c r="C5760" s="18"/>
      <c r="D5760" s="19"/>
      <c r="E5760" s="57"/>
      <c r="H5760" s="18"/>
    </row>
    <row r="5761">
      <c r="C5761" s="18"/>
      <c r="D5761" s="19"/>
      <c r="E5761" s="57"/>
      <c r="H5761" s="18"/>
    </row>
    <row r="5762">
      <c r="C5762" s="18"/>
      <c r="D5762" s="19"/>
      <c r="E5762" s="57"/>
      <c r="H5762" s="18"/>
    </row>
    <row r="5763">
      <c r="C5763" s="18"/>
      <c r="D5763" s="19"/>
      <c r="E5763" s="57"/>
      <c r="H5763" s="18"/>
    </row>
    <row r="5764">
      <c r="C5764" s="18"/>
      <c r="D5764" s="19"/>
      <c r="E5764" s="57"/>
      <c r="H5764" s="18"/>
    </row>
    <row r="5765">
      <c r="C5765" s="18"/>
      <c r="D5765" s="19"/>
      <c r="E5765" s="57"/>
      <c r="H5765" s="18"/>
    </row>
    <row r="5766">
      <c r="C5766" s="18"/>
      <c r="D5766" s="19"/>
      <c r="E5766" s="57"/>
      <c r="H5766" s="18"/>
    </row>
    <row r="5767">
      <c r="C5767" s="18"/>
      <c r="D5767" s="19"/>
      <c r="E5767" s="57"/>
      <c r="H5767" s="18"/>
    </row>
    <row r="5768">
      <c r="C5768" s="18"/>
      <c r="D5768" s="19"/>
      <c r="E5768" s="57"/>
      <c r="H5768" s="18"/>
    </row>
    <row r="5769">
      <c r="C5769" s="18"/>
      <c r="D5769" s="19"/>
      <c r="E5769" s="57"/>
      <c r="H5769" s="18"/>
    </row>
    <row r="5770">
      <c r="C5770" s="18"/>
      <c r="D5770" s="19"/>
      <c r="E5770" s="57"/>
      <c r="H5770" s="18"/>
    </row>
    <row r="5771">
      <c r="C5771" s="18"/>
      <c r="D5771" s="19"/>
      <c r="E5771" s="57"/>
      <c r="H5771" s="18"/>
    </row>
    <row r="5772">
      <c r="C5772" s="18"/>
      <c r="D5772" s="19"/>
      <c r="E5772" s="57"/>
      <c r="H5772" s="18"/>
    </row>
    <row r="5773">
      <c r="C5773" s="18"/>
      <c r="D5773" s="19"/>
      <c r="E5773" s="57"/>
      <c r="H5773" s="18"/>
    </row>
    <row r="5774">
      <c r="C5774" s="18"/>
      <c r="D5774" s="19"/>
      <c r="E5774" s="57"/>
      <c r="H5774" s="18"/>
    </row>
    <row r="5775">
      <c r="C5775" s="18"/>
      <c r="D5775" s="19"/>
      <c r="E5775" s="57"/>
      <c r="H5775" s="18"/>
    </row>
    <row r="5776">
      <c r="C5776" s="18"/>
      <c r="D5776" s="19"/>
      <c r="E5776" s="57"/>
      <c r="H5776" s="18"/>
    </row>
    <row r="5777">
      <c r="C5777" s="18"/>
      <c r="D5777" s="19"/>
      <c r="E5777" s="57"/>
      <c r="H5777" s="18"/>
    </row>
    <row r="5778">
      <c r="C5778" s="18"/>
      <c r="D5778" s="19"/>
      <c r="E5778" s="57"/>
      <c r="H5778" s="18"/>
    </row>
    <row r="5779">
      <c r="C5779" s="18"/>
      <c r="D5779" s="19"/>
      <c r="E5779" s="57"/>
      <c r="H5779" s="18"/>
    </row>
    <row r="5780">
      <c r="C5780" s="18"/>
      <c r="D5780" s="19"/>
      <c r="E5780" s="57"/>
      <c r="H5780" s="18"/>
    </row>
    <row r="5781">
      <c r="C5781" s="18"/>
      <c r="D5781" s="19"/>
      <c r="E5781" s="57"/>
      <c r="H5781" s="18"/>
    </row>
    <row r="5782">
      <c r="C5782" s="18"/>
      <c r="D5782" s="19"/>
      <c r="E5782" s="57"/>
      <c r="H5782" s="18"/>
    </row>
    <row r="5783">
      <c r="C5783" s="18"/>
      <c r="D5783" s="19"/>
      <c r="E5783" s="57"/>
      <c r="H5783" s="18"/>
    </row>
    <row r="5784">
      <c r="C5784" s="18"/>
      <c r="D5784" s="19"/>
      <c r="E5784" s="57"/>
      <c r="H5784" s="18"/>
    </row>
    <row r="5785">
      <c r="C5785" s="18"/>
      <c r="D5785" s="19"/>
      <c r="E5785" s="57"/>
      <c r="H5785" s="18"/>
    </row>
    <row r="5786">
      <c r="C5786" s="18"/>
      <c r="D5786" s="19"/>
      <c r="E5786" s="57"/>
      <c r="H5786" s="18"/>
    </row>
    <row r="5787">
      <c r="C5787" s="18"/>
      <c r="D5787" s="19"/>
      <c r="E5787" s="57"/>
      <c r="H5787" s="18"/>
    </row>
    <row r="5788">
      <c r="C5788" s="18"/>
      <c r="D5788" s="19"/>
      <c r="E5788" s="57"/>
      <c r="H5788" s="18"/>
    </row>
    <row r="5789">
      <c r="C5789" s="18"/>
      <c r="D5789" s="19"/>
      <c r="E5789" s="57"/>
      <c r="H5789" s="18"/>
    </row>
    <row r="5790">
      <c r="C5790" s="18"/>
      <c r="D5790" s="19"/>
      <c r="E5790" s="57"/>
      <c r="H5790" s="18"/>
    </row>
    <row r="5791">
      <c r="C5791" s="18"/>
      <c r="D5791" s="19"/>
      <c r="E5791" s="57"/>
      <c r="H5791" s="18"/>
    </row>
    <row r="5792">
      <c r="C5792" s="18"/>
      <c r="D5792" s="19"/>
      <c r="E5792" s="57"/>
      <c r="H5792" s="18"/>
    </row>
    <row r="5793">
      <c r="C5793" s="18"/>
      <c r="D5793" s="19"/>
      <c r="E5793" s="57"/>
      <c r="H5793" s="18"/>
    </row>
    <row r="5794">
      <c r="C5794" s="18"/>
      <c r="D5794" s="19"/>
      <c r="E5794" s="57"/>
      <c r="H5794" s="18"/>
    </row>
    <row r="5795">
      <c r="C5795" s="18"/>
      <c r="D5795" s="19"/>
      <c r="E5795" s="57"/>
      <c r="H5795" s="18"/>
    </row>
    <row r="5796">
      <c r="C5796" s="18"/>
      <c r="D5796" s="19"/>
      <c r="E5796" s="57"/>
      <c r="H5796" s="18"/>
    </row>
    <row r="5797">
      <c r="C5797" s="18"/>
      <c r="D5797" s="19"/>
      <c r="E5797" s="57"/>
      <c r="H5797" s="18"/>
    </row>
    <row r="5798">
      <c r="C5798" s="18"/>
      <c r="D5798" s="19"/>
      <c r="E5798" s="57"/>
      <c r="H5798" s="18"/>
    </row>
    <row r="5799">
      <c r="C5799" s="18"/>
      <c r="D5799" s="19"/>
      <c r="E5799" s="57"/>
      <c r="H5799" s="18"/>
    </row>
    <row r="5800">
      <c r="C5800" s="18"/>
      <c r="D5800" s="19"/>
      <c r="E5800" s="57"/>
      <c r="H5800" s="18"/>
    </row>
    <row r="5801">
      <c r="C5801" s="18"/>
      <c r="D5801" s="19"/>
      <c r="E5801" s="57"/>
      <c r="H5801" s="18"/>
    </row>
    <row r="5802">
      <c r="C5802" s="18"/>
      <c r="D5802" s="19"/>
      <c r="E5802" s="57"/>
      <c r="H5802" s="18"/>
    </row>
    <row r="5803">
      <c r="C5803" s="18"/>
      <c r="D5803" s="19"/>
      <c r="E5803" s="57"/>
      <c r="H5803" s="18"/>
    </row>
    <row r="5804">
      <c r="C5804" s="18"/>
      <c r="D5804" s="19"/>
      <c r="E5804" s="57"/>
      <c r="H5804" s="18"/>
    </row>
    <row r="5805">
      <c r="C5805" s="18"/>
      <c r="D5805" s="19"/>
      <c r="E5805" s="57"/>
      <c r="H5805" s="18"/>
    </row>
    <row r="5806">
      <c r="C5806" s="18"/>
      <c r="D5806" s="19"/>
      <c r="E5806" s="57"/>
      <c r="H5806" s="18"/>
    </row>
    <row r="5807">
      <c r="C5807" s="18"/>
      <c r="D5807" s="19"/>
      <c r="E5807" s="57"/>
      <c r="H5807" s="18"/>
    </row>
    <row r="5808">
      <c r="C5808" s="18"/>
      <c r="D5808" s="19"/>
      <c r="E5808" s="57"/>
      <c r="H5808" s="18"/>
    </row>
    <row r="5809">
      <c r="C5809" s="18"/>
      <c r="D5809" s="19"/>
      <c r="E5809" s="57"/>
      <c r="H5809" s="18"/>
    </row>
    <row r="5810">
      <c r="C5810" s="18"/>
      <c r="D5810" s="19"/>
      <c r="E5810" s="57"/>
      <c r="H5810" s="18"/>
    </row>
    <row r="5811">
      <c r="C5811" s="18"/>
      <c r="D5811" s="19"/>
      <c r="E5811" s="57"/>
      <c r="H5811" s="18"/>
    </row>
    <row r="5812">
      <c r="C5812" s="18"/>
      <c r="D5812" s="19"/>
      <c r="E5812" s="57"/>
      <c r="H5812" s="18"/>
    </row>
    <row r="5813">
      <c r="C5813" s="18"/>
      <c r="D5813" s="19"/>
      <c r="E5813" s="57"/>
      <c r="H5813" s="18"/>
    </row>
    <row r="5814">
      <c r="C5814" s="18"/>
      <c r="D5814" s="19"/>
      <c r="E5814" s="57"/>
      <c r="H5814" s="18"/>
    </row>
    <row r="5815">
      <c r="C5815" s="18"/>
      <c r="D5815" s="19"/>
      <c r="E5815" s="57"/>
      <c r="H5815" s="18"/>
    </row>
    <row r="5816">
      <c r="C5816" s="18"/>
      <c r="D5816" s="19"/>
      <c r="E5816" s="57"/>
      <c r="H5816" s="18"/>
    </row>
    <row r="5817">
      <c r="C5817" s="18"/>
      <c r="D5817" s="19"/>
      <c r="E5817" s="57"/>
      <c r="H5817" s="18"/>
    </row>
    <row r="5818">
      <c r="C5818" s="18"/>
      <c r="D5818" s="19"/>
      <c r="E5818" s="57"/>
      <c r="H5818" s="18"/>
    </row>
    <row r="5819">
      <c r="C5819" s="18"/>
      <c r="D5819" s="19"/>
      <c r="E5819" s="57"/>
      <c r="H5819" s="18"/>
    </row>
    <row r="5820">
      <c r="C5820" s="18"/>
      <c r="D5820" s="19"/>
      <c r="E5820" s="57"/>
      <c r="H5820" s="18"/>
    </row>
    <row r="5821">
      <c r="C5821" s="18"/>
      <c r="D5821" s="19"/>
      <c r="E5821" s="57"/>
      <c r="H5821" s="18"/>
    </row>
    <row r="5822">
      <c r="C5822" s="18"/>
      <c r="D5822" s="19"/>
      <c r="E5822" s="57"/>
      <c r="H5822" s="18"/>
    </row>
    <row r="5823">
      <c r="C5823" s="18"/>
      <c r="D5823" s="19"/>
      <c r="E5823" s="57"/>
      <c r="H5823" s="18"/>
    </row>
    <row r="5824">
      <c r="C5824" s="18"/>
      <c r="D5824" s="19"/>
      <c r="E5824" s="57"/>
      <c r="H5824" s="18"/>
    </row>
    <row r="5825">
      <c r="C5825" s="18"/>
      <c r="D5825" s="19"/>
      <c r="E5825" s="57"/>
      <c r="H5825" s="18"/>
    </row>
    <row r="5826">
      <c r="C5826" s="18"/>
      <c r="D5826" s="19"/>
      <c r="E5826" s="57"/>
      <c r="H5826" s="18"/>
    </row>
    <row r="5827">
      <c r="C5827" s="18"/>
      <c r="D5827" s="19"/>
      <c r="E5827" s="57"/>
      <c r="H5827" s="18"/>
    </row>
    <row r="5828">
      <c r="C5828" s="18"/>
      <c r="D5828" s="19"/>
      <c r="E5828" s="57"/>
      <c r="H5828" s="18"/>
    </row>
    <row r="5829">
      <c r="C5829" s="18"/>
      <c r="D5829" s="19"/>
      <c r="E5829" s="57"/>
      <c r="H5829" s="18"/>
    </row>
    <row r="5830">
      <c r="C5830" s="18"/>
      <c r="D5830" s="19"/>
      <c r="E5830" s="57"/>
      <c r="H5830" s="18"/>
    </row>
    <row r="5831">
      <c r="C5831" s="18"/>
      <c r="D5831" s="19"/>
      <c r="E5831" s="57"/>
      <c r="H5831" s="18"/>
    </row>
    <row r="5832">
      <c r="C5832" s="18"/>
      <c r="D5832" s="19"/>
      <c r="E5832" s="57"/>
      <c r="H5832" s="18"/>
    </row>
    <row r="5833">
      <c r="C5833" s="18"/>
      <c r="D5833" s="19"/>
      <c r="E5833" s="57"/>
      <c r="H5833" s="18"/>
    </row>
    <row r="5834">
      <c r="C5834" s="18"/>
      <c r="D5834" s="19"/>
      <c r="E5834" s="57"/>
      <c r="H5834" s="18"/>
    </row>
    <row r="5835">
      <c r="C5835" s="18"/>
      <c r="D5835" s="19"/>
      <c r="E5835" s="57"/>
      <c r="H5835" s="18"/>
    </row>
    <row r="5836">
      <c r="C5836" s="18"/>
      <c r="D5836" s="19"/>
      <c r="E5836" s="57"/>
      <c r="H5836" s="18"/>
    </row>
    <row r="5837">
      <c r="C5837" s="18"/>
      <c r="D5837" s="19"/>
      <c r="E5837" s="57"/>
      <c r="H5837" s="18"/>
    </row>
    <row r="5838">
      <c r="C5838" s="18"/>
      <c r="D5838" s="19"/>
      <c r="E5838" s="57"/>
      <c r="H5838" s="18"/>
    </row>
    <row r="5839">
      <c r="C5839" s="18"/>
      <c r="D5839" s="19"/>
      <c r="E5839" s="57"/>
      <c r="H5839" s="18"/>
    </row>
    <row r="5840">
      <c r="C5840" s="18"/>
      <c r="D5840" s="19"/>
      <c r="E5840" s="57"/>
      <c r="H5840" s="18"/>
    </row>
    <row r="5841">
      <c r="C5841" s="18"/>
      <c r="D5841" s="19"/>
      <c r="E5841" s="57"/>
      <c r="H5841" s="18"/>
    </row>
    <row r="5842">
      <c r="C5842" s="18"/>
      <c r="D5842" s="19"/>
      <c r="E5842" s="57"/>
      <c r="H5842" s="18"/>
    </row>
    <row r="5843">
      <c r="C5843" s="18"/>
      <c r="D5843" s="19"/>
      <c r="E5843" s="57"/>
      <c r="H5843" s="18"/>
    </row>
    <row r="5844">
      <c r="C5844" s="18"/>
      <c r="D5844" s="19"/>
      <c r="E5844" s="57"/>
      <c r="H5844" s="18"/>
    </row>
    <row r="5845">
      <c r="C5845" s="18"/>
      <c r="D5845" s="19"/>
      <c r="E5845" s="57"/>
      <c r="H5845" s="18"/>
    </row>
    <row r="5846">
      <c r="C5846" s="18"/>
      <c r="D5846" s="19"/>
      <c r="E5846" s="57"/>
      <c r="H5846" s="18"/>
    </row>
    <row r="5847">
      <c r="C5847" s="18"/>
      <c r="D5847" s="19"/>
      <c r="E5847" s="57"/>
      <c r="H5847" s="18"/>
    </row>
    <row r="5848">
      <c r="C5848" s="18"/>
      <c r="D5848" s="19"/>
      <c r="E5848" s="57"/>
      <c r="H5848" s="18"/>
    </row>
    <row r="5849">
      <c r="C5849" s="18"/>
      <c r="D5849" s="19"/>
      <c r="E5849" s="57"/>
      <c r="H5849" s="18"/>
    </row>
    <row r="5850">
      <c r="C5850" s="18"/>
      <c r="D5850" s="19"/>
      <c r="E5850" s="57"/>
      <c r="H5850" s="18"/>
    </row>
    <row r="5851">
      <c r="C5851" s="18"/>
      <c r="D5851" s="19"/>
      <c r="E5851" s="57"/>
      <c r="H5851" s="18"/>
    </row>
    <row r="5852">
      <c r="C5852" s="18"/>
      <c r="D5852" s="19"/>
      <c r="E5852" s="57"/>
      <c r="H5852" s="18"/>
    </row>
    <row r="5853">
      <c r="C5853" s="18"/>
      <c r="D5853" s="19"/>
      <c r="E5853" s="57"/>
      <c r="H5853" s="18"/>
    </row>
    <row r="5854">
      <c r="C5854" s="18"/>
      <c r="D5854" s="19"/>
      <c r="E5854" s="57"/>
      <c r="H5854" s="18"/>
    </row>
    <row r="5855">
      <c r="C5855" s="18"/>
      <c r="D5855" s="19"/>
      <c r="E5855" s="57"/>
      <c r="H5855" s="18"/>
    </row>
    <row r="5856">
      <c r="C5856" s="18"/>
      <c r="D5856" s="19"/>
      <c r="E5856" s="57"/>
      <c r="H5856" s="18"/>
    </row>
    <row r="5857">
      <c r="C5857" s="18"/>
      <c r="D5857" s="19"/>
      <c r="E5857" s="57"/>
      <c r="H5857" s="18"/>
    </row>
    <row r="5858">
      <c r="C5858" s="18"/>
      <c r="D5858" s="19"/>
      <c r="E5858" s="57"/>
      <c r="H5858" s="18"/>
    </row>
    <row r="5859">
      <c r="C5859" s="18"/>
      <c r="D5859" s="19"/>
      <c r="E5859" s="57"/>
      <c r="H5859" s="18"/>
    </row>
    <row r="5860">
      <c r="C5860" s="18"/>
      <c r="D5860" s="19"/>
      <c r="E5860" s="57"/>
      <c r="H5860" s="18"/>
    </row>
    <row r="5861">
      <c r="C5861" s="18"/>
      <c r="D5861" s="19"/>
      <c r="E5861" s="57"/>
      <c r="H5861" s="18"/>
    </row>
    <row r="5862">
      <c r="C5862" s="18"/>
      <c r="D5862" s="19"/>
      <c r="E5862" s="57"/>
      <c r="H5862" s="18"/>
    </row>
    <row r="5863">
      <c r="C5863" s="18"/>
      <c r="D5863" s="19"/>
      <c r="E5863" s="57"/>
      <c r="H5863" s="18"/>
    </row>
    <row r="5864">
      <c r="C5864" s="18"/>
      <c r="D5864" s="19"/>
      <c r="E5864" s="57"/>
      <c r="H5864" s="18"/>
    </row>
    <row r="5865">
      <c r="C5865" s="18"/>
      <c r="D5865" s="19"/>
      <c r="E5865" s="57"/>
      <c r="H5865" s="18"/>
    </row>
    <row r="5866">
      <c r="C5866" s="18"/>
      <c r="D5866" s="19"/>
      <c r="E5866" s="57"/>
      <c r="H5866" s="18"/>
    </row>
    <row r="5867">
      <c r="C5867" s="18"/>
      <c r="D5867" s="19"/>
      <c r="E5867" s="57"/>
      <c r="H5867" s="18"/>
    </row>
    <row r="5868">
      <c r="C5868" s="18"/>
      <c r="D5868" s="19"/>
      <c r="E5868" s="57"/>
      <c r="H5868" s="18"/>
    </row>
    <row r="5869">
      <c r="C5869" s="18"/>
      <c r="D5869" s="19"/>
      <c r="E5869" s="57"/>
      <c r="H5869" s="18"/>
    </row>
    <row r="5870">
      <c r="C5870" s="18"/>
      <c r="D5870" s="19"/>
      <c r="E5870" s="57"/>
      <c r="H5870" s="18"/>
    </row>
    <row r="5871">
      <c r="C5871" s="18"/>
      <c r="D5871" s="19"/>
      <c r="E5871" s="57"/>
      <c r="H5871" s="18"/>
    </row>
    <row r="5872">
      <c r="C5872" s="18"/>
      <c r="D5872" s="19"/>
      <c r="E5872" s="57"/>
      <c r="H5872" s="18"/>
    </row>
    <row r="5873">
      <c r="C5873" s="18"/>
      <c r="D5873" s="19"/>
      <c r="E5873" s="57"/>
      <c r="H5873" s="18"/>
    </row>
    <row r="5874">
      <c r="C5874" s="18"/>
      <c r="D5874" s="19"/>
      <c r="E5874" s="57"/>
      <c r="H5874" s="18"/>
    </row>
    <row r="5875">
      <c r="C5875" s="18"/>
      <c r="D5875" s="19"/>
      <c r="E5875" s="57"/>
      <c r="H5875" s="18"/>
    </row>
    <row r="5876">
      <c r="C5876" s="18"/>
      <c r="D5876" s="19"/>
      <c r="E5876" s="57"/>
      <c r="H5876" s="18"/>
    </row>
    <row r="5877">
      <c r="C5877" s="18"/>
      <c r="D5877" s="19"/>
      <c r="E5877" s="57"/>
      <c r="H5877" s="18"/>
    </row>
    <row r="5878">
      <c r="C5878" s="18"/>
      <c r="D5878" s="19"/>
      <c r="E5878" s="57"/>
      <c r="H5878" s="18"/>
    </row>
    <row r="5879">
      <c r="C5879" s="18"/>
      <c r="D5879" s="19"/>
      <c r="E5879" s="57"/>
      <c r="H5879" s="18"/>
    </row>
    <row r="5880">
      <c r="C5880" s="18"/>
      <c r="D5880" s="19"/>
      <c r="E5880" s="57"/>
      <c r="H5880" s="18"/>
    </row>
    <row r="5881">
      <c r="C5881" s="18"/>
      <c r="D5881" s="19"/>
      <c r="E5881" s="57"/>
      <c r="H5881" s="18"/>
    </row>
    <row r="5882">
      <c r="C5882" s="18"/>
      <c r="D5882" s="19"/>
      <c r="E5882" s="57"/>
      <c r="H5882" s="18"/>
    </row>
    <row r="5883">
      <c r="C5883" s="18"/>
      <c r="D5883" s="19"/>
      <c r="E5883" s="57"/>
      <c r="H5883" s="18"/>
    </row>
    <row r="5884">
      <c r="C5884" s="18"/>
      <c r="D5884" s="19"/>
      <c r="E5884" s="57"/>
      <c r="H5884" s="18"/>
    </row>
    <row r="5885">
      <c r="C5885" s="18"/>
      <c r="D5885" s="19"/>
      <c r="E5885" s="57"/>
      <c r="H5885" s="18"/>
    </row>
    <row r="5886">
      <c r="C5886" s="18"/>
      <c r="D5886" s="19"/>
      <c r="E5886" s="57"/>
      <c r="H5886" s="18"/>
    </row>
    <row r="5887">
      <c r="C5887" s="18"/>
      <c r="D5887" s="19"/>
      <c r="E5887" s="57"/>
      <c r="H5887" s="18"/>
    </row>
    <row r="5888">
      <c r="C5888" s="18"/>
      <c r="D5888" s="19"/>
      <c r="E5888" s="57"/>
      <c r="H5888" s="18"/>
    </row>
    <row r="5889">
      <c r="C5889" s="18"/>
      <c r="D5889" s="19"/>
      <c r="E5889" s="57"/>
      <c r="H5889" s="18"/>
    </row>
    <row r="5890">
      <c r="C5890" s="18"/>
      <c r="D5890" s="19"/>
      <c r="E5890" s="57"/>
      <c r="H5890" s="18"/>
    </row>
    <row r="5891">
      <c r="C5891" s="18"/>
      <c r="D5891" s="19"/>
      <c r="E5891" s="57"/>
      <c r="H5891" s="18"/>
    </row>
    <row r="5892">
      <c r="C5892" s="18"/>
      <c r="D5892" s="19"/>
      <c r="E5892" s="57"/>
      <c r="H5892" s="18"/>
    </row>
    <row r="5893">
      <c r="C5893" s="18"/>
      <c r="D5893" s="19"/>
      <c r="E5893" s="57"/>
      <c r="H5893" s="18"/>
    </row>
    <row r="5894">
      <c r="C5894" s="18"/>
      <c r="D5894" s="19"/>
      <c r="E5894" s="57"/>
      <c r="H5894" s="18"/>
    </row>
    <row r="5895">
      <c r="C5895" s="18"/>
      <c r="D5895" s="19"/>
      <c r="E5895" s="57"/>
      <c r="H5895" s="18"/>
    </row>
    <row r="5896">
      <c r="C5896" s="18"/>
      <c r="D5896" s="19"/>
      <c r="E5896" s="57"/>
      <c r="H5896" s="18"/>
    </row>
    <row r="5897">
      <c r="C5897" s="18"/>
      <c r="D5897" s="19"/>
      <c r="E5897" s="57"/>
      <c r="H5897" s="18"/>
    </row>
    <row r="5898">
      <c r="C5898" s="18"/>
      <c r="D5898" s="19"/>
      <c r="E5898" s="57"/>
      <c r="H5898" s="18"/>
    </row>
    <row r="5899">
      <c r="C5899" s="18"/>
      <c r="D5899" s="19"/>
      <c r="E5899" s="57"/>
      <c r="H5899" s="18"/>
    </row>
    <row r="5900">
      <c r="C5900" s="18"/>
      <c r="D5900" s="19"/>
      <c r="E5900" s="57"/>
      <c r="H5900" s="18"/>
    </row>
    <row r="5901">
      <c r="C5901" s="18"/>
      <c r="D5901" s="19"/>
      <c r="E5901" s="57"/>
      <c r="H5901" s="18"/>
    </row>
    <row r="5902">
      <c r="C5902" s="18"/>
      <c r="D5902" s="19"/>
      <c r="E5902" s="57"/>
      <c r="H5902" s="18"/>
    </row>
    <row r="5903">
      <c r="C5903" s="18"/>
      <c r="D5903" s="19"/>
      <c r="E5903" s="57"/>
      <c r="H5903" s="18"/>
    </row>
    <row r="5904">
      <c r="C5904" s="18"/>
      <c r="D5904" s="19"/>
      <c r="E5904" s="57"/>
      <c r="H5904" s="18"/>
    </row>
    <row r="5905">
      <c r="C5905" s="18"/>
      <c r="D5905" s="19"/>
      <c r="E5905" s="57"/>
      <c r="H5905" s="18"/>
    </row>
    <row r="5906">
      <c r="C5906" s="18"/>
      <c r="D5906" s="19"/>
      <c r="E5906" s="57"/>
      <c r="H5906" s="18"/>
    </row>
    <row r="5907">
      <c r="C5907" s="18"/>
      <c r="D5907" s="19"/>
      <c r="E5907" s="57"/>
      <c r="H5907" s="18"/>
    </row>
    <row r="5908">
      <c r="C5908" s="18"/>
      <c r="D5908" s="19"/>
      <c r="E5908" s="57"/>
      <c r="H5908" s="18"/>
    </row>
    <row r="5909">
      <c r="C5909" s="18"/>
      <c r="D5909" s="19"/>
      <c r="E5909" s="57"/>
      <c r="H5909" s="18"/>
    </row>
    <row r="5910">
      <c r="C5910" s="18"/>
      <c r="D5910" s="19"/>
      <c r="E5910" s="57"/>
      <c r="H5910" s="18"/>
    </row>
    <row r="5911">
      <c r="C5911" s="18"/>
      <c r="D5911" s="19"/>
      <c r="E5911" s="57"/>
      <c r="H5911" s="18"/>
    </row>
    <row r="5912">
      <c r="C5912" s="18"/>
      <c r="D5912" s="19"/>
      <c r="E5912" s="57"/>
      <c r="H5912" s="18"/>
    </row>
    <row r="5913">
      <c r="C5913" s="18"/>
      <c r="D5913" s="19"/>
      <c r="E5913" s="57"/>
      <c r="H5913" s="18"/>
    </row>
    <row r="5914">
      <c r="C5914" s="18"/>
      <c r="D5914" s="19"/>
      <c r="E5914" s="57"/>
      <c r="H5914" s="18"/>
    </row>
    <row r="5915">
      <c r="C5915" s="18"/>
      <c r="D5915" s="19"/>
      <c r="E5915" s="57"/>
      <c r="H5915" s="18"/>
    </row>
    <row r="5916">
      <c r="C5916" s="18"/>
      <c r="D5916" s="19"/>
      <c r="E5916" s="57"/>
      <c r="H5916" s="18"/>
    </row>
    <row r="5917">
      <c r="C5917" s="18"/>
      <c r="D5917" s="19"/>
      <c r="E5917" s="57"/>
      <c r="H5917" s="18"/>
    </row>
    <row r="5918">
      <c r="C5918" s="18"/>
      <c r="D5918" s="19"/>
      <c r="E5918" s="57"/>
      <c r="H5918" s="18"/>
    </row>
    <row r="5919">
      <c r="C5919" s="18"/>
      <c r="D5919" s="19"/>
      <c r="E5919" s="57"/>
      <c r="H5919" s="18"/>
    </row>
    <row r="5920">
      <c r="C5920" s="18"/>
      <c r="D5920" s="19"/>
      <c r="E5920" s="57"/>
      <c r="H5920" s="18"/>
    </row>
    <row r="5921">
      <c r="C5921" s="18"/>
      <c r="D5921" s="19"/>
      <c r="E5921" s="57"/>
      <c r="H5921" s="18"/>
    </row>
    <row r="5922">
      <c r="C5922" s="18"/>
      <c r="D5922" s="19"/>
      <c r="E5922" s="57"/>
      <c r="H5922" s="18"/>
    </row>
    <row r="5923">
      <c r="C5923" s="18"/>
      <c r="D5923" s="19"/>
      <c r="E5923" s="57"/>
      <c r="H5923" s="18"/>
    </row>
    <row r="5924">
      <c r="C5924" s="18"/>
      <c r="D5924" s="19"/>
      <c r="E5924" s="57"/>
      <c r="H5924" s="18"/>
    </row>
    <row r="5925">
      <c r="C5925" s="18"/>
      <c r="D5925" s="19"/>
      <c r="E5925" s="57"/>
      <c r="H5925" s="18"/>
    </row>
    <row r="5926">
      <c r="C5926" s="18"/>
      <c r="D5926" s="19"/>
      <c r="E5926" s="57"/>
      <c r="H5926" s="18"/>
    </row>
    <row r="5927">
      <c r="C5927" s="18"/>
      <c r="D5927" s="19"/>
      <c r="E5927" s="57"/>
      <c r="H5927" s="18"/>
    </row>
    <row r="5928">
      <c r="C5928" s="18"/>
      <c r="D5928" s="19"/>
      <c r="E5928" s="57"/>
      <c r="H5928" s="18"/>
    </row>
    <row r="5929">
      <c r="C5929" s="18"/>
      <c r="D5929" s="19"/>
      <c r="E5929" s="57"/>
      <c r="H5929" s="18"/>
    </row>
    <row r="5930">
      <c r="C5930" s="18"/>
      <c r="D5930" s="19"/>
      <c r="E5930" s="57"/>
      <c r="H5930" s="18"/>
    </row>
    <row r="5931">
      <c r="C5931" s="18"/>
      <c r="D5931" s="19"/>
      <c r="E5931" s="57"/>
      <c r="H5931" s="18"/>
    </row>
    <row r="5932">
      <c r="C5932" s="18"/>
      <c r="D5932" s="19"/>
      <c r="E5932" s="57"/>
      <c r="H5932" s="18"/>
    </row>
    <row r="5933">
      <c r="C5933" s="18"/>
      <c r="D5933" s="19"/>
      <c r="E5933" s="57"/>
      <c r="H5933" s="18"/>
    </row>
    <row r="5934">
      <c r="C5934" s="18"/>
      <c r="D5934" s="19"/>
      <c r="E5934" s="57"/>
      <c r="H5934" s="18"/>
    </row>
    <row r="5935">
      <c r="C5935" s="18"/>
      <c r="D5935" s="19"/>
      <c r="E5935" s="57"/>
      <c r="H5935" s="18"/>
    </row>
    <row r="5936">
      <c r="C5936" s="18"/>
      <c r="D5936" s="19"/>
      <c r="E5936" s="57"/>
      <c r="H5936" s="18"/>
    </row>
    <row r="5937">
      <c r="C5937" s="18"/>
      <c r="D5937" s="19"/>
      <c r="E5937" s="57"/>
      <c r="H5937" s="18"/>
    </row>
    <row r="5938">
      <c r="C5938" s="18"/>
      <c r="D5938" s="19"/>
      <c r="E5938" s="57"/>
      <c r="H5938" s="18"/>
    </row>
    <row r="5939">
      <c r="C5939" s="18"/>
      <c r="D5939" s="19"/>
      <c r="E5939" s="57"/>
      <c r="H5939" s="18"/>
    </row>
    <row r="5940">
      <c r="C5940" s="18"/>
      <c r="D5940" s="19"/>
      <c r="E5940" s="57"/>
      <c r="H5940" s="18"/>
    </row>
    <row r="5941">
      <c r="C5941" s="18"/>
      <c r="D5941" s="19"/>
      <c r="E5941" s="57"/>
      <c r="H5941" s="18"/>
    </row>
    <row r="5942">
      <c r="C5942" s="18"/>
      <c r="D5942" s="19"/>
      <c r="E5942" s="57"/>
      <c r="H5942" s="18"/>
    </row>
    <row r="5943">
      <c r="C5943" s="18"/>
      <c r="D5943" s="19"/>
      <c r="E5943" s="57"/>
      <c r="H5943" s="18"/>
    </row>
    <row r="5944">
      <c r="C5944" s="18"/>
      <c r="D5944" s="19"/>
      <c r="E5944" s="57"/>
      <c r="H5944" s="18"/>
    </row>
    <row r="5945">
      <c r="C5945" s="18"/>
      <c r="D5945" s="19"/>
      <c r="E5945" s="57"/>
      <c r="H5945" s="18"/>
    </row>
    <row r="5946">
      <c r="C5946" s="18"/>
      <c r="D5946" s="19"/>
      <c r="E5946" s="57"/>
      <c r="H5946" s="18"/>
    </row>
    <row r="5947">
      <c r="C5947" s="18"/>
      <c r="D5947" s="19"/>
      <c r="E5947" s="57"/>
      <c r="H5947" s="18"/>
    </row>
    <row r="5948">
      <c r="C5948" s="18"/>
      <c r="D5948" s="19"/>
      <c r="E5948" s="57"/>
      <c r="H5948" s="18"/>
    </row>
    <row r="5949">
      <c r="C5949" s="18"/>
      <c r="D5949" s="19"/>
      <c r="E5949" s="57"/>
      <c r="H5949" s="18"/>
    </row>
    <row r="5950">
      <c r="C5950" s="18"/>
      <c r="D5950" s="19"/>
      <c r="E5950" s="57"/>
      <c r="H5950" s="18"/>
    </row>
    <row r="5951">
      <c r="C5951" s="18"/>
      <c r="D5951" s="19"/>
      <c r="E5951" s="57"/>
      <c r="H5951" s="18"/>
    </row>
    <row r="5952">
      <c r="C5952" s="18"/>
      <c r="D5952" s="19"/>
      <c r="E5952" s="57"/>
      <c r="H5952" s="18"/>
    </row>
    <row r="5953">
      <c r="C5953" s="18"/>
      <c r="D5953" s="19"/>
      <c r="E5953" s="57"/>
      <c r="H5953" s="18"/>
    </row>
    <row r="5954">
      <c r="C5954" s="18"/>
      <c r="D5954" s="19"/>
      <c r="E5954" s="57"/>
      <c r="H5954" s="18"/>
    </row>
    <row r="5955">
      <c r="C5955" s="18"/>
      <c r="D5955" s="19"/>
      <c r="E5955" s="57"/>
      <c r="H5955" s="18"/>
    </row>
    <row r="5956">
      <c r="C5956" s="18"/>
      <c r="D5956" s="19"/>
      <c r="E5956" s="57"/>
      <c r="H5956" s="18"/>
    </row>
    <row r="5957">
      <c r="C5957" s="18"/>
      <c r="D5957" s="19"/>
      <c r="E5957" s="57"/>
      <c r="H5957" s="18"/>
    </row>
    <row r="5958">
      <c r="C5958" s="18"/>
      <c r="D5958" s="19"/>
      <c r="E5958" s="57"/>
      <c r="H5958" s="18"/>
    </row>
    <row r="5959">
      <c r="C5959" s="18"/>
      <c r="D5959" s="19"/>
      <c r="E5959" s="57"/>
      <c r="H5959" s="18"/>
    </row>
    <row r="5960">
      <c r="C5960" s="18"/>
      <c r="D5960" s="19"/>
      <c r="E5960" s="57"/>
      <c r="H5960" s="18"/>
    </row>
    <row r="5961">
      <c r="C5961" s="18"/>
      <c r="D5961" s="19"/>
      <c r="E5961" s="57"/>
      <c r="H5961" s="18"/>
    </row>
    <row r="5962">
      <c r="C5962" s="18"/>
      <c r="D5962" s="19"/>
      <c r="E5962" s="57"/>
      <c r="H5962" s="18"/>
    </row>
    <row r="5963">
      <c r="C5963" s="18"/>
      <c r="D5963" s="19"/>
      <c r="E5963" s="57"/>
      <c r="H5963" s="18"/>
    </row>
    <row r="5964">
      <c r="C5964" s="18"/>
      <c r="D5964" s="19"/>
      <c r="E5964" s="57"/>
      <c r="H5964" s="18"/>
    </row>
    <row r="5965">
      <c r="C5965" s="18"/>
      <c r="D5965" s="19"/>
      <c r="E5965" s="57"/>
      <c r="H5965" s="18"/>
    </row>
    <row r="5966">
      <c r="C5966" s="18"/>
      <c r="D5966" s="19"/>
      <c r="E5966" s="57"/>
      <c r="H5966" s="18"/>
    </row>
    <row r="5967">
      <c r="C5967" s="18"/>
      <c r="D5967" s="19"/>
      <c r="E5967" s="57"/>
      <c r="H5967" s="18"/>
    </row>
    <row r="5968">
      <c r="C5968" s="18"/>
      <c r="D5968" s="19"/>
      <c r="E5968" s="57"/>
      <c r="H5968" s="18"/>
    </row>
    <row r="5969">
      <c r="C5969" s="18"/>
      <c r="D5969" s="19"/>
      <c r="E5969" s="57"/>
      <c r="H5969" s="18"/>
    </row>
    <row r="5970">
      <c r="C5970" s="18"/>
      <c r="D5970" s="19"/>
      <c r="E5970" s="57"/>
      <c r="H5970" s="18"/>
    </row>
    <row r="5971">
      <c r="C5971" s="18"/>
      <c r="D5971" s="19"/>
      <c r="E5971" s="57"/>
      <c r="H5971" s="18"/>
    </row>
    <row r="5972">
      <c r="C5972" s="18"/>
      <c r="D5972" s="19"/>
      <c r="E5972" s="57"/>
      <c r="H5972" s="18"/>
    </row>
    <row r="5973">
      <c r="C5973" s="18"/>
      <c r="D5973" s="19"/>
      <c r="E5973" s="57"/>
      <c r="H5973" s="18"/>
    </row>
    <row r="5974">
      <c r="C5974" s="18"/>
      <c r="D5974" s="19"/>
      <c r="E5974" s="57"/>
      <c r="H5974" s="18"/>
    </row>
    <row r="5975">
      <c r="C5975" s="18"/>
      <c r="D5975" s="19"/>
      <c r="E5975" s="57"/>
      <c r="H5975" s="18"/>
    </row>
    <row r="5976">
      <c r="C5976" s="18"/>
      <c r="D5976" s="19"/>
      <c r="E5976" s="57"/>
      <c r="H5976" s="18"/>
    </row>
    <row r="5977">
      <c r="C5977" s="18"/>
      <c r="D5977" s="19"/>
      <c r="E5977" s="57"/>
      <c r="H5977" s="18"/>
    </row>
    <row r="5978">
      <c r="C5978" s="18"/>
      <c r="D5978" s="19"/>
      <c r="E5978" s="57"/>
      <c r="H5978" s="18"/>
    </row>
    <row r="5979">
      <c r="C5979" s="18"/>
      <c r="D5979" s="19"/>
      <c r="E5979" s="57"/>
      <c r="H5979" s="18"/>
    </row>
    <row r="5980">
      <c r="C5980" s="18"/>
      <c r="D5980" s="19"/>
      <c r="E5980" s="57"/>
      <c r="H5980" s="18"/>
    </row>
    <row r="5981">
      <c r="C5981" s="18"/>
      <c r="D5981" s="19"/>
      <c r="E5981" s="57"/>
      <c r="H5981" s="18"/>
    </row>
    <row r="5982">
      <c r="C5982" s="18"/>
      <c r="D5982" s="19"/>
      <c r="E5982" s="57"/>
      <c r="H5982" s="18"/>
    </row>
    <row r="5983">
      <c r="C5983" s="18"/>
      <c r="D5983" s="19"/>
      <c r="E5983" s="57"/>
      <c r="H5983" s="18"/>
    </row>
    <row r="5984">
      <c r="C5984" s="18"/>
      <c r="D5984" s="19"/>
      <c r="E5984" s="57"/>
      <c r="H5984" s="18"/>
    </row>
    <row r="5985">
      <c r="C5985" s="18"/>
      <c r="D5985" s="19"/>
      <c r="E5985" s="57"/>
      <c r="H5985" s="18"/>
    </row>
    <row r="5986">
      <c r="C5986" s="18"/>
      <c r="D5986" s="19"/>
      <c r="E5986" s="57"/>
      <c r="H5986" s="18"/>
    </row>
    <row r="5987">
      <c r="C5987" s="18"/>
      <c r="D5987" s="19"/>
      <c r="E5987" s="57"/>
      <c r="H5987" s="18"/>
    </row>
    <row r="5988">
      <c r="C5988" s="18"/>
      <c r="D5988" s="19"/>
      <c r="E5988" s="57"/>
      <c r="H5988" s="18"/>
    </row>
    <row r="5989">
      <c r="C5989" s="18"/>
      <c r="D5989" s="19"/>
      <c r="E5989" s="57"/>
      <c r="H5989" s="18"/>
    </row>
    <row r="5990">
      <c r="C5990" s="18"/>
      <c r="D5990" s="19"/>
      <c r="E5990" s="57"/>
      <c r="H5990" s="18"/>
    </row>
    <row r="5991">
      <c r="C5991" s="18"/>
      <c r="D5991" s="19"/>
      <c r="E5991" s="57"/>
      <c r="H5991" s="18"/>
    </row>
    <row r="5992">
      <c r="C5992" s="18"/>
      <c r="D5992" s="19"/>
      <c r="E5992" s="57"/>
      <c r="H5992" s="18"/>
    </row>
    <row r="5993">
      <c r="C5993" s="18"/>
      <c r="D5993" s="19"/>
      <c r="E5993" s="57"/>
      <c r="H5993" s="18"/>
    </row>
    <row r="5994">
      <c r="C5994" s="18"/>
      <c r="D5994" s="19"/>
      <c r="E5994" s="57"/>
      <c r="H5994" s="18"/>
    </row>
    <row r="5995">
      <c r="C5995" s="18"/>
      <c r="D5995" s="19"/>
      <c r="E5995" s="57"/>
      <c r="H5995" s="18"/>
    </row>
    <row r="5996">
      <c r="C5996" s="18"/>
      <c r="D5996" s="19"/>
      <c r="E5996" s="57"/>
      <c r="H5996" s="18"/>
    </row>
    <row r="5997">
      <c r="C5997" s="18"/>
      <c r="D5997" s="19"/>
      <c r="E5997" s="57"/>
      <c r="H5997" s="18"/>
    </row>
    <row r="5998">
      <c r="C5998" s="18"/>
      <c r="D5998" s="19"/>
      <c r="E5998" s="57"/>
      <c r="H5998" s="18"/>
    </row>
    <row r="5999">
      <c r="C5999" s="18"/>
      <c r="D5999" s="19"/>
      <c r="E5999" s="57"/>
      <c r="H5999" s="18"/>
    </row>
    <row r="6000">
      <c r="C6000" s="18"/>
      <c r="D6000" s="19"/>
      <c r="E6000" s="57"/>
      <c r="H6000" s="18"/>
    </row>
    <row r="6001">
      <c r="C6001" s="18"/>
      <c r="D6001" s="19"/>
      <c r="E6001" s="57"/>
      <c r="H6001" s="18"/>
    </row>
    <row r="6002">
      <c r="C6002" s="18"/>
      <c r="D6002" s="19"/>
      <c r="E6002" s="57"/>
      <c r="H6002" s="18"/>
    </row>
    <row r="6003">
      <c r="C6003" s="18"/>
      <c r="D6003" s="19"/>
      <c r="E6003" s="57"/>
      <c r="H6003" s="18"/>
    </row>
    <row r="6004">
      <c r="C6004" s="18"/>
      <c r="D6004" s="19"/>
      <c r="E6004" s="57"/>
      <c r="H6004" s="18"/>
    </row>
    <row r="6005">
      <c r="C6005" s="18"/>
      <c r="D6005" s="19"/>
      <c r="E6005" s="57"/>
      <c r="H6005" s="18"/>
    </row>
    <row r="6006">
      <c r="C6006" s="18"/>
      <c r="D6006" s="19"/>
      <c r="E6006" s="57"/>
      <c r="H6006" s="18"/>
    </row>
    <row r="6007">
      <c r="C6007" s="18"/>
      <c r="D6007" s="19"/>
      <c r="E6007" s="57"/>
      <c r="H6007" s="18"/>
    </row>
    <row r="6008">
      <c r="C6008" s="18"/>
      <c r="D6008" s="19"/>
      <c r="E6008" s="57"/>
      <c r="H6008" s="18"/>
    </row>
    <row r="6009">
      <c r="C6009" s="18"/>
      <c r="D6009" s="19"/>
      <c r="E6009" s="57"/>
      <c r="H6009" s="18"/>
    </row>
    <row r="6010">
      <c r="C6010" s="18"/>
      <c r="D6010" s="19"/>
      <c r="E6010" s="57"/>
      <c r="H6010" s="18"/>
    </row>
    <row r="6011">
      <c r="C6011" s="18"/>
      <c r="D6011" s="19"/>
      <c r="E6011" s="57"/>
      <c r="H6011" s="18"/>
    </row>
    <row r="6012">
      <c r="C6012" s="18"/>
      <c r="D6012" s="19"/>
      <c r="E6012" s="57"/>
      <c r="H6012" s="18"/>
    </row>
    <row r="6013">
      <c r="C6013" s="18"/>
      <c r="D6013" s="19"/>
      <c r="E6013" s="57"/>
      <c r="H6013" s="18"/>
    </row>
    <row r="6014">
      <c r="C6014" s="18"/>
      <c r="D6014" s="19"/>
      <c r="E6014" s="57"/>
      <c r="H6014" s="18"/>
    </row>
    <row r="6015">
      <c r="C6015" s="18"/>
      <c r="D6015" s="19"/>
      <c r="E6015" s="57"/>
      <c r="H6015" s="18"/>
    </row>
    <row r="6016">
      <c r="C6016" s="18"/>
      <c r="D6016" s="19"/>
      <c r="E6016" s="57"/>
      <c r="H6016" s="18"/>
    </row>
    <row r="6017">
      <c r="C6017" s="18"/>
      <c r="D6017" s="19"/>
      <c r="E6017" s="57"/>
      <c r="H6017" s="18"/>
    </row>
    <row r="6018">
      <c r="C6018" s="18"/>
      <c r="D6018" s="19"/>
      <c r="E6018" s="57"/>
      <c r="H6018" s="18"/>
    </row>
    <row r="6019">
      <c r="C6019" s="18"/>
      <c r="D6019" s="19"/>
      <c r="E6019" s="57"/>
      <c r="H6019" s="18"/>
    </row>
    <row r="6020">
      <c r="C6020" s="18"/>
      <c r="D6020" s="19"/>
      <c r="E6020" s="57"/>
      <c r="H6020" s="18"/>
    </row>
    <row r="6021">
      <c r="C6021" s="18"/>
      <c r="D6021" s="19"/>
      <c r="E6021" s="57"/>
      <c r="H6021" s="18"/>
    </row>
    <row r="6022">
      <c r="C6022" s="18"/>
      <c r="D6022" s="19"/>
      <c r="E6022" s="57"/>
      <c r="H6022" s="18"/>
    </row>
    <row r="6023">
      <c r="C6023" s="18"/>
      <c r="D6023" s="19"/>
      <c r="E6023" s="57"/>
      <c r="H6023" s="18"/>
    </row>
    <row r="6024">
      <c r="C6024" s="18"/>
      <c r="D6024" s="19"/>
      <c r="E6024" s="57"/>
      <c r="H6024" s="18"/>
    </row>
    <row r="6025">
      <c r="C6025" s="18"/>
      <c r="D6025" s="19"/>
      <c r="E6025" s="57"/>
      <c r="H6025" s="18"/>
    </row>
    <row r="6026">
      <c r="C6026" s="18"/>
      <c r="D6026" s="19"/>
      <c r="E6026" s="57"/>
      <c r="H6026" s="18"/>
    </row>
    <row r="6027">
      <c r="C6027" s="18"/>
      <c r="D6027" s="19"/>
      <c r="E6027" s="57"/>
      <c r="H6027" s="18"/>
    </row>
    <row r="6028">
      <c r="C6028" s="18"/>
      <c r="D6028" s="19"/>
      <c r="E6028" s="57"/>
      <c r="H6028" s="18"/>
    </row>
    <row r="6029">
      <c r="C6029" s="18"/>
      <c r="D6029" s="19"/>
      <c r="E6029" s="57"/>
      <c r="H6029" s="18"/>
    </row>
    <row r="6030">
      <c r="C6030" s="18"/>
      <c r="D6030" s="19"/>
      <c r="E6030" s="57"/>
      <c r="H6030" s="18"/>
    </row>
    <row r="6031">
      <c r="C6031" s="18"/>
      <c r="D6031" s="19"/>
      <c r="E6031" s="57"/>
      <c r="H6031" s="18"/>
    </row>
    <row r="6032">
      <c r="C6032" s="18"/>
      <c r="D6032" s="19"/>
      <c r="E6032" s="57"/>
      <c r="H6032" s="18"/>
    </row>
    <row r="6033">
      <c r="C6033" s="18"/>
      <c r="D6033" s="19"/>
      <c r="E6033" s="57"/>
      <c r="H6033" s="18"/>
    </row>
    <row r="6034">
      <c r="C6034" s="18"/>
      <c r="D6034" s="19"/>
      <c r="E6034" s="57"/>
      <c r="H6034" s="18"/>
    </row>
    <row r="6035">
      <c r="C6035" s="18"/>
      <c r="D6035" s="19"/>
      <c r="E6035" s="57"/>
      <c r="H6035" s="18"/>
    </row>
    <row r="6036">
      <c r="C6036" s="18"/>
      <c r="D6036" s="19"/>
      <c r="E6036" s="57"/>
      <c r="H6036" s="18"/>
    </row>
    <row r="6037">
      <c r="C6037" s="18"/>
      <c r="D6037" s="19"/>
      <c r="E6037" s="57"/>
      <c r="H6037" s="18"/>
    </row>
    <row r="6038">
      <c r="C6038" s="18"/>
      <c r="D6038" s="19"/>
      <c r="E6038" s="57"/>
      <c r="H6038" s="18"/>
    </row>
    <row r="6039">
      <c r="C6039" s="18"/>
      <c r="D6039" s="19"/>
      <c r="E6039" s="57"/>
      <c r="H6039" s="18"/>
    </row>
    <row r="6040">
      <c r="C6040" s="18"/>
      <c r="D6040" s="19"/>
      <c r="E6040" s="57"/>
      <c r="H6040" s="18"/>
    </row>
    <row r="6041">
      <c r="C6041" s="18"/>
      <c r="D6041" s="19"/>
      <c r="E6041" s="57"/>
      <c r="H6041" s="18"/>
    </row>
    <row r="6042">
      <c r="C6042" s="18"/>
      <c r="D6042" s="19"/>
      <c r="E6042" s="57"/>
      <c r="H6042" s="18"/>
    </row>
    <row r="6043">
      <c r="C6043" s="18"/>
      <c r="D6043" s="19"/>
      <c r="E6043" s="57"/>
      <c r="H6043" s="18"/>
    </row>
    <row r="6044">
      <c r="C6044" s="18"/>
      <c r="D6044" s="19"/>
      <c r="E6044" s="57"/>
      <c r="H6044" s="18"/>
    </row>
    <row r="6045">
      <c r="C6045" s="18"/>
      <c r="D6045" s="19"/>
      <c r="E6045" s="57"/>
      <c r="H6045" s="18"/>
    </row>
    <row r="6046">
      <c r="C6046" s="18"/>
      <c r="D6046" s="19"/>
      <c r="E6046" s="57"/>
      <c r="H6046" s="18"/>
    </row>
    <row r="6047">
      <c r="C6047" s="18"/>
      <c r="D6047" s="19"/>
      <c r="E6047" s="57"/>
      <c r="H6047" s="18"/>
    </row>
    <row r="6048">
      <c r="C6048" s="18"/>
      <c r="D6048" s="19"/>
      <c r="E6048" s="57"/>
      <c r="H6048" s="18"/>
    </row>
    <row r="6049">
      <c r="C6049" s="18"/>
      <c r="D6049" s="19"/>
      <c r="E6049" s="57"/>
      <c r="H6049" s="18"/>
    </row>
    <row r="6050">
      <c r="C6050" s="18"/>
      <c r="D6050" s="19"/>
      <c r="E6050" s="57"/>
      <c r="H6050" s="18"/>
    </row>
    <row r="6051">
      <c r="C6051" s="18"/>
      <c r="D6051" s="19"/>
      <c r="E6051" s="57"/>
      <c r="H6051" s="18"/>
    </row>
    <row r="6052">
      <c r="C6052" s="18"/>
      <c r="D6052" s="19"/>
      <c r="E6052" s="57"/>
      <c r="H6052" s="18"/>
    </row>
    <row r="6053">
      <c r="C6053" s="18"/>
      <c r="D6053" s="19"/>
      <c r="E6053" s="57"/>
      <c r="H6053" s="18"/>
    </row>
    <row r="6054">
      <c r="C6054" s="18"/>
      <c r="D6054" s="19"/>
      <c r="E6054" s="57"/>
      <c r="H6054" s="18"/>
    </row>
    <row r="6055">
      <c r="C6055" s="18"/>
      <c r="D6055" s="19"/>
      <c r="E6055" s="57"/>
      <c r="H6055" s="18"/>
    </row>
    <row r="6056">
      <c r="C6056" s="18"/>
      <c r="D6056" s="19"/>
      <c r="E6056" s="57"/>
      <c r="H6056" s="18"/>
    </row>
    <row r="6057">
      <c r="C6057" s="18"/>
      <c r="D6057" s="19"/>
      <c r="E6057" s="57"/>
      <c r="H6057" s="18"/>
    </row>
    <row r="6058">
      <c r="C6058" s="18"/>
      <c r="D6058" s="19"/>
      <c r="E6058" s="57"/>
      <c r="H6058" s="18"/>
    </row>
    <row r="6059">
      <c r="C6059" s="18"/>
      <c r="D6059" s="19"/>
      <c r="E6059" s="57"/>
      <c r="H6059" s="18"/>
    </row>
    <row r="6060">
      <c r="C6060" s="18"/>
      <c r="D6060" s="19"/>
      <c r="E6060" s="57"/>
      <c r="H6060" s="18"/>
    </row>
    <row r="6061">
      <c r="C6061" s="18"/>
      <c r="D6061" s="19"/>
      <c r="E6061" s="57"/>
      <c r="H6061" s="18"/>
    </row>
    <row r="6062">
      <c r="C6062" s="18"/>
      <c r="D6062" s="19"/>
      <c r="E6062" s="57"/>
      <c r="H6062" s="18"/>
    </row>
    <row r="6063">
      <c r="C6063" s="18"/>
      <c r="D6063" s="19"/>
      <c r="E6063" s="57"/>
      <c r="H6063" s="18"/>
    </row>
    <row r="6064">
      <c r="C6064" s="18"/>
      <c r="D6064" s="19"/>
      <c r="E6064" s="57"/>
      <c r="H6064" s="18"/>
    </row>
    <row r="6065">
      <c r="C6065" s="18"/>
      <c r="D6065" s="19"/>
      <c r="E6065" s="57"/>
      <c r="H6065" s="18"/>
    </row>
    <row r="6066">
      <c r="C6066" s="18"/>
      <c r="D6066" s="19"/>
      <c r="E6066" s="57"/>
      <c r="H6066" s="18"/>
    </row>
    <row r="6067">
      <c r="C6067" s="18"/>
      <c r="D6067" s="19"/>
      <c r="E6067" s="57"/>
      <c r="H6067" s="18"/>
    </row>
    <row r="6068">
      <c r="C6068" s="18"/>
      <c r="D6068" s="19"/>
      <c r="E6068" s="57"/>
      <c r="H6068" s="18"/>
    </row>
    <row r="6069">
      <c r="C6069" s="18"/>
      <c r="D6069" s="19"/>
      <c r="E6069" s="57"/>
      <c r="H6069" s="18"/>
    </row>
    <row r="6070">
      <c r="C6070" s="18"/>
      <c r="D6070" s="19"/>
      <c r="E6070" s="57"/>
      <c r="H6070" s="18"/>
    </row>
    <row r="6071">
      <c r="C6071" s="18"/>
      <c r="D6071" s="19"/>
      <c r="E6071" s="57"/>
      <c r="H6071" s="18"/>
    </row>
    <row r="6072">
      <c r="C6072" s="18"/>
      <c r="D6072" s="19"/>
      <c r="E6072" s="57"/>
      <c r="H6072" s="18"/>
    </row>
    <row r="6073">
      <c r="C6073" s="18"/>
      <c r="D6073" s="19"/>
      <c r="E6073" s="57"/>
      <c r="H6073" s="18"/>
    </row>
    <row r="6074">
      <c r="C6074" s="18"/>
      <c r="D6074" s="19"/>
      <c r="E6074" s="57"/>
      <c r="H6074" s="18"/>
    </row>
    <row r="6075">
      <c r="C6075" s="18"/>
      <c r="D6075" s="19"/>
      <c r="E6075" s="57"/>
      <c r="H6075" s="18"/>
    </row>
    <row r="6076">
      <c r="C6076" s="18"/>
      <c r="D6076" s="19"/>
      <c r="E6076" s="57"/>
      <c r="H6076" s="18"/>
    </row>
    <row r="6077">
      <c r="C6077" s="18"/>
      <c r="D6077" s="19"/>
      <c r="E6077" s="57"/>
      <c r="H6077" s="18"/>
    </row>
    <row r="6078">
      <c r="C6078" s="18"/>
      <c r="D6078" s="19"/>
      <c r="E6078" s="57"/>
      <c r="H6078" s="18"/>
    </row>
    <row r="6079">
      <c r="C6079" s="18"/>
      <c r="D6079" s="19"/>
      <c r="E6079" s="57"/>
      <c r="H6079" s="18"/>
    </row>
    <row r="6080">
      <c r="C6080" s="18"/>
      <c r="D6080" s="19"/>
      <c r="E6080" s="57"/>
      <c r="H6080" s="18"/>
    </row>
    <row r="6081">
      <c r="C6081" s="18"/>
      <c r="D6081" s="19"/>
      <c r="E6081" s="57"/>
      <c r="H6081" s="18"/>
    </row>
    <row r="6082">
      <c r="C6082" s="18"/>
      <c r="D6082" s="19"/>
      <c r="E6082" s="57"/>
      <c r="H6082" s="18"/>
    </row>
    <row r="6083">
      <c r="C6083" s="18"/>
      <c r="D6083" s="19"/>
      <c r="E6083" s="57"/>
      <c r="H6083" s="18"/>
    </row>
    <row r="6084">
      <c r="C6084" s="18"/>
      <c r="D6084" s="19"/>
      <c r="E6084" s="57"/>
      <c r="H6084" s="18"/>
    </row>
    <row r="6085">
      <c r="C6085" s="18"/>
      <c r="D6085" s="19"/>
      <c r="E6085" s="57"/>
      <c r="H6085" s="18"/>
    </row>
    <row r="6086">
      <c r="C6086" s="18"/>
      <c r="D6086" s="19"/>
      <c r="E6086" s="57"/>
      <c r="H6086" s="18"/>
    </row>
    <row r="6087">
      <c r="C6087" s="18"/>
      <c r="D6087" s="19"/>
      <c r="E6087" s="57"/>
      <c r="H6087" s="18"/>
    </row>
    <row r="6088">
      <c r="C6088" s="18"/>
      <c r="D6088" s="19"/>
      <c r="E6088" s="57"/>
      <c r="H6088" s="18"/>
    </row>
    <row r="6089">
      <c r="C6089" s="18"/>
      <c r="D6089" s="19"/>
      <c r="E6089" s="57"/>
      <c r="H6089" s="18"/>
    </row>
    <row r="6090">
      <c r="C6090" s="18"/>
      <c r="D6090" s="19"/>
      <c r="E6090" s="57"/>
      <c r="H6090" s="18"/>
    </row>
    <row r="6091">
      <c r="C6091" s="18"/>
      <c r="D6091" s="19"/>
      <c r="E6091" s="57"/>
      <c r="H6091" s="18"/>
    </row>
    <row r="6092">
      <c r="C6092" s="18"/>
      <c r="D6092" s="19"/>
      <c r="E6092" s="57"/>
      <c r="H6092" s="18"/>
    </row>
    <row r="6093">
      <c r="C6093" s="18"/>
      <c r="D6093" s="19"/>
      <c r="E6093" s="57"/>
      <c r="H6093" s="18"/>
    </row>
    <row r="6094">
      <c r="C6094" s="18"/>
      <c r="D6094" s="19"/>
      <c r="E6094" s="57"/>
      <c r="H6094" s="18"/>
    </row>
    <row r="6095">
      <c r="C6095" s="18"/>
      <c r="D6095" s="19"/>
      <c r="E6095" s="57"/>
      <c r="H6095" s="18"/>
    </row>
    <row r="6096">
      <c r="C6096" s="18"/>
      <c r="D6096" s="19"/>
      <c r="E6096" s="57"/>
      <c r="H6096" s="18"/>
    </row>
    <row r="6097">
      <c r="C6097" s="18"/>
      <c r="D6097" s="19"/>
      <c r="E6097" s="57"/>
      <c r="H6097" s="18"/>
    </row>
    <row r="6098">
      <c r="C6098" s="18"/>
      <c r="D6098" s="19"/>
      <c r="E6098" s="57"/>
      <c r="H6098" s="18"/>
    </row>
    <row r="6099">
      <c r="C6099" s="18"/>
      <c r="D6099" s="19"/>
      <c r="E6099" s="57"/>
      <c r="H6099" s="18"/>
    </row>
    <row r="6100">
      <c r="C6100" s="18"/>
      <c r="D6100" s="19"/>
      <c r="E6100" s="57"/>
      <c r="H6100" s="18"/>
    </row>
    <row r="6101">
      <c r="C6101" s="18"/>
      <c r="D6101" s="19"/>
      <c r="E6101" s="57"/>
      <c r="H6101" s="18"/>
    </row>
    <row r="6102">
      <c r="C6102" s="18"/>
      <c r="D6102" s="19"/>
      <c r="E6102" s="57"/>
      <c r="H6102" s="18"/>
    </row>
    <row r="6103">
      <c r="C6103" s="18"/>
      <c r="D6103" s="19"/>
      <c r="E6103" s="57"/>
      <c r="H6103" s="18"/>
    </row>
    <row r="6104">
      <c r="C6104" s="18"/>
      <c r="D6104" s="19"/>
      <c r="E6104" s="57"/>
      <c r="H6104" s="18"/>
    </row>
    <row r="6105">
      <c r="C6105" s="18"/>
      <c r="D6105" s="19"/>
      <c r="E6105" s="57"/>
      <c r="H6105" s="18"/>
    </row>
    <row r="6106">
      <c r="C6106" s="18"/>
      <c r="D6106" s="19"/>
      <c r="E6106" s="57"/>
      <c r="H6106" s="18"/>
    </row>
    <row r="6107">
      <c r="C6107" s="18"/>
      <c r="D6107" s="19"/>
      <c r="E6107" s="57"/>
      <c r="H6107" s="18"/>
    </row>
    <row r="6108">
      <c r="C6108" s="18"/>
      <c r="D6108" s="19"/>
      <c r="E6108" s="57"/>
      <c r="H6108" s="18"/>
    </row>
    <row r="6109">
      <c r="C6109" s="18"/>
      <c r="D6109" s="19"/>
      <c r="E6109" s="57"/>
      <c r="H6109" s="18"/>
    </row>
    <row r="6110">
      <c r="C6110" s="18"/>
      <c r="D6110" s="19"/>
      <c r="E6110" s="57"/>
      <c r="H6110" s="18"/>
    </row>
    <row r="6111">
      <c r="C6111" s="18"/>
      <c r="D6111" s="19"/>
      <c r="E6111" s="57"/>
      <c r="H6111" s="18"/>
    </row>
    <row r="6112">
      <c r="C6112" s="18"/>
      <c r="D6112" s="19"/>
      <c r="E6112" s="57"/>
      <c r="H6112" s="18"/>
    </row>
    <row r="6113">
      <c r="C6113" s="18"/>
      <c r="D6113" s="19"/>
      <c r="E6113" s="57"/>
      <c r="H6113" s="18"/>
    </row>
    <row r="6114">
      <c r="C6114" s="18"/>
      <c r="D6114" s="19"/>
      <c r="E6114" s="57"/>
      <c r="H6114" s="18"/>
    </row>
    <row r="6115">
      <c r="C6115" s="18"/>
      <c r="D6115" s="19"/>
      <c r="E6115" s="57"/>
      <c r="H6115" s="18"/>
    </row>
    <row r="6116">
      <c r="C6116" s="18"/>
      <c r="D6116" s="19"/>
      <c r="E6116" s="57"/>
      <c r="H6116" s="18"/>
    </row>
    <row r="6117">
      <c r="C6117" s="18"/>
      <c r="D6117" s="19"/>
      <c r="E6117" s="57"/>
      <c r="H6117" s="18"/>
    </row>
    <row r="6118">
      <c r="C6118" s="18"/>
      <c r="D6118" s="19"/>
      <c r="E6118" s="57"/>
      <c r="H6118" s="18"/>
    </row>
    <row r="6119">
      <c r="C6119" s="18"/>
      <c r="D6119" s="19"/>
      <c r="E6119" s="57"/>
      <c r="H6119" s="18"/>
    </row>
    <row r="6120">
      <c r="C6120" s="18"/>
      <c r="D6120" s="19"/>
      <c r="E6120" s="57"/>
      <c r="H6120" s="18"/>
    </row>
    <row r="6121">
      <c r="C6121" s="18"/>
      <c r="D6121" s="19"/>
      <c r="E6121" s="57"/>
      <c r="H6121" s="18"/>
    </row>
    <row r="6122">
      <c r="C6122" s="18"/>
      <c r="D6122" s="19"/>
      <c r="E6122" s="57"/>
      <c r="H6122" s="18"/>
    </row>
    <row r="6123">
      <c r="C6123" s="18"/>
      <c r="D6123" s="19"/>
      <c r="E6123" s="57"/>
      <c r="H6123" s="18"/>
    </row>
    <row r="6124">
      <c r="C6124" s="18"/>
      <c r="D6124" s="19"/>
      <c r="E6124" s="57"/>
      <c r="H6124" s="18"/>
    </row>
    <row r="6125">
      <c r="C6125" s="18"/>
      <c r="D6125" s="19"/>
      <c r="E6125" s="57"/>
      <c r="H6125" s="18"/>
    </row>
    <row r="6126">
      <c r="C6126" s="18"/>
      <c r="D6126" s="19"/>
      <c r="E6126" s="57"/>
      <c r="H6126" s="18"/>
    </row>
    <row r="6127">
      <c r="C6127" s="18"/>
      <c r="D6127" s="19"/>
      <c r="E6127" s="57"/>
      <c r="H6127" s="18"/>
    </row>
    <row r="6128">
      <c r="C6128" s="18"/>
      <c r="D6128" s="19"/>
      <c r="E6128" s="57"/>
      <c r="H6128" s="18"/>
    </row>
    <row r="6129">
      <c r="C6129" s="18"/>
      <c r="D6129" s="19"/>
      <c r="E6129" s="57"/>
      <c r="H6129" s="18"/>
    </row>
    <row r="6130">
      <c r="C6130" s="18"/>
      <c r="D6130" s="19"/>
      <c r="E6130" s="57"/>
      <c r="H6130" s="18"/>
    </row>
    <row r="6131">
      <c r="C6131" s="18"/>
      <c r="D6131" s="19"/>
      <c r="E6131" s="57"/>
      <c r="H6131" s="18"/>
    </row>
    <row r="6132">
      <c r="C6132" s="18"/>
      <c r="D6132" s="19"/>
      <c r="E6132" s="57"/>
      <c r="H6132" s="18"/>
    </row>
    <row r="6133">
      <c r="C6133" s="18"/>
      <c r="D6133" s="19"/>
      <c r="E6133" s="57"/>
      <c r="H6133" s="18"/>
    </row>
    <row r="6134">
      <c r="C6134" s="18"/>
      <c r="D6134" s="19"/>
      <c r="E6134" s="57"/>
      <c r="H6134" s="18"/>
    </row>
    <row r="6135">
      <c r="C6135" s="18"/>
      <c r="D6135" s="19"/>
      <c r="E6135" s="57"/>
      <c r="H6135" s="18"/>
    </row>
    <row r="6136">
      <c r="C6136" s="18"/>
      <c r="D6136" s="19"/>
      <c r="E6136" s="57"/>
      <c r="H6136" s="18"/>
    </row>
    <row r="6137">
      <c r="C6137" s="18"/>
      <c r="D6137" s="19"/>
      <c r="E6137" s="57"/>
      <c r="H6137" s="18"/>
    </row>
    <row r="6138">
      <c r="C6138" s="18"/>
      <c r="D6138" s="19"/>
      <c r="E6138" s="57"/>
      <c r="H6138" s="18"/>
    </row>
    <row r="6139">
      <c r="C6139" s="18"/>
      <c r="D6139" s="19"/>
      <c r="E6139" s="57"/>
      <c r="H6139" s="18"/>
    </row>
    <row r="6140">
      <c r="C6140" s="18"/>
      <c r="D6140" s="19"/>
      <c r="E6140" s="57"/>
      <c r="H6140" s="18"/>
    </row>
    <row r="6141">
      <c r="C6141" s="18"/>
      <c r="D6141" s="19"/>
      <c r="E6141" s="57"/>
      <c r="H6141" s="18"/>
    </row>
    <row r="6142">
      <c r="C6142" s="18"/>
      <c r="D6142" s="19"/>
      <c r="E6142" s="57"/>
      <c r="H6142" s="18"/>
    </row>
    <row r="6143">
      <c r="C6143" s="18"/>
      <c r="D6143" s="19"/>
      <c r="E6143" s="57"/>
      <c r="H6143" s="18"/>
    </row>
    <row r="6144">
      <c r="C6144" s="18"/>
      <c r="D6144" s="19"/>
      <c r="E6144" s="57"/>
      <c r="H6144" s="18"/>
    </row>
    <row r="6145">
      <c r="C6145" s="18"/>
      <c r="D6145" s="19"/>
      <c r="E6145" s="57"/>
      <c r="H6145" s="18"/>
    </row>
    <row r="6146">
      <c r="C6146" s="18"/>
      <c r="D6146" s="19"/>
      <c r="E6146" s="57"/>
      <c r="H6146" s="18"/>
    </row>
    <row r="6147">
      <c r="C6147" s="18"/>
      <c r="D6147" s="19"/>
      <c r="E6147" s="57"/>
      <c r="H6147" s="18"/>
    </row>
    <row r="6148">
      <c r="C6148" s="18"/>
      <c r="D6148" s="19"/>
      <c r="E6148" s="57"/>
      <c r="H6148" s="18"/>
    </row>
    <row r="6149">
      <c r="C6149" s="18"/>
      <c r="D6149" s="19"/>
      <c r="E6149" s="57"/>
      <c r="H6149" s="18"/>
    </row>
    <row r="6150">
      <c r="C6150" s="18"/>
      <c r="D6150" s="19"/>
      <c r="E6150" s="57"/>
      <c r="H6150" s="18"/>
    </row>
    <row r="6151">
      <c r="C6151" s="18"/>
      <c r="D6151" s="19"/>
      <c r="E6151" s="57"/>
      <c r="H6151" s="18"/>
    </row>
    <row r="6152">
      <c r="C6152" s="18"/>
      <c r="D6152" s="19"/>
      <c r="E6152" s="57"/>
      <c r="H6152" s="18"/>
    </row>
    <row r="6153">
      <c r="C6153" s="18"/>
      <c r="D6153" s="19"/>
      <c r="E6153" s="57"/>
      <c r="H6153" s="18"/>
    </row>
    <row r="6154">
      <c r="C6154" s="18"/>
      <c r="D6154" s="19"/>
      <c r="E6154" s="57"/>
      <c r="H6154" s="18"/>
    </row>
    <row r="6155">
      <c r="C6155" s="18"/>
      <c r="D6155" s="19"/>
      <c r="E6155" s="57"/>
      <c r="H6155" s="18"/>
    </row>
    <row r="6156">
      <c r="C6156" s="18"/>
      <c r="D6156" s="19"/>
      <c r="E6156" s="57"/>
      <c r="H6156" s="18"/>
    </row>
    <row r="6157">
      <c r="C6157" s="18"/>
      <c r="D6157" s="19"/>
      <c r="E6157" s="57"/>
      <c r="H6157" s="18"/>
    </row>
    <row r="6158">
      <c r="C6158" s="18"/>
      <c r="D6158" s="19"/>
      <c r="E6158" s="57"/>
      <c r="H6158" s="18"/>
    </row>
    <row r="6159">
      <c r="C6159" s="18"/>
      <c r="D6159" s="19"/>
      <c r="E6159" s="57"/>
      <c r="H6159" s="18"/>
    </row>
    <row r="6160">
      <c r="C6160" s="18"/>
      <c r="D6160" s="19"/>
      <c r="E6160" s="57"/>
      <c r="H6160" s="18"/>
    </row>
    <row r="6161">
      <c r="C6161" s="18"/>
      <c r="D6161" s="19"/>
      <c r="E6161" s="57"/>
      <c r="H6161" s="18"/>
    </row>
    <row r="6162">
      <c r="C6162" s="18"/>
      <c r="D6162" s="19"/>
      <c r="E6162" s="57"/>
      <c r="H6162" s="18"/>
    </row>
    <row r="6163">
      <c r="C6163" s="18"/>
      <c r="D6163" s="19"/>
      <c r="E6163" s="57"/>
      <c r="H6163" s="18"/>
    </row>
    <row r="6164">
      <c r="C6164" s="18"/>
      <c r="D6164" s="19"/>
      <c r="E6164" s="57"/>
      <c r="H6164" s="18"/>
    </row>
    <row r="6165">
      <c r="C6165" s="18"/>
      <c r="D6165" s="19"/>
      <c r="E6165" s="57"/>
      <c r="H6165" s="18"/>
    </row>
    <row r="6166">
      <c r="C6166" s="18"/>
      <c r="D6166" s="19"/>
      <c r="E6166" s="57"/>
      <c r="H6166" s="18"/>
    </row>
    <row r="6167">
      <c r="C6167" s="18"/>
      <c r="D6167" s="19"/>
      <c r="E6167" s="57"/>
      <c r="H6167" s="18"/>
    </row>
    <row r="6168">
      <c r="C6168" s="18"/>
      <c r="D6168" s="19"/>
      <c r="E6168" s="57"/>
      <c r="H6168" s="18"/>
    </row>
    <row r="6169">
      <c r="C6169" s="18"/>
      <c r="D6169" s="19"/>
      <c r="E6169" s="57"/>
      <c r="H6169" s="18"/>
    </row>
    <row r="6170">
      <c r="C6170" s="18"/>
      <c r="D6170" s="19"/>
      <c r="E6170" s="57"/>
      <c r="H6170" s="18"/>
    </row>
    <row r="6171">
      <c r="C6171" s="18"/>
      <c r="D6171" s="19"/>
      <c r="E6171" s="57"/>
      <c r="H6171" s="18"/>
    </row>
    <row r="6172">
      <c r="C6172" s="18"/>
      <c r="D6172" s="19"/>
      <c r="E6172" s="57"/>
      <c r="H6172" s="18"/>
    </row>
    <row r="6173">
      <c r="C6173" s="18"/>
      <c r="D6173" s="19"/>
      <c r="E6173" s="57"/>
      <c r="H6173" s="18"/>
    </row>
    <row r="6174">
      <c r="C6174" s="18"/>
      <c r="D6174" s="19"/>
      <c r="E6174" s="57"/>
      <c r="H6174" s="18"/>
    </row>
    <row r="6175">
      <c r="C6175" s="18"/>
      <c r="D6175" s="19"/>
      <c r="E6175" s="57"/>
      <c r="H6175" s="18"/>
    </row>
    <row r="6176">
      <c r="C6176" s="18"/>
      <c r="D6176" s="19"/>
      <c r="E6176" s="57"/>
      <c r="H6176" s="18"/>
    </row>
    <row r="6177">
      <c r="C6177" s="18"/>
      <c r="D6177" s="19"/>
      <c r="E6177" s="57"/>
      <c r="H6177" s="18"/>
    </row>
    <row r="6178">
      <c r="C6178" s="18"/>
      <c r="D6178" s="19"/>
      <c r="E6178" s="57"/>
      <c r="H6178" s="18"/>
    </row>
    <row r="6179">
      <c r="C6179" s="18"/>
      <c r="D6179" s="19"/>
      <c r="E6179" s="57"/>
      <c r="H6179" s="18"/>
    </row>
    <row r="6180">
      <c r="C6180" s="18"/>
      <c r="D6180" s="19"/>
      <c r="E6180" s="57"/>
      <c r="H6180" s="18"/>
    </row>
    <row r="6181">
      <c r="C6181" s="18"/>
      <c r="D6181" s="19"/>
      <c r="E6181" s="57"/>
      <c r="H6181" s="18"/>
    </row>
    <row r="6182">
      <c r="C6182" s="18"/>
      <c r="D6182" s="19"/>
      <c r="E6182" s="57"/>
      <c r="H6182" s="18"/>
    </row>
    <row r="6183">
      <c r="C6183" s="18"/>
      <c r="D6183" s="19"/>
      <c r="E6183" s="57"/>
      <c r="H6183" s="18"/>
    </row>
    <row r="6184">
      <c r="C6184" s="18"/>
      <c r="D6184" s="19"/>
      <c r="E6184" s="57"/>
      <c r="H6184" s="18"/>
    </row>
    <row r="6185">
      <c r="C6185" s="18"/>
      <c r="D6185" s="19"/>
      <c r="E6185" s="57"/>
      <c r="H6185" s="18"/>
    </row>
    <row r="6186">
      <c r="C6186" s="18"/>
      <c r="D6186" s="19"/>
      <c r="E6186" s="57"/>
      <c r="H6186" s="18"/>
    </row>
    <row r="6187">
      <c r="C6187" s="18"/>
      <c r="D6187" s="19"/>
      <c r="E6187" s="57"/>
      <c r="H6187" s="18"/>
    </row>
    <row r="6188">
      <c r="C6188" s="18"/>
      <c r="D6188" s="19"/>
      <c r="E6188" s="57"/>
      <c r="H6188" s="18"/>
    </row>
    <row r="6189">
      <c r="C6189" s="18"/>
      <c r="D6189" s="19"/>
      <c r="E6189" s="57"/>
      <c r="H6189" s="18"/>
    </row>
    <row r="6190">
      <c r="C6190" s="18"/>
      <c r="D6190" s="19"/>
      <c r="E6190" s="57"/>
      <c r="H6190" s="18"/>
    </row>
    <row r="6191">
      <c r="C6191" s="18"/>
      <c r="D6191" s="19"/>
      <c r="E6191" s="57"/>
      <c r="H6191" s="18"/>
    </row>
    <row r="6192">
      <c r="C6192" s="18"/>
      <c r="D6192" s="19"/>
      <c r="E6192" s="57"/>
      <c r="H6192" s="18"/>
    </row>
    <row r="6193">
      <c r="C6193" s="18"/>
      <c r="D6193" s="19"/>
      <c r="E6193" s="57"/>
      <c r="H6193" s="18"/>
    </row>
    <row r="6194">
      <c r="C6194" s="18"/>
      <c r="D6194" s="19"/>
      <c r="E6194" s="57"/>
      <c r="H6194" s="18"/>
    </row>
    <row r="6195">
      <c r="C6195" s="18"/>
      <c r="D6195" s="19"/>
      <c r="E6195" s="57"/>
      <c r="H6195" s="18"/>
    </row>
    <row r="6196">
      <c r="C6196" s="18"/>
      <c r="D6196" s="19"/>
      <c r="E6196" s="57"/>
      <c r="H6196" s="18"/>
    </row>
    <row r="6197">
      <c r="C6197" s="18"/>
      <c r="D6197" s="19"/>
      <c r="E6197" s="57"/>
      <c r="H6197" s="18"/>
    </row>
    <row r="6198">
      <c r="C6198" s="18"/>
      <c r="D6198" s="19"/>
      <c r="E6198" s="57"/>
      <c r="H6198" s="18"/>
    </row>
    <row r="6199">
      <c r="C6199" s="18"/>
      <c r="D6199" s="19"/>
      <c r="E6199" s="57"/>
      <c r="H6199" s="18"/>
    </row>
    <row r="6200">
      <c r="C6200" s="18"/>
      <c r="D6200" s="19"/>
      <c r="E6200" s="57"/>
      <c r="H6200" s="18"/>
    </row>
    <row r="6201">
      <c r="C6201" s="18"/>
      <c r="D6201" s="19"/>
      <c r="E6201" s="57"/>
      <c r="H6201" s="18"/>
    </row>
    <row r="6202">
      <c r="C6202" s="18"/>
      <c r="D6202" s="19"/>
      <c r="E6202" s="57"/>
      <c r="H6202" s="18"/>
    </row>
    <row r="6203">
      <c r="C6203" s="18"/>
      <c r="D6203" s="19"/>
      <c r="E6203" s="57"/>
      <c r="H6203" s="18"/>
    </row>
    <row r="6204">
      <c r="C6204" s="18"/>
      <c r="D6204" s="19"/>
      <c r="E6204" s="57"/>
      <c r="H6204" s="18"/>
    </row>
    <row r="6205">
      <c r="C6205" s="18"/>
      <c r="D6205" s="19"/>
      <c r="E6205" s="57"/>
      <c r="H6205" s="18"/>
    </row>
    <row r="6206">
      <c r="C6206" s="18"/>
      <c r="D6206" s="19"/>
      <c r="E6206" s="57"/>
      <c r="H6206" s="18"/>
    </row>
    <row r="6207">
      <c r="C6207" s="18"/>
      <c r="D6207" s="19"/>
      <c r="E6207" s="57"/>
      <c r="H6207" s="18"/>
    </row>
    <row r="6208">
      <c r="C6208" s="18"/>
      <c r="D6208" s="19"/>
      <c r="E6208" s="57"/>
      <c r="H6208" s="18"/>
    </row>
    <row r="6209">
      <c r="C6209" s="18"/>
      <c r="D6209" s="19"/>
      <c r="E6209" s="57"/>
      <c r="H6209" s="18"/>
    </row>
    <row r="6210">
      <c r="C6210" s="18"/>
      <c r="D6210" s="19"/>
      <c r="E6210" s="57"/>
      <c r="H6210" s="18"/>
    </row>
    <row r="6211">
      <c r="C6211" s="18"/>
      <c r="D6211" s="19"/>
      <c r="E6211" s="57"/>
      <c r="H6211" s="18"/>
    </row>
    <row r="6212">
      <c r="C6212" s="18"/>
      <c r="D6212" s="19"/>
      <c r="E6212" s="57"/>
      <c r="H6212" s="18"/>
    </row>
    <row r="6213">
      <c r="C6213" s="18"/>
      <c r="D6213" s="19"/>
      <c r="E6213" s="57"/>
      <c r="H6213" s="18"/>
    </row>
    <row r="6214">
      <c r="C6214" s="18"/>
      <c r="D6214" s="19"/>
      <c r="E6214" s="57"/>
      <c r="H6214" s="18"/>
    </row>
    <row r="6215">
      <c r="C6215" s="18"/>
      <c r="D6215" s="19"/>
      <c r="E6215" s="57"/>
      <c r="H6215" s="18"/>
    </row>
    <row r="6216">
      <c r="C6216" s="18"/>
      <c r="D6216" s="19"/>
      <c r="E6216" s="57"/>
      <c r="H6216" s="18"/>
    </row>
    <row r="6217">
      <c r="C6217" s="18"/>
      <c r="D6217" s="19"/>
      <c r="E6217" s="57"/>
      <c r="H6217" s="18"/>
    </row>
    <row r="6218">
      <c r="C6218" s="18"/>
      <c r="D6218" s="19"/>
      <c r="E6218" s="57"/>
      <c r="H6218" s="18"/>
    </row>
    <row r="6219">
      <c r="C6219" s="18"/>
      <c r="D6219" s="19"/>
      <c r="E6219" s="57"/>
      <c r="H6219" s="18"/>
    </row>
    <row r="6220">
      <c r="C6220" s="18"/>
      <c r="D6220" s="19"/>
      <c r="E6220" s="57"/>
      <c r="H6220" s="18"/>
    </row>
    <row r="6221">
      <c r="C6221" s="18"/>
      <c r="D6221" s="19"/>
      <c r="E6221" s="57"/>
      <c r="H6221" s="18"/>
    </row>
    <row r="6222">
      <c r="C6222" s="18"/>
      <c r="D6222" s="19"/>
      <c r="E6222" s="57"/>
      <c r="H6222" s="18"/>
    </row>
    <row r="6223">
      <c r="C6223" s="18"/>
      <c r="D6223" s="19"/>
      <c r="E6223" s="57"/>
      <c r="H6223" s="18"/>
    </row>
    <row r="6224">
      <c r="C6224" s="18"/>
      <c r="D6224" s="19"/>
      <c r="E6224" s="57"/>
      <c r="H6224" s="18"/>
    </row>
    <row r="6225">
      <c r="C6225" s="18"/>
      <c r="D6225" s="19"/>
      <c r="E6225" s="57"/>
      <c r="H6225" s="18"/>
    </row>
    <row r="6226">
      <c r="C6226" s="18"/>
      <c r="D6226" s="19"/>
      <c r="E6226" s="57"/>
      <c r="H6226" s="18"/>
    </row>
    <row r="6227">
      <c r="C6227" s="18"/>
      <c r="D6227" s="19"/>
      <c r="E6227" s="57"/>
      <c r="H6227" s="18"/>
    </row>
    <row r="6228">
      <c r="C6228" s="18"/>
      <c r="D6228" s="19"/>
      <c r="E6228" s="57"/>
      <c r="H6228" s="18"/>
    </row>
    <row r="6229">
      <c r="C6229" s="18"/>
      <c r="D6229" s="19"/>
      <c r="E6229" s="57"/>
      <c r="H6229" s="18"/>
    </row>
    <row r="6230">
      <c r="C6230" s="18"/>
      <c r="D6230" s="19"/>
      <c r="E6230" s="57"/>
      <c r="H6230" s="18"/>
    </row>
    <row r="6231">
      <c r="C6231" s="18"/>
      <c r="D6231" s="19"/>
      <c r="E6231" s="57"/>
      <c r="H6231" s="18"/>
    </row>
    <row r="6232">
      <c r="C6232" s="18"/>
      <c r="D6232" s="19"/>
      <c r="E6232" s="57"/>
      <c r="H6232" s="18"/>
    </row>
    <row r="6233">
      <c r="C6233" s="18"/>
      <c r="D6233" s="19"/>
      <c r="E6233" s="57"/>
      <c r="H6233" s="18"/>
    </row>
    <row r="6234">
      <c r="C6234" s="18"/>
      <c r="D6234" s="19"/>
      <c r="E6234" s="57"/>
      <c r="H6234" s="18"/>
    </row>
    <row r="6235">
      <c r="C6235" s="18"/>
      <c r="D6235" s="19"/>
      <c r="E6235" s="57"/>
      <c r="H6235" s="18"/>
    </row>
    <row r="6236">
      <c r="C6236" s="18"/>
      <c r="D6236" s="19"/>
      <c r="E6236" s="57"/>
      <c r="H6236" s="18"/>
    </row>
    <row r="6237">
      <c r="C6237" s="18"/>
      <c r="D6237" s="19"/>
      <c r="E6237" s="57"/>
      <c r="H6237" s="18"/>
    </row>
    <row r="6238">
      <c r="C6238" s="18"/>
      <c r="D6238" s="19"/>
      <c r="E6238" s="57"/>
      <c r="H6238" s="18"/>
    </row>
    <row r="6239">
      <c r="C6239" s="18"/>
      <c r="D6239" s="19"/>
      <c r="E6239" s="57"/>
      <c r="H6239" s="18"/>
    </row>
    <row r="6240">
      <c r="C6240" s="18"/>
      <c r="D6240" s="19"/>
      <c r="E6240" s="57"/>
      <c r="H6240" s="18"/>
    </row>
    <row r="6241">
      <c r="C6241" s="18"/>
      <c r="D6241" s="19"/>
      <c r="E6241" s="57"/>
      <c r="H6241" s="18"/>
    </row>
    <row r="6242">
      <c r="C6242" s="18"/>
      <c r="D6242" s="19"/>
      <c r="E6242" s="57"/>
      <c r="H6242" s="18"/>
    </row>
    <row r="6243">
      <c r="C6243" s="18"/>
      <c r="D6243" s="19"/>
      <c r="E6243" s="57"/>
      <c r="H6243" s="18"/>
    </row>
    <row r="6244">
      <c r="C6244" s="18"/>
      <c r="D6244" s="19"/>
      <c r="E6244" s="57"/>
      <c r="H6244" s="18"/>
    </row>
    <row r="6245">
      <c r="C6245" s="18"/>
      <c r="D6245" s="19"/>
      <c r="E6245" s="57"/>
      <c r="H6245" s="18"/>
    </row>
    <row r="6246">
      <c r="C6246" s="18"/>
      <c r="D6246" s="19"/>
      <c r="E6246" s="57"/>
      <c r="H6246" s="18"/>
    </row>
    <row r="6247">
      <c r="C6247" s="18"/>
      <c r="D6247" s="19"/>
      <c r="E6247" s="57"/>
      <c r="H6247" s="18"/>
    </row>
    <row r="6248">
      <c r="C6248" s="18"/>
      <c r="D6248" s="19"/>
      <c r="E6248" s="57"/>
      <c r="H6248" s="18"/>
    </row>
    <row r="6249">
      <c r="C6249" s="18"/>
      <c r="D6249" s="19"/>
      <c r="E6249" s="57"/>
      <c r="H6249" s="18"/>
    </row>
    <row r="6250">
      <c r="C6250" s="18"/>
      <c r="D6250" s="19"/>
      <c r="E6250" s="57"/>
      <c r="H6250" s="18"/>
    </row>
    <row r="6251">
      <c r="C6251" s="18"/>
      <c r="D6251" s="19"/>
      <c r="E6251" s="57"/>
      <c r="H6251" s="18"/>
    </row>
    <row r="6252">
      <c r="C6252" s="18"/>
      <c r="D6252" s="19"/>
      <c r="E6252" s="57"/>
      <c r="H6252" s="18"/>
    </row>
    <row r="6253">
      <c r="C6253" s="18"/>
      <c r="D6253" s="19"/>
      <c r="E6253" s="57"/>
      <c r="H6253" s="18"/>
    </row>
    <row r="6254">
      <c r="C6254" s="18"/>
      <c r="D6254" s="19"/>
      <c r="E6254" s="57"/>
      <c r="H6254" s="18"/>
    </row>
    <row r="6255">
      <c r="C6255" s="18"/>
      <c r="D6255" s="19"/>
      <c r="E6255" s="57"/>
      <c r="H6255" s="18"/>
    </row>
    <row r="6256">
      <c r="C6256" s="18"/>
      <c r="D6256" s="19"/>
      <c r="E6256" s="57"/>
      <c r="H6256" s="18"/>
    </row>
    <row r="6257">
      <c r="C6257" s="18"/>
      <c r="D6257" s="19"/>
      <c r="E6257" s="57"/>
      <c r="H6257" s="18"/>
    </row>
    <row r="6258">
      <c r="C6258" s="18"/>
      <c r="D6258" s="19"/>
      <c r="E6258" s="57"/>
      <c r="H6258" s="18"/>
    </row>
    <row r="6259">
      <c r="C6259" s="18"/>
      <c r="D6259" s="19"/>
      <c r="E6259" s="57"/>
      <c r="H6259" s="18"/>
    </row>
    <row r="6260">
      <c r="C6260" s="18"/>
      <c r="D6260" s="19"/>
      <c r="E6260" s="57"/>
      <c r="H6260" s="18"/>
    </row>
    <row r="6261">
      <c r="C6261" s="18"/>
      <c r="D6261" s="19"/>
      <c r="E6261" s="57"/>
      <c r="H6261" s="18"/>
    </row>
    <row r="6262">
      <c r="C6262" s="18"/>
      <c r="D6262" s="19"/>
      <c r="E6262" s="57"/>
      <c r="H6262" s="18"/>
    </row>
    <row r="6263">
      <c r="C6263" s="18"/>
      <c r="D6263" s="19"/>
      <c r="E6263" s="57"/>
      <c r="H6263" s="18"/>
    </row>
    <row r="6264">
      <c r="C6264" s="18"/>
      <c r="D6264" s="19"/>
      <c r="E6264" s="57"/>
      <c r="H6264" s="18"/>
    </row>
    <row r="6265">
      <c r="C6265" s="18"/>
      <c r="D6265" s="19"/>
      <c r="E6265" s="57"/>
      <c r="H6265" s="18"/>
    </row>
    <row r="6266">
      <c r="C6266" s="18"/>
      <c r="D6266" s="19"/>
      <c r="E6266" s="57"/>
      <c r="H6266" s="18"/>
    </row>
    <row r="6267">
      <c r="C6267" s="18"/>
      <c r="D6267" s="19"/>
      <c r="E6267" s="57"/>
      <c r="H6267" s="18"/>
    </row>
    <row r="6268">
      <c r="C6268" s="18"/>
      <c r="D6268" s="19"/>
      <c r="E6268" s="57"/>
      <c r="H6268" s="18"/>
    </row>
    <row r="6269">
      <c r="C6269" s="18"/>
      <c r="D6269" s="19"/>
      <c r="E6269" s="57"/>
      <c r="H6269" s="18"/>
    </row>
    <row r="6270">
      <c r="C6270" s="18"/>
      <c r="D6270" s="19"/>
      <c r="E6270" s="57"/>
      <c r="H6270" s="18"/>
    </row>
    <row r="6271">
      <c r="C6271" s="18"/>
      <c r="D6271" s="19"/>
      <c r="E6271" s="57"/>
      <c r="H6271" s="18"/>
    </row>
    <row r="6272">
      <c r="C6272" s="18"/>
      <c r="D6272" s="19"/>
      <c r="E6272" s="57"/>
      <c r="H6272" s="18"/>
    </row>
    <row r="6273">
      <c r="C6273" s="18"/>
      <c r="D6273" s="19"/>
      <c r="E6273" s="57"/>
      <c r="H6273" s="18"/>
    </row>
    <row r="6274">
      <c r="C6274" s="18"/>
      <c r="D6274" s="19"/>
      <c r="E6274" s="57"/>
      <c r="H6274" s="18"/>
    </row>
    <row r="6275">
      <c r="C6275" s="18"/>
      <c r="D6275" s="19"/>
      <c r="E6275" s="57"/>
      <c r="H6275" s="18"/>
    </row>
    <row r="6276">
      <c r="C6276" s="18"/>
      <c r="D6276" s="19"/>
      <c r="E6276" s="57"/>
      <c r="H6276" s="18"/>
    </row>
    <row r="6277">
      <c r="C6277" s="18"/>
      <c r="D6277" s="19"/>
      <c r="E6277" s="57"/>
      <c r="H6277" s="18"/>
    </row>
    <row r="6278">
      <c r="C6278" s="18"/>
      <c r="D6278" s="19"/>
      <c r="E6278" s="57"/>
      <c r="H6278" s="18"/>
    </row>
    <row r="6279">
      <c r="C6279" s="18"/>
      <c r="D6279" s="19"/>
      <c r="E6279" s="57"/>
      <c r="H6279" s="18"/>
    </row>
    <row r="6280">
      <c r="C6280" s="18"/>
      <c r="D6280" s="19"/>
      <c r="E6280" s="57"/>
      <c r="H6280" s="18"/>
    </row>
    <row r="6281">
      <c r="C6281" s="18"/>
      <c r="D6281" s="19"/>
      <c r="E6281" s="57"/>
      <c r="H6281" s="18"/>
    </row>
    <row r="6282">
      <c r="C6282" s="18"/>
      <c r="D6282" s="19"/>
      <c r="E6282" s="57"/>
      <c r="H6282" s="18"/>
    </row>
    <row r="6283">
      <c r="C6283" s="18"/>
      <c r="D6283" s="19"/>
      <c r="E6283" s="57"/>
      <c r="H6283" s="18"/>
    </row>
    <row r="6284">
      <c r="C6284" s="18"/>
      <c r="D6284" s="19"/>
      <c r="E6284" s="57"/>
      <c r="H6284" s="18"/>
    </row>
    <row r="6285">
      <c r="C6285" s="18"/>
      <c r="D6285" s="19"/>
      <c r="E6285" s="57"/>
      <c r="H6285" s="18"/>
    </row>
    <row r="6286">
      <c r="C6286" s="18"/>
      <c r="D6286" s="19"/>
      <c r="E6286" s="57"/>
      <c r="H6286" s="18"/>
    </row>
    <row r="6287">
      <c r="C6287" s="18"/>
      <c r="D6287" s="19"/>
      <c r="E6287" s="57"/>
      <c r="H6287" s="18"/>
    </row>
    <row r="6288">
      <c r="C6288" s="18"/>
      <c r="D6288" s="19"/>
      <c r="E6288" s="57"/>
      <c r="H6288" s="18"/>
    </row>
    <row r="6289">
      <c r="C6289" s="18"/>
      <c r="D6289" s="19"/>
      <c r="E6289" s="57"/>
      <c r="H6289" s="18"/>
    </row>
    <row r="6290">
      <c r="C6290" s="18"/>
      <c r="D6290" s="19"/>
      <c r="E6290" s="57"/>
      <c r="H6290" s="18"/>
    </row>
    <row r="6291">
      <c r="C6291" s="18"/>
      <c r="D6291" s="19"/>
      <c r="E6291" s="57"/>
      <c r="H6291" s="18"/>
    </row>
    <row r="6292">
      <c r="C6292" s="18"/>
      <c r="D6292" s="19"/>
      <c r="E6292" s="57"/>
      <c r="H6292" s="18"/>
    </row>
    <row r="6293">
      <c r="C6293" s="18"/>
      <c r="D6293" s="19"/>
      <c r="E6293" s="57"/>
      <c r="H6293" s="18"/>
    </row>
    <row r="6294">
      <c r="C6294" s="18"/>
      <c r="D6294" s="19"/>
      <c r="E6294" s="57"/>
      <c r="H6294" s="18"/>
    </row>
    <row r="6295">
      <c r="C6295" s="18"/>
      <c r="D6295" s="19"/>
      <c r="E6295" s="57"/>
      <c r="H6295" s="18"/>
    </row>
    <row r="6296">
      <c r="C6296" s="18"/>
      <c r="D6296" s="19"/>
      <c r="E6296" s="57"/>
      <c r="H6296" s="18"/>
    </row>
    <row r="6297">
      <c r="C6297" s="18"/>
      <c r="D6297" s="19"/>
      <c r="E6297" s="57"/>
      <c r="H6297" s="18"/>
    </row>
    <row r="6298">
      <c r="C6298" s="18"/>
      <c r="D6298" s="19"/>
      <c r="E6298" s="57"/>
      <c r="H6298" s="18"/>
    </row>
    <row r="6299">
      <c r="C6299" s="18"/>
      <c r="D6299" s="19"/>
      <c r="E6299" s="57"/>
      <c r="H6299" s="18"/>
    </row>
    <row r="6300">
      <c r="C6300" s="18"/>
      <c r="D6300" s="19"/>
      <c r="E6300" s="57"/>
      <c r="H6300" s="18"/>
    </row>
    <row r="6301">
      <c r="C6301" s="18"/>
      <c r="D6301" s="19"/>
      <c r="E6301" s="57"/>
      <c r="H6301" s="18"/>
    </row>
    <row r="6302">
      <c r="C6302" s="18"/>
      <c r="D6302" s="19"/>
      <c r="E6302" s="57"/>
      <c r="H6302" s="18"/>
    </row>
    <row r="6303">
      <c r="C6303" s="18"/>
      <c r="D6303" s="19"/>
      <c r="E6303" s="57"/>
      <c r="H6303" s="18"/>
    </row>
    <row r="6304">
      <c r="C6304" s="18"/>
      <c r="D6304" s="19"/>
      <c r="E6304" s="57"/>
      <c r="H6304" s="18"/>
    </row>
    <row r="6305">
      <c r="C6305" s="18"/>
      <c r="D6305" s="19"/>
      <c r="E6305" s="57"/>
      <c r="H6305" s="18"/>
    </row>
    <row r="6306">
      <c r="C6306" s="18"/>
      <c r="D6306" s="19"/>
      <c r="E6306" s="57"/>
      <c r="H6306" s="18"/>
    </row>
    <row r="6307">
      <c r="C6307" s="18"/>
      <c r="D6307" s="19"/>
      <c r="E6307" s="57"/>
      <c r="H6307" s="18"/>
    </row>
    <row r="6308">
      <c r="C6308" s="18"/>
      <c r="D6308" s="19"/>
      <c r="E6308" s="57"/>
      <c r="H6308" s="18"/>
    </row>
    <row r="6309">
      <c r="C6309" s="18"/>
      <c r="D6309" s="19"/>
      <c r="E6309" s="57"/>
      <c r="H6309" s="18"/>
    </row>
    <row r="6310">
      <c r="C6310" s="18"/>
      <c r="D6310" s="19"/>
      <c r="E6310" s="57"/>
      <c r="H6310" s="18"/>
    </row>
    <row r="6311">
      <c r="C6311" s="18"/>
      <c r="D6311" s="19"/>
      <c r="E6311" s="57"/>
      <c r="H6311" s="18"/>
    </row>
    <row r="6312">
      <c r="C6312" s="18"/>
      <c r="D6312" s="19"/>
      <c r="E6312" s="57"/>
      <c r="H6312" s="18"/>
    </row>
    <row r="6313">
      <c r="C6313" s="18"/>
      <c r="D6313" s="19"/>
      <c r="E6313" s="57"/>
      <c r="H6313" s="18"/>
    </row>
    <row r="6314">
      <c r="C6314" s="18"/>
      <c r="D6314" s="19"/>
      <c r="E6314" s="57"/>
      <c r="H6314" s="18"/>
    </row>
    <row r="6315">
      <c r="C6315" s="18"/>
      <c r="D6315" s="19"/>
      <c r="E6315" s="57"/>
      <c r="H6315" s="18"/>
    </row>
    <row r="6316">
      <c r="C6316" s="18"/>
      <c r="D6316" s="19"/>
      <c r="E6316" s="57"/>
      <c r="H6316" s="18"/>
    </row>
    <row r="6317">
      <c r="C6317" s="18"/>
      <c r="D6317" s="19"/>
      <c r="E6317" s="57"/>
      <c r="H6317" s="18"/>
    </row>
    <row r="6318">
      <c r="C6318" s="18"/>
      <c r="D6318" s="19"/>
      <c r="E6318" s="57"/>
      <c r="H6318" s="18"/>
    </row>
    <row r="6319">
      <c r="C6319" s="18"/>
      <c r="D6319" s="19"/>
      <c r="E6319" s="57"/>
      <c r="H6319" s="18"/>
    </row>
    <row r="6320">
      <c r="C6320" s="18"/>
      <c r="D6320" s="19"/>
      <c r="E6320" s="57"/>
      <c r="H6320" s="18"/>
    </row>
    <row r="6321">
      <c r="C6321" s="18"/>
      <c r="D6321" s="19"/>
      <c r="E6321" s="57"/>
      <c r="H6321" s="18"/>
    </row>
    <row r="6322">
      <c r="C6322" s="18"/>
      <c r="D6322" s="19"/>
      <c r="E6322" s="57"/>
      <c r="H6322" s="18"/>
    </row>
    <row r="6323">
      <c r="C6323" s="18"/>
      <c r="D6323" s="19"/>
      <c r="E6323" s="57"/>
      <c r="H6323" s="18"/>
    </row>
    <row r="6324">
      <c r="C6324" s="18"/>
      <c r="D6324" s="19"/>
      <c r="E6324" s="57"/>
      <c r="H6324" s="18"/>
    </row>
    <row r="6325">
      <c r="C6325" s="18"/>
      <c r="D6325" s="19"/>
      <c r="E6325" s="57"/>
      <c r="H6325" s="18"/>
    </row>
    <row r="6326">
      <c r="C6326" s="18"/>
      <c r="D6326" s="19"/>
      <c r="E6326" s="57"/>
      <c r="H6326" s="18"/>
    </row>
    <row r="6327">
      <c r="C6327" s="18"/>
      <c r="D6327" s="19"/>
      <c r="E6327" s="57"/>
      <c r="H6327" s="18"/>
    </row>
    <row r="6328">
      <c r="C6328" s="18"/>
      <c r="D6328" s="19"/>
      <c r="E6328" s="57"/>
      <c r="H6328" s="18"/>
    </row>
    <row r="6329">
      <c r="C6329" s="18"/>
      <c r="D6329" s="19"/>
      <c r="E6329" s="57"/>
      <c r="H6329" s="18"/>
    </row>
    <row r="6330">
      <c r="C6330" s="18"/>
      <c r="D6330" s="19"/>
      <c r="E6330" s="57"/>
      <c r="H6330" s="18"/>
    </row>
    <row r="6331">
      <c r="C6331" s="18"/>
      <c r="D6331" s="19"/>
      <c r="E6331" s="57"/>
      <c r="H6331" s="18"/>
    </row>
    <row r="6332">
      <c r="C6332" s="18"/>
      <c r="D6332" s="19"/>
      <c r="E6332" s="57"/>
      <c r="H6332" s="18"/>
    </row>
    <row r="6333">
      <c r="C6333" s="18"/>
      <c r="D6333" s="19"/>
      <c r="E6333" s="57"/>
      <c r="H6333" s="18"/>
    </row>
    <row r="6334">
      <c r="C6334" s="18"/>
      <c r="D6334" s="19"/>
      <c r="E6334" s="57"/>
      <c r="H6334" s="18"/>
    </row>
    <row r="6335">
      <c r="C6335" s="18"/>
      <c r="D6335" s="19"/>
      <c r="E6335" s="57"/>
      <c r="H6335" s="18"/>
    </row>
    <row r="6336">
      <c r="C6336" s="18"/>
      <c r="D6336" s="19"/>
      <c r="E6336" s="57"/>
      <c r="H6336" s="18"/>
    </row>
    <row r="6337">
      <c r="C6337" s="18"/>
      <c r="D6337" s="19"/>
      <c r="E6337" s="57"/>
      <c r="H6337" s="18"/>
    </row>
    <row r="6338">
      <c r="C6338" s="18"/>
      <c r="D6338" s="19"/>
      <c r="E6338" s="57"/>
      <c r="H6338" s="18"/>
    </row>
    <row r="6339">
      <c r="C6339" s="18"/>
      <c r="D6339" s="19"/>
      <c r="E6339" s="57"/>
      <c r="H6339" s="18"/>
    </row>
    <row r="6340">
      <c r="C6340" s="18"/>
      <c r="D6340" s="19"/>
      <c r="E6340" s="57"/>
      <c r="H6340" s="18"/>
    </row>
    <row r="6341">
      <c r="C6341" s="18"/>
      <c r="D6341" s="19"/>
      <c r="E6341" s="57"/>
      <c r="H6341" s="18"/>
    </row>
    <row r="6342">
      <c r="C6342" s="18"/>
      <c r="D6342" s="19"/>
      <c r="E6342" s="57"/>
      <c r="H6342" s="18"/>
    </row>
    <row r="6343">
      <c r="C6343" s="18"/>
      <c r="D6343" s="19"/>
      <c r="E6343" s="57"/>
      <c r="H6343" s="18"/>
    </row>
    <row r="6344">
      <c r="C6344" s="18"/>
      <c r="D6344" s="19"/>
      <c r="E6344" s="57"/>
      <c r="H6344" s="18"/>
    </row>
    <row r="6345">
      <c r="C6345" s="18"/>
      <c r="D6345" s="19"/>
      <c r="E6345" s="57"/>
      <c r="H6345" s="18"/>
    </row>
    <row r="6346">
      <c r="C6346" s="18"/>
      <c r="D6346" s="19"/>
      <c r="E6346" s="57"/>
      <c r="H6346" s="18"/>
    </row>
    <row r="6347">
      <c r="C6347" s="18"/>
      <c r="D6347" s="19"/>
      <c r="E6347" s="57"/>
      <c r="H6347" s="18"/>
    </row>
    <row r="6348">
      <c r="C6348" s="18"/>
      <c r="D6348" s="19"/>
      <c r="E6348" s="57"/>
      <c r="H6348" s="18"/>
    </row>
    <row r="6349">
      <c r="C6349" s="18"/>
      <c r="D6349" s="19"/>
      <c r="E6349" s="57"/>
      <c r="H6349" s="18"/>
    </row>
    <row r="6350">
      <c r="C6350" s="18"/>
      <c r="D6350" s="19"/>
      <c r="E6350" s="57"/>
      <c r="H6350" s="18"/>
    </row>
    <row r="6351">
      <c r="C6351" s="18"/>
      <c r="D6351" s="19"/>
      <c r="E6351" s="57"/>
      <c r="H6351" s="18"/>
    </row>
    <row r="6352">
      <c r="C6352" s="18"/>
      <c r="D6352" s="19"/>
      <c r="E6352" s="57"/>
      <c r="H6352" s="18"/>
    </row>
    <row r="6353">
      <c r="C6353" s="18"/>
      <c r="D6353" s="19"/>
      <c r="E6353" s="57"/>
      <c r="H6353" s="18"/>
    </row>
    <row r="6354">
      <c r="C6354" s="18"/>
      <c r="D6354" s="19"/>
      <c r="E6354" s="57"/>
      <c r="H6354" s="18"/>
    </row>
    <row r="6355">
      <c r="C6355" s="18"/>
      <c r="D6355" s="19"/>
      <c r="E6355" s="57"/>
      <c r="H6355" s="18"/>
    </row>
    <row r="6356">
      <c r="C6356" s="18"/>
      <c r="D6356" s="19"/>
      <c r="E6356" s="57"/>
      <c r="H6356" s="18"/>
    </row>
    <row r="6357">
      <c r="C6357" s="18"/>
      <c r="D6357" s="19"/>
      <c r="E6357" s="57"/>
      <c r="H6357" s="18"/>
    </row>
    <row r="6358">
      <c r="C6358" s="18"/>
      <c r="D6358" s="19"/>
      <c r="E6358" s="57"/>
      <c r="H6358" s="18"/>
    </row>
    <row r="6359">
      <c r="C6359" s="18"/>
      <c r="D6359" s="19"/>
      <c r="E6359" s="57"/>
      <c r="H6359" s="18"/>
    </row>
    <row r="6360">
      <c r="C6360" s="18"/>
      <c r="D6360" s="19"/>
      <c r="E6360" s="57"/>
      <c r="H6360" s="18"/>
    </row>
    <row r="6361">
      <c r="C6361" s="18"/>
      <c r="D6361" s="19"/>
      <c r="E6361" s="57"/>
      <c r="H6361" s="18"/>
    </row>
    <row r="6362">
      <c r="C6362" s="18"/>
      <c r="D6362" s="19"/>
      <c r="E6362" s="57"/>
      <c r="H6362" s="18"/>
    </row>
    <row r="6363">
      <c r="C6363" s="18"/>
      <c r="D6363" s="19"/>
      <c r="E6363" s="57"/>
      <c r="H6363" s="18"/>
    </row>
    <row r="6364">
      <c r="C6364" s="18"/>
      <c r="D6364" s="19"/>
      <c r="E6364" s="57"/>
      <c r="H6364" s="18"/>
    </row>
    <row r="6365">
      <c r="C6365" s="18"/>
      <c r="D6365" s="19"/>
      <c r="E6365" s="57"/>
      <c r="H6365" s="18"/>
    </row>
    <row r="6366">
      <c r="C6366" s="18"/>
      <c r="D6366" s="19"/>
      <c r="E6366" s="57"/>
      <c r="H6366" s="18"/>
    </row>
    <row r="6367">
      <c r="C6367" s="18"/>
      <c r="D6367" s="19"/>
      <c r="E6367" s="57"/>
      <c r="H6367" s="18"/>
    </row>
    <row r="6368">
      <c r="C6368" s="18"/>
      <c r="D6368" s="19"/>
      <c r="E6368" s="57"/>
      <c r="H6368" s="18"/>
    </row>
    <row r="6369">
      <c r="C6369" s="18"/>
      <c r="D6369" s="19"/>
      <c r="E6369" s="57"/>
      <c r="H6369" s="18"/>
    </row>
    <row r="6370">
      <c r="C6370" s="18"/>
      <c r="D6370" s="19"/>
      <c r="E6370" s="57"/>
      <c r="H6370" s="18"/>
    </row>
    <row r="6371">
      <c r="C6371" s="18"/>
      <c r="D6371" s="19"/>
      <c r="E6371" s="57"/>
      <c r="H6371" s="18"/>
    </row>
    <row r="6372">
      <c r="C6372" s="18"/>
      <c r="D6372" s="19"/>
      <c r="E6372" s="57"/>
      <c r="H6372" s="18"/>
    </row>
    <row r="6373">
      <c r="C6373" s="18"/>
      <c r="D6373" s="19"/>
      <c r="E6373" s="57"/>
      <c r="H6373" s="18"/>
    </row>
    <row r="6374">
      <c r="C6374" s="18"/>
      <c r="D6374" s="19"/>
      <c r="E6374" s="57"/>
      <c r="H6374" s="18"/>
    </row>
    <row r="6375">
      <c r="C6375" s="18"/>
      <c r="D6375" s="19"/>
      <c r="E6375" s="57"/>
      <c r="H6375" s="18"/>
    </row>
    <row r="6376">
      <c r="C6376" s="18"/>
      <c r="D6376" s="19"/>
      <c r="E6376" s="57"/>
      <c r="H6376" s="18"/>
    </row>
    <row r="6377">
      <c r="C6377" s="18"/>
      <c r="D6377" s="19"/>
      <c r="E6377" s="57"/>
      <c r="H6377" s="18"/>
    </row>
    <row r="6378">
      <c r="C6378" s="18"/>
      <c r="D6378" s="19"/>
      <c r="E6378" s="57"/>
      <c r="H6378" s="18"/>
    </row>
    <row r="6379">
      <c r="C6379" s="18"/>
      <c r="D6379" s="19"/>
      <c r="E6379" s="57"/>
      <c r="H6379" s="18"/>
    </row>
    <row r="6380">
      <c r="C6380" s="18"/>
      <c r="D6380" s="19"/>
      <c r="E6380" s="57"/>
      <c r="H6380" s="18"/>
    </row>
    <row r="6381">
      <c r="C6381" s="18"/>
      <c r="D6381" s="19"/>
      <c r="E6381" s="57"/>
      <c r="H6381" s="18"/>
    </row>
    <row r="6382">
      <c r="C6382" s="18"/>
      <c r="D6382" s="19"/>
      <c r="E6382" s="57"/>
      <c r="H6382" s="18"/>
    </row>
    <row r="6383">
      <c r="C6383" s="18"/>
      <c r="D6383" s="19"/>
      <c r="E6383" s="57"/>
      <c r="H6383" s="18"/>
    </row>
    <row r="6384">
      <c r="C6384" s="18"/>
      <c r="D6384" s="19"/>
      <c r="E6384" s="57"/>
      <c r="H6384" s="18"/>
    </row>
    <row r="6385">
      <c r="C6385" s="18"/>
      <c r="D6385" s="19"/>
      <c r="E6385" s="57"/>
      <c r="H6385" s="18"/>
    </row>
    <row r="6386">
      <c r="C6386" s="18"/>
      <c r="D6386" s="19"/>
      <c r="E6386" s="57"/>
      <c r="H6386" s="18"/>
    </row>
    <row r="6387">
      <c r="C6387" s="18"/>
      <c r="D6387" s="19"/>
      <c r="E6387" s="57"/>
      <c r="H6387" s="18"/>
    </row>
    <row r="6388">
      <c r="C6388" s="18"/>
      <c r="D6388" s="19"/>
      <c r="E6388" s="57"/>
      <c r="H6388" s="18"/>
    </row>
    <row r="6389">
      <c r="C6389" s="18"/>
      <c r="D6389" s="19"/>
      <c r="E6389" s="57"/>
      <c r="H6389" s="18"/>
    </row>
    <row r="6390">
      <c r="C6390" s="18"/>
      <c r="D6390" s="19"/>
      <c r="E6390" s="57"/>
      <c r="H6390" s="18"/>
    </row>
    <row r="6391">
      <c r="C6391" s="18"/>
      <c r="D6391" s="19"/>
      <c r="E6391" s="57"/>
      <c r="H6391" s="18"/>
    </row>
    <row r="6392">
      <c r="C6392" s="18"/>
      <c r="D6392" s="19"/>
      <c r="E6392" s="57"/>
      <c r="H6392" s="18"/>
    </row>
    <row r="6393">
      <c r="C6393" s="18"/>
      <c r="D6393" s="19"/>
      <c r="E6393" s="57"/>
      <c r="H6393" s="18"/>
    </row>
    <row r="6394">
      <c r="C6394" s="18"/>
      <c r="D6394" s="19"/>
      <c r="E6394" s="57"/>
      <c r="H6394" s="18"/>
    </row>
    <row r="6395">
      <c r="C6395" s="18"/>
      <c r="D6395" s="19"/>
      <c r="E6395" s="57"/>
      <c r="H6395" s="18"/>
    </row>
    <row r="6396">
      <c r="C6396" s="18"/>
      <c r="D6396" s="19"/>
      <c r="E6396" s="57"/>
      <c r="H6396" s="18"/>
    </row>
    <row r="6397">
      <c r="C6397" s="18"/>
      <c r="D6397" s="19"/>
      <c r="E6397" s="57"/>
      <c r="H6397" s="18"/>
    </row>
    <row r="6398">
      <c r="C6398" s="18"/>
      <c r="D6398" s="19"/>
      <c r="E6398" s="57"/>
      <c r="H6398" s="18"/>
    </row>
    <row r="6399">
      <c r="C6399" s="18"/>
      <c r="D6399" s="19"/>
      <c r="E6399" s="57"/>
      <c r="H6399" s="18"/>
    </row>
    <row r="6400">
      <c r="C6400" s="18"/>
      <c r="D6400" s="19"/>
      <c r="E6400" s="57"/>
      <c r="H6400" s="18"/>
    </row>
    <row r="6401">
      <c r="C6401" s="18"/>
      <c r="D6401" s="19"/>
      <c r="E6401" s="57"/>
      <c r="H6401" s="18"/>
    </row>
    <row r="6402">
      <c r="C6402" s="18"/>
      <c r="D6402" s="19"/>
      <c r="E6402" s="57"/>
      <c r="H6402" s="18"/>
    </row>
    <row r="6403">
      <c r="C6403" s="18"/>
      <c r="D6403" s="19"/>
      <c r="E6403" s="57"/>
      <c r="H6403" s="18"/>
    </row>
    <row r="6404">
      <c r="C6404" s="18"/>
      <c r="D6404" s="19"/>
      <c r="E6404" s="57"/>
      <c r="H6404" s="18"/>
    </row>
    <row r="6405">
      <c r="C6405" s="18"/>
      <c r="D6405" s="19"/>
      <c r="E6405" s="57"/>
      <c r="H6405" s="18"/>
    </row>
    <row r="6406">
      <c r="C6406" s="18"/>
      <c r="D6406" s="19"/>
      <c r="E6406" s="57"/>
      <c r="H6406" s="18"/>
    </row>
    <row r="6407">
      <c r="C6407" s="18"/>
      <c r="D6407" s="19"/>
      <c r="E6407" s="57"/>
      <c r="H6407" s="18"/>
    </row>
    <row r="6408">
      <c r="C6408" s="18"/>
      <c r="D6408" s="19"/>
      <c r="E6408" s="57"/>
      <c r="H6408" s="18"/>
    </row>
    <row r="6409">
      <c r="C6409" s="18"/>
      <c r="D6409" s="19"/>
      <c r="E6409" s="57"/>
      <c r="H6409" s="18"/>
    </row>
    <row r="6410">
      <c r="C6410" s="18"/>
      <c r="D6410" s="19"/>
      <c r="E6410" s="57"/>
      <c r="H6410" s="18"/>
    </row>
    <row r="6411">
      <c r="C6411" s="18"/>
      <c r="D6411" s="19"/>
      <c r="E6411" s="57"/>
      <c r="H6411" s="18"/>
    </row>
    <row r="6412">
      <c r="C6412" s="18"/>
      <c r="D6412" s="19"/>
      <c r="E6412" s="57"/>
      <c r="H6412" s="18"/>
    </row>
    <row r="6413">
      <c r="C6413" s="18"/>
      <c r="D6413" s="19"/>
      <c r="E6413" s="57"/>
      <c r="H6413" s="18"/>
    </row>
    <row r="6414">
      <c r="C6414" s="18"/>
      <c r="D6414" s="19"/>
      <c r="E6414" s="57"/>
      <c r="H6414" s="18"/>
    </row>
    <row r="6415">
      <c r="C6415" s="18"/>
      <c r="D6415" s="19"/>
      <c r="E6415" s="57"/>
      <c r="H6415" s="18"/>
    </row>
    <row r="6416">
      <c r="C6416" s="18"/>
      <c r="D6416" s="19"/>
      <c r="E6416" s="57"/>
      <c r="H6416" s="18"/>
    </row>
    <row r="6417">
      <c r="C6417" s="18"/>
      <c r="D6417" s="19"/>
      <c r="E6417" s="57"/>
      <c r="H6417" s="18"/>
    </row>
    <row r="6418">
      <c r="C6418" s="18"/>
      <c r="D6418" s="19"/>
      <c r="E6418" s="57"/>
      <c r="H6418" s="18"/>
    </row>
    <row r="6419">
      <c r="C6419" s="18"/>
      <c r="D6419" s="19"/>
      <c r="E6419" s="57"/>
      <c r="H6419" s="18"/>
    </row>
    <row r="6420">
      <c r="C6420" s="18"/>
      <c r="D6420" s="19"/>
      <c r="E6420" s="57"/>
      <c r="H6420" s="18"/>
    </row>
    <row r="6421">
      <c r="C6421" s="18"/>
      <c r="D6421" s="19"/>
      <c r="E6421" s="57"/>
      <c r="H6421" s="18"/>
    </row>
    <row r="6422">
      <c r="C6422" s="18"/>
      <c r="D6422" s="19"/>
      <c r="E6422" s="57"/>
      <c r="H6422" s="18"/>
    </row>
    <row r="6423">
      <c r="C6423" s="18"/>
      <c r="D6423" s="19"/>
      <c r="E6423" s="57"/>
      <c r="H6423" s="18"/>
    </row>
    <row r="6424">
      <c r="C6424" s="18"/>
      <c r="D6424" s="19"/>
      <c r="E6424" s="57"/>
      <c r="H6424" s="18"/>
    </row>
    <row r="6425">
      <c r="C6425" s="18"/>
      <c r="D6425" s="19"/>
      <c r="E6425" s="57"/>
      <c r="H6425" s="18"/>
    </row>
    <row r="6426">
      <c r="C6426" s="18"/>
      <c r="D6426" s="19"/>
      <c r="E6426" s="57"/>
      <c r="H6426" s="18"/>
    </row>
    <row r="6427">
      <c r="C6427" s="18"/>
      <c r="D6427" s="19"/>
      <c r="E6427" s="57"/>
      <c r="H6427" s="18"/>
    </row>
    <row r="6428">
      <c r="C6428" s="18"/>
      <c r="D6428" s="19"/>
      <c r="E6428" s="57"/>
      <c r="H6428" s="18"/>
    </row>
    <row r="6429">
      <c r="C6429" s="18"/>
      <c r="D6429" s="19"/>
      <c r="E6429" s="57"/>
      <c r="H6429" s="18"/>
    </row>
    <row r="6430">
      <c r="C6430" s="18"/>
      <c r="D6430" s="19"/>
      <c r="E6430" s="57"/>
      <c r="H6430" s="18"/>
    </row>
    <row r="6431">
      <c r="C6431" s="18"/>
      <c r="D6431" s="19"/>
      <c r="E6431" s="57"/>
      <c r="H6431" s="18"/>
    </row>
    <row r="6432">
      <c r="C6432" s="18"/>
      <c r="D6432" s="19"/>
      <c r="E6432" s="57"/>
      <c r="H6432" s="18"/>
    </row>
    <row r="6433">
      <c r="C6433" s="18"/>
      <c r="D6433" s="19"/>
      <c r="E6433" s="57"/>
      <c r="H6433" s="18"/>
    </row>
    <row r="6434">
      <c r="C6434" s="18"/>
      <c r="D6434" s="19"/>
      <c r="E6434" s="57"/>
      <c r="H6434" s="18"/>
    </row>
    <row r="6435">
      <c r="C6435" s="18"/>
      <c r="D6435" s="19"/>
      <c r="E6435" s="57"/>
      <c r="H6435" s="18"/>
    </row>
    <row r="6436">
      <c r="C6436" s="18"/>
      <c r="D6436" s="19"/>
      <c r="E6436" s="57"/>
      <c r="H6436" s="18"/>
    </row>
    <row r="6437">
      <c r="C6437" s="18"/>
      <c r="D6437" s="19"/>
      <c r="E6437" s="57"/>
      <c r="H6437" s="18"/>
    </row>
    <row r="6438">
      <c r="C6438" s="18"/>
      <c r="D6438" s="19"/>
      <c r="E6438" s="57"/>
      <c r="H6438" s="18"/>
    </row>
    <row r="6439">
      <c r="C6439" s="18"/>
      <c r="D6439" s="19"/>
      <c r="E6439" s="57"/>
      <c r="H6439" s="18"/>
    </row>
    <row r="6440">
      <c r="C6440" s="18"/>
      <c r="D6440" s="19"/>
      <c r="E6440" s="57"/>
      <c r="H6440" s="18"/>
    </row>
    <row r="6441">
      <c r="C6441" s="18"/>
      <c r="D6441" s="19"/>
      <c r="E6441" s="57"/>
      <c r="H6441" s="18"/>
    </row>
    <row r="6442">
      <c r="C6442" s="18"/>
      <c r="D6442" s="19"/>
      <c r="E6442" s="57"/>
      <c r="H6442" s="18"/>
    </row>
    <row r="6443">
      <c r="C6443" s="18"/>
      <c r="D6443" s="19"/>
      <c r="E6443" s="57"/>
      <c r="H6443" s="18"/>
    </row>
    <row r="6444">
      <c r="C6444" s="18"/>
      <c r="D6444" s="19"/>
      <c r="E6444" s="57"/>
      <c r="H6444" s="18"/>
    </row>
    <row r="6445">
      <c r="C6445" s="18"/>
      <c r="D6445" s="19"/>
      <c r="E6445" s="57"/>
      <c r="H6445" s="18"/>
    </row>
    <row r="6446">
      <c r="C6446" s="18"/>
      <c r="D6446" s="19"/>
      <c r="E6446" s="57"/>
      <c r="H6446" s="18"/>
    </row>
    <row r="6447">
      <c r="C6447" s="18"/>
      <c r="D6447" s="19"/>
      <c r="E6447" s="57"/>
      <c r="H6447" s="18"/>
    </row>
    <row r="6448">
      <c r="C6448" s="18"/>
      <c r="D6448" s="19"/>
      <c r="E6448" s="57"/>
      <c r="H6448" s="18"/>
    </row>
    <row r="6449">
      <c r="C6449" s="18"/>
      <c r="D6449" s="19"/>
      <c r="E6449" s="57"/>
      <c r="H6449" s="18"/>
    </row>
    <row r="6450">
      <c r="C6450" s="18"/>
      <c r="D6450" s="19"/>
      <c r="E6450" s="57"/>
      <c r="H6450" s="18"/>
    </row>
    <row r="6451">
      <c r="C6451" s="18"/>
      <c r="D6451" s="19"/>
      <c r="E6451" s="57"/>
      <c r="H6451" s="18"/>
    </row>
    <row r="6452">
      <c r="C6452" s="18"/>
      <c r="D6452" s="19"/>
      <c r="E6452" s="57"/>
      <c r="H6452" s="18"/>
    </row>
    <row r="6453">
      <c r="C6453" s="18"/>
      <c r="D6453" s="19"/>
      <c r="E6453" s="57"/>
      <c r="H6453" s="18"/>
    </row>
    <row r="6454">
      <c r="C6454" s="18"/>
      <c r="D6454" s="19"/>
      <c r="E6454" s="57"/>
      <c r="H6454" s="18"/>
    </row>
    <row r="6455">
      <c r="C6455" s="18"/>
      <c r="D6455" s="19"/>
      <c r="E6455" s="57"/>
      <c r="H6455" s="18"/>
    </row>
    <row r="6456">
      <c r="C6456" s="18"/>
      <c r="D6456" s="19"/>
      <c r="E6456" s="57"/>
      <c r="H6456" s="18"/>
    </row>
    <row r="6457">
      <c r="C6457" s="18"/>
      <c r="D6457" s="19"/>
      <c r="E6457" s="57"/>
      <c r="H6457" s="18"/>
    </row>
    <row r="6458">
      <c r="C6458" s="18"/>
      <c r="D6458" s="19"/>
      <c r="E6458" s="57"/>
      <c r="H6458" s="18"/>
    </row>
    <row r="6459">
      <c r="C6459" s="18"/>
      <c r="D6459" s="19"/>
      <c r="E6459" s="57"/>
      <c r="H6459" s="18"/>
    </row>
    <row r="6460">
      <c r="C6460" s="18"/>
      <c r="D6460" s="19"/>
      <c r="E6460" s="57"/>
      <c r="H6460" s="18"/>
    </row>
    <row r="6461">
      <c r="C6461" s="18"/>
      <c r="D6461" s="19"/>
      <c r="E6461" s="57"/>
      <c r="H6461" s="18"/>
    </row>
    <row r="6462">
      <c r="C6462" s="18"/>
      <c r="D6462" s="19"/>
      <c r="E6462" s="57"/>
      <c r="H6462" s="18"/>
    </row>
    <row r="6463">
      <c r="C6463" s="18"/>
      <c r="D6463" s="19"/>
      <c r="E6463" s="57"/>
      <c r="H6463" s="18"/>
    </row>
    <row r="6464">
      <c r="C6464" s="18"/>
      <c r="D6464" s="19"/>
      <c r="E6464" s="57"/>
      <c r="H6464" s="18"/>
    </row>
    <row r="6465">
      <c r="C6465" s="18"/>
      <c r="D6465" s="19"/>
      <c r="E6465" s="57"/>
      <c r="H6465" s="18"/>
    </row>
    <row r="6466">
      <c r="C6466" s="18"/>
      <c r="D6466" s="19"/>
      <c r="E6466" s="57"/>
      <c r="H6466" s="18"/>
    </row>
    <row r="6467">
      <c r="C6467" s="18"/>
      <c r="D6467" s="19"/>
      <c r="E6467" s="57"/>
      <c r="H6467" s="18"/>
    </row>
    <row r="6468">
      <c r="C6468" s="18"/>
      <c r="D6468" s="19"/>
      <c r="E6468" s="57"/>
      <c r="H6468" s="18"/>
    </row>
    <row r="6469">
      <c r="C6469" s="18"/>
      <c r="D6469" s="19"/>
      <c r="E6469" s="57"/>
      <c r="H6469" s="18"/>
    </row>
    <row r="6470">
      <c r="C6470" s="18"/>
      <c r="D6470" s="19"/>
      <c r="E6470" s="57"/>
      <c r="H6470" s="18"/>
    </row>
    <row r="6471">
      <c r="C6471" s="18"/>
      <c r="D6471" s="19"/>
      <c r="E6471" s="57"/>
      <c r="H6471" s="18"/>
    </row>
    <row r="6472">
      <c r="C6472" s="18"/>
      <c r="D6472" s="19"/>
      <c r="E6472" s="57"/>
      <c r="H6472" s="18"/>
    </row>
    <row r="6473">
      <c r="C6473" s="18"/>
      <c r="D6473" s="19"/>
      <c r="E6473" s="57"/>
      <c r="H6473" s="18"/>
    </row>
    <row r="6474">
      <c r="C6474" s="18"/>
      <c r="D6474" s="19"/>
      <c r="E6474" s="57"/>
      <c r="H6474" s="18"/>
    </row>
    <row r="6475">
      <c r="C6475" s="18"/>
      <c r="D6475" s="19"/>
      <c r="E6475" s="57"/>
      <c r="H6475" s="18"/>
    </row>
    <row r="6476">
      <c r="C6476" s="18"/>
      <c r="D6476" s="19"/>
      <c r="E6476" s="57"/>
      <c r="H6476" s="18"/>
    </row>
    <row r="6477">
      <c r="C6477" s="18"/>
      <c r="D6477" s="19"/>
      <c r="E6477" s="57"/>
      <c r="H6477" s="18"/>
    </row>
    <row r="6478">
      <c r="C6478" s="18"/>
      <c r="D6478" s="19"/>
      <c r="E6478" s="57"/>
      <c r="H6478" s="18"/>
    </row>
    <row r="6479">
      <c r="C6479" s="18"/>
      <c r="D6479" s="19"/>
      <c r="E6479" s="57"/>
      <c r="H6479" s="18"/>
    </row>
    <row r="6480">
      <c r="C6480" s="18"/>
      <c r="D6480" s="19"/>
      <c r="E6480" s="57"/>
      <c r="H6480" s="18"/>
    </row>
    <row r="6481">
      <c r="C6481" s="18"/>
      <c r="D6481" s="19"/>
      <c r="E6481" s="57"/>
      <c r="H6481" s="18"/>
    </row>
    <row r="6482">
      <c r="C6482" s="18"/>
      <c r="D6482" s="19"/>
      <c r="E6482" s="57"/>
      <c r="H6482" s="18"/>
    </row>
    <row r="6483">
      <c r="C6483" s="18"/>
      <c r="D6483" s="19"/>
      <c r="E6483" s="57"/>
      <c r="H6483" s="18"/>
    </row>
    <row r="6484">
      <c r="C6484" s="18"/>
      <c r="D6484" s="19"/>
      <c r="E6484" s="57"/>
      <c r="H6484" s="18"/>
    </row>
    <row r="6485">
      <c r="C6485" s="18"/>
      <c r="D6485" s="19"/>
      <c r="E6485" s="57"/>
      <c r="H6485" s="18"/>
    </row>
    <row r="6486">
      <c r="C6486" s="18"/>
      <c r="D6486" s="19"/>
      <c r="E6486" s="57"/>
      <c r="H6486" s="18"/>
    </row>
    <row r="6487">
      <c r="C6487" s="18"/>
      <c r="D6487" s="19"/>
      <c r="E6487" s="57"/>
      <c r="H6487" s="18"/>
    </row>
    <row r="6488">
      <c r="C6488" s="18"/>
      <c r="D6488" s="19"/>
      <c r="E6488" s="57"/>
      <c r="H6488" s="18"/>
    </row>
    <row r="6489">
      <c r="C6489" s="18"/>
      <c r="D6489" s="19"/>
      <c r="E6489" s="57"/>
      <c r="H6489" s="18"/>
    </row>
    <row r="6490">
      <c r="C6490" s="18"/>
      <c r="D6490" s="19"/>
      <c r="E6490" s="57"/>
      <c r="H6490" s="18"/>
    </row>
    <row r="6491">
      <c r="C6491" s="18"/>
      <c r="D6491" s="19"/>
      <c r="E6491" s="57"/>
      <c r="H6491" s="18"/>
    </row>
    <row r="6492">
      <c r="C6492" s="18"/>
      <c r="D6492" s="19"/>
      <c r="E6492" s="57"/>
      <c r="H6492" s="18"/>
    </row>
    <row r="6493">
      <c r="C6493" s="18"/>
      <c r="D6493" s="19"/>
      <c r="E6493" s="57"/>
      <c r="H6493" s="18"/>
    </row>
    <row r="6494">
      <c r="C6494" s="18"/>
      <c r="D6494" s="19"/>
      <c r="E6494" s="57"/>
      <c r="H6494" s="18"/>
    </row>
    <row r="6495">
      <c r="C6495" s="18"/>
      <c r="D6495" s="19"/>
      <c r="E6495" s="57"/>
      <c r="H6495" s="18"/>
    </row>
    <row r="6496">
      <c r="C6496" s="18"/>
      <c r="D6496" s="19"/>
      <c r="E6496" s="57"/>
      <c r="H6496" s="18"/>
    </row>
    <row r="6497">
      <c r="C6497" s="18"/>
      <c r="D6497" s="19"/>
      <c r="E6497" s="57"/>
      <c r="H6497" s="18"/>
    </row>
    <row r="6498">
      <c r="C6498" s="18"/>
      <c r="D6498" s="19"/>
      <c r="E6498" s="57"/>
      <c r="H6498" s="18"/>
    </row>
    <row r="6499">
      <c r="C6499" s="18"/>
      <c r="D6499" s="19"/>
      <c r="E6499" s="57"/>
      <c r="H6499" s="18"/>
    </row>
    <row r="6500">
      <c r="C6500" s="18"/>
      <c r="D6500" s="19"/>
      <c r="E6500" s="57"/>
      <c r="H6500" s="18"/>
    </row>
    <row r="6501">
      <c r="C6501" s="18"/>
      <c r="D6501" s="19"/>
      <c r="E6501" s="57"/>
      <c r="H6501" s="18"/>
    </row>
    <row r="6502">
      <c r="C6502" s="18"/>
      <c r="D6502" s="19"/>
      <c r="E6502" s="57"/>
      <c r="H6502" s="18"/>
    </row>
    <row r="6503">
      <c r="C6503" s="18"/>
      <c r="D6503" s="19"/>
      <c r="E6503" s="57"/>
      <c r="H6503" s="18"/>
    </row>
    <row r="6504">
      <c r="C6504" s="18"/>
      <c r="D6504" s="19"/>
      <c r="E6504" s="57"/>
      <c r="H6504" s="18"/>
    </row>
    <row r="6505">
      <c r="C6505" s="18"/>
      <c r="D6505" s="19"/>
      <c r="E6505" s="57"/>
      <c r="H6505" s="18"/>
    </row>
    <row r="6506">
      <c r="C6506" s="18"/>
      <c r="D6506" s="19"/>
      <c r="E6506" s="57"/>
      <c r="H6506" s="18"/>
    </row>
    <row r="6507">
      <c r="C6507" s="18"/>
      <c r="D6507" s="19"/>
      <c r="E6507" s="57"/>
      <c r="H6507" s="18"/>
    </row>
    <row r="6508">
      <c r="C6508" s="18"/>
      <c r="D6508" s="19"/>
      <c r="E6508" s="57"/>
      <c r="H6508" s="18"/>
    </row>
    <row r="6509">
      <c r="C6509" s="18"/>
      <c r="D6509" s="19"/>
      <c r="E6509" s="57"/>
      <c r="H6509" s="18"/>
    </row>
    <row r="6510">
      <c r="C6510" s="18"/>
      <c r="D6510" s="19"/>
      <c r="E6510" s="57"/>
      <c r="H6510" s="18"/>
    </row>
    <row r="6511">
      <c r="C6511" s="18"/>
      <c r="D6511" s="19"/>
      <c r="E6511" s="57"/>
      <c r="H6511" s="18"/>
    </row>
    <row r="6512">
      <c r="C6512" s="18"/>
      <c r="D6512" s="19"/>
      <c r="E6512" s="57"/>
      <c r="H6512" s="18"/>
    </row>
    <row r="6513">
      <c r="C6513" s="18"/>
      <c r="D6513" s="19"/>
      <c r="E6513" s="57"/>
      <c r="H6513" s="18"/>
    </row>
    <row r="6514">
      <c r="C6514" s="18"/>
      <c r="D6514" s="19"/>
      <c r="E6514" s="57"/>
      <c r="H6514" s="18"/>
    </row>
    <row r="6515">
      <c r="C6515" s="18"/>
      <c r="D6515" s="19"/>
      <c r="E6515" s="57"/>
      <c r="H6515" s="18"/>
    </row>
    <row r="6516">
      <c r="C6516" s="18"/>
      <c r="D6516" s="19"/>
      <c r="E6516" s="57"/>
      <c r="H6516" s="18"/>
    </row>
    <row r="6517">
      <c r="C6517" s="18"/>
      <c r="D6517" s="19"/>
      <c r="E6517" s="57"/>
      <c r="H6517" s="18"/>
    </row>
    <row r="6518">
      <c r="C6518" s="18"/>
      <c r="D6518" s="19"/>
      <c r="E6518" s="57"/>
      <c r="H6518" s="18"/>
    </row>
    <row r="6519">
      <c r="C6519" s="18"/>
      <c r="D6519" s="19"/>
      <c r="E6519" s="57"/>
      <c r="H6519" s="18"/>
    </row>
    <row r="6520">
      <c r="C6520" s="18"/>
      <c r="D6520" s="19"/>
      <c r="E6520" s="57"/>
      <c r="H6520" s="18"/>
    </row>
    <row r="6521">
      <c r="C6521" s="18"/>
      <c r="D6521" s="19"/>
      <c r="E6521" s="57"/>
      <c r="H6521" s="18"/>
    </row>
    <row r="6522">
      <c r="C6522" s="18"/>
      <c r="D6522" s="19"/>
      <c r="E6522" s="57"/>
      <c r="H6522" s="18"/>
    </row>
    <row r="6523">
      <c r="C6523" s="18"/>
      <c r="D6523" s="19"/>
      <c r="E6523" s="57"/>
      <c r="H6523" s="18"/>
    </row>
    <row r="6524">
      <c r="C6524" s="18"/>
      <c r="D6524" s="19"/>
      <c r="E6524" s="57"/>
      <c r="H6524" s="18"/>
    </row>
    <row r="6525">
      <c r="C6525" s="18"/>
      <c r="D6525" s="19"/>
      <c r="E6525" s="57"/>
      <c r="H6525" s="18"/>
    </row>
    <row r="6526">
      <c r="C6526" s="18"/>
      <c r="D6526" s="19"/>
      <c r="E6526" s="57"/>
      <c r="H6526" s="18"/>
    </row>
    <row r="6527">
      <c r="C6527" s="18"/>
      <c r="D6527" s="19"/>
      <c r="E6527" s="57"/>
      <c r="H6527" s="18"/>
    </row>
    <row r="6528">
      <c r="C6528" s="18"/>
      <c r="D6528" s="19"/>
      <c r="E6528" s="57"/>
      <c r="H6528" s="18"/>
    </row>
    <row r="6529">
      <c r="C6529" s="18"/>
      <c r="D6529" s="19"/>
      <c r="E6529" s="57"/>
      <c r="H6529" s="18"/>
    </row>
    <row r="6530">
      <c r="C6530" s="18"/>
      <c r="D6530" s="19"/>
      <c r="E6530" s="57"/>
      <c r="H6530" s="18"/>
    </row>
    <row r="6531">
      <c r="C6531" s="18"/>
      <c r="D6531" s="19"/>
      <c r="E6531" s="57"/>
      <c r="H6531" s="18"/>
    </row>
    <row r="6532">
      <c r="C6532" s="18"/>
      <c r="D6532" s="19"/>
      <c r="E6532" s="57"/>
      <c r="H6532" s="18"/>
    </row>
    <row r="6533">
      <c r="C6533" s="18"/>
      <c r="D6533" s="19"/>
      <c r="E6533" s="57"/>
      <c r="H6533" s="18"/>
    </row>
    <row r="6534">
      <c r="C6534" s="18"/>
      <c r="D6534" s="19"/>
      <c r="E6534" s="57"/>
      <c r="H6534" s="18"/>
    </row>
    <row r="6535">
      <c r="C6535" s="18"/>
      <c r="D6535" s="19"/>
      <c r="E6535" s="57"/>
      <c r="H6535" s="18"/>
    </row>
    <row r="6536">
      <c r="C6536" s="18"/>
      <c r="D6536" s="19"/>
      <c r="E6536" s="57"/>
      <c r="H6536" s="18"/>
    </row>
    <row r="6537">
      <c r="C6537" s="18"/>
      <c r="D6537" s="19"/>
      <c r="E6537" s="57"/>
      <c r="H6537" s="18"/>
    </row>
    <row r="6538">
      <c r="C6538" s="18"/>
      <c r="D6538" s="19"/>
      <c r="E6538" s="57"/>
      <c r="H6538" s="18"/>
    </row>
    <row r="6539">
      <c r="C6539" s="18"/>
      <c r="D6539" s="19"/>
      <c r="E6539" s="57"/>
      <c r="H6539" s="18"/>
    </row>
    <row r="6540">
      <c r="C6540" s="18"/>
      <c r="D6540" s="19"/>
      <c r="E6540" s="57"/>
      <c r="H6540" s="18"/>
    </row>
    <row r="6541">
      <c r="C6541" s="18"/>
      <c r="D6541" s="19"/>
      <c r="E6541" s="57"/>
      <c r="H6541" s="18"/>
    </row>
    <row r="6542">
      <c r="C6542" s="18"/>
      <c r="D6542" s="19"/>
      <c r="E6542" s="57"/>
      <c r="H6542" s="18"/>
    </row>
    <row r="6543">
      <c r="C6543" s="18"/>
      <c r="D6543" s="19"/>
      <c r="E6543" s="57"/>
      <c r="H6543" s="18"/>
    </row>
    <row r="6544">
      <c r="C6544" s="18"/>
      <c r="D6544" s="19"/>
      <c r="E6544" s="57"/>
      <c r="H6544" s="18"/>
    </row>
    <row r="6545">
      <c r="C6545" s="18"/>
      <c r="D6545" s="19"/>
      <c r="E6545" s="57"/>
      <c r="H6545" s="18"/>
    </row>
    <row r="6546">
      <c r="C6546" s="18"/>
      <c r="D6546" s="19"/>
      <c r="E6546" s="57"/>
      <c r="H6546" s="18"/>
    </row>
    <row r="6547">
      <c r="C6547" s="18"/>
      <c r="D6547" s="19"/>
      <c r="E6547" s="57"/>
      <c r="H6547" s="18"/>
    </row>
    <row r="6548">
      <c r="C6548" s="18"/>
      <c r="D6548" s="19"/>
      <c r="E6548" s="57"/>
      <c r="H6548" s="18"/>
    </row>
    <row r="6549">
      <c r="C6549" s="18"/>
      <c r="D6549" s="19"/>
      <c r="E6549" s="57"/>
      <c r="H6549" s="18"/>
    </row>
    <row r="6550">
      <c r="C6550" s="18"/>
      <c r="D6550" s="19"/>
      <c r="E6550" s="57"/>
      <c r="H6550" s="18"/>
    </row>
    <row r="6551">
      <c r="C6551" s="18"/>
      <c r="D6551" s="19"/>
      <c r="E6551" s="57"/>
      <c r="H6551" s="18"/>
    </row>
    <row r="6552">
      <c r="C6552" s="18"/>
      <c r="D6552" s="19"/>
      <c r="E6552" s="57"/>
      <c r="H6552" s="18"/>
    </row>
    <row r="6553">
      <c r="C6553" s="18"/>
      <c r="D6553" s="19"/>
      <c r="E6553" s="57"/>
      <c r="H6553" s="18"/>
    </row>
    <row r="6554">
      <c r="C6554" s="18"/>
      <c r="D6554" s="19"/>
      <c r="E6554" s="57"/>
      <c r="H6554" s="18"/>
    </row>
    <row r="6555">
      <c r="C6555" s="18"/>
      <c r="D6555" s="19"/>
      <c r="E6555" s="57"/>
      <c r="H6555" s="18"/>
    </row>
    <row r="6556">
      <c r="C6556" s="18"/>
      <c r="D6556" s="19"/>
      <c r="E6556" s="57"/>
      <c r="H6556" s="18"/>
    </row>
    <row r="6557">
      <c r="C6557" s="18"/>
      <c r="D6557" s="19"/>
      <c r="E6557" s="57"/>
      <c r="H6557" s="18"/>
    </row>
    <row r="6558">
      <c r="C6558" s="18"/>
      <c r="D6558" s="19"/>
      <c r="E6558" s="57"/>
      <c r="H6558" s="18"/>
    </row>
    <row r="6559">
      <c r="C6559" s="18"/>
      <c r="D6559" s="19"/>
      <c r="E6559" s="57"/>
      <c r="H6559" s="18"/>
    </row>
    <row r="6560">
      <c r="C6560" s="18"/>
      <c r="D6560" s="19"/>
      <c r="E6560" s="57"/>
      <c r="H6560" s="18"/>
    </row>
    <row r="6561">
      <c r="C6561" s="18"/>
      <c r="D6561" s="19"/>
      <c r="E6561" s="57"/>
      <c r="H6561" s="18"/>
    </row>
    <row r="6562">
      <c r="C6562" s="18"/>
      <c r="D6562" s="19"/>
      <c r="E6562" s="57"/>
      <c r="H6562" s="18"/>
    </row>
    <row r="6563">
      <c r="C6563" s="18"/>
      <c r="D6563" s="19"/>
      <c r="E6563" s="57"/>
      <c r="H6563" s="18"/>
    </row>
    <row r="6564">
      <c r="C6564" s="18"/>
      <c r="D6564" s="19"/>
      <c r="E6564" s="57"/>
      <c r="H6564" s="18"/>
    </row>
    <row r="6565">
      <c r="C6565" s="18"/>
      <c r="D6565" s="19"/>
      <c r="E6565" s="57"/>
      <c r="H6565" s="18"/>
    </row>
    <row r="6566">
      <c r="C6566" s="18"/>
      <c r="D6566" s="19"/>
      <c r="E6566" s="57"/>
      <c r="H6566" s="18"/>
    </row>
    <row r="6567">
      <c r="C6567" s="18"/>
      <c r="D6567" s="19"/>
      <c r="E6567" s="57"/>
      <c r="H6567" s="18"/>
    </row>
    <row r="6568">
      <c r="C6568" s="18"/>
      <c r="D6568" s="19"/>
      <c r="E6568" s="57"/>
      <c r="H6568" s="18"/>
    </row>
    <row r="6569">
      <c r="C6569" s="18"/>
      <c r="D6569" s="19"/>
      <c r="E6569" s="57"/>
      <c r="H6569" s="18"/>
    </row>
    <row r="6570">
      <c r="C6570" s="18"/>
      <c r="D6570" s="19"/>
      <c r="E6570" s="57"/>
      <c r="H6570" s="18"/>
    </row>
    <row r="6571">
      <c r="C6571" s="18"/>
      <c r="D6571" s="19"/>
      <c r="E6571" s="57"/>
      <c r="H6571" s="18"/>
    </row>
    <row r="6572">
      <c r="C6572" s="18"/>
      <c r="D6572" s="19"/>
      <c r="E6572" s="57"/>
      <c r="H6572" s="18"/>
    </row>
    <row r="6573">
      <c r="C6573" s="18"/>
      <c r="D6573" s="19"/>
      <c r="E6573" s="57"/>
      <c r="H6573" s="18"/>
    </row>
    <row r="6574">
      <c r="C6574" s="18"/>
      <c r="D6574" s="19"/>
      <c r="E6574" s="57"/>
      <c r="H6574" s="18"/>
    </row>
    <row r="6575">
      <c r="C6575" s="18"/>
      <c r="D6575" s="19"/>
      <c r="E6575" s="57"/>
      <c r="H6575" s="18"/>
    </row>
    <row r="6576">
      <c r="C6576" s="18"/>
      <c r="D6576" s="19"/>
      <c r="E6576" s="57"/>
      <c r="H6576" s="18"/>
    </row>
    <row r="6577">
      <c r="C6577" s="18"/>
      <c r="D6577" s="19"/>
      <c r="E6577" s="57"/>
      <c r="H6577" s="18"/>
    </row>
    <row r="6578">
      <c r="C6578" s="18"/>
      <c r="D6578" s="19"/>
      <c r="E6578" s="57"/>
      <c r="H6578" s="18"/>
    </row>
    <row r="6579">
      <c r="C6579" s="18"/>
      <c r="D6579" s="19"/>
      <c r="E6579" s="57"/>
      <c r="H6579" s="18"/>
    </row>
    <row r="6580">
      <c r="C6580" s="18"/>
      <c r="D6580" s="19"/>
      <c r="E6580" s="57"/>
      <c r="H6580" s="18"/>
    </row>
    <row r="6581">
      <c r="C6581" s="18"/>
      <c r="D6581" s="19"/>
      <c r="E6581" s="57"/>
      <c r="H6581" s="18"/>
    </row>
    <row r="6582">
      <c r="C6582" s="18"/>
      <c r="D6582" s="19"/>
      <c r="E6582" s="57"/>
      <c r="H6582" s="18"/>
    </row>
    <row r="6583">
      <c r="C6583" s="18"/>
      <c r="D6583" s="19"/>
      <c r="E6583" s="57"/>
      <c r="H6583" s="18"/>
    </row>
    <row r="6584">
      <c r="C6584" s="18"/>
      <c r="D6584" s="19"/>
      <c r="E6584" s="57"/>
      <c r="H6584" s="18"/>
    </row>
    <row r="6585">
      <c r="C6585" s="18"/>
      <c r="D6585" s="19"/>
      <c r="E6585" s="57"/>
      <c r="H6585" s="18"/>
    </row>
    <row r="6586">
      <c r="C6586" s="18"/>
      <c r="D6586" s="19"/>
      <c r="E6586" s="57"/>
      <c r="H6586" s="18"/>
    </row>
    <row r="6587">
      <c r="C6587" s="18"/>
      <c r="D6587" s="19"/>
      <c r="E6587" s="57"/>
      <c r="H6587" s="18"/>
    </row>
    <row r="6588">
      <c r="C6588" s="18"/>
      <c r="D6588" s="19"/>
      <c r="E6588" s="57"/>
      <c r="H6588" s="18"/>
    </row>
    <row r="6589">
      <c r="C6589" s="18"/>
      <c r="D6589" s="19"/>
      <c r="E6589" s="57"/>
      <c r="H6589" s="18"/>
    </row>
    <row r="6590">
      <c r="C6590" s="18"/>
      <c r="D6590" s="19"/>
      <c r="E6590" s="57"/>
      <c r="H6590" s="18"/>
    </row>
    <row r="6591">
      <c r="C6591" s="18"/>
      <c r="D6591" s="19"/>
      <c r="E6591" s="57"/>
      <c r="H6591" s="18"/>
    </row>
    <row r="6592">
      <c r="C6592" s="18"/>
      <c r="D6592" s="19"/>
      <c r="E6592" s="57"/>
      <c r="H6592" s="18"/>
    </row>
    <row r="6593">
      <c r="C6593" s="18"/>
      <c r="D6593" s="19"/>
      <c r="E6593" s="57"/>
      <c r="H6593" s="18"/>
    </row>
    <row r="6594">
      <c r="C6594" s="18"/>
      <c r="D6594" s="19"/>
      <c r="E6594" s="57"/>
      <c r="H6594" s="18"/>
    </row>
    <row r="6595">
      <c r="C6595" s="18"/>
      <c r="D6595" s="19"/>
      <c r="E6595" s="57"/>
      <c r="H6595" s="18"/>
    </row>
    <row r="6596">
      <c r="C6596" s="18"/>
      <c r="D6596" s="19"/>
      <c r="E6596" s="57"/>
      <c r="H6596" s="18"/>
    </row>
    <row r="6597">
      <c r="C6597" s="18"/>
      <c r="D6597" s="19"/>
      <c r="E6597" s="57"/>
      <c r="H6597" s="18"/>
    </row>
    <row r="6598">
      <c r="C6598" s="18"/>
      <c r="D6598" s="19"/>
      <c r="E6598" s="57"/>
      <c r="H6598" s="18"/>
    </row>
    <row r="6599">
      <c r="C6599" s="18"/>
      <c r="D6599" s="19"/>
      <c r="E6599" s="57"/>
      <c r="H6599" s="18"/>
    </row>
    <row r="6600">
      <c r="C6600" s="18"/>
      <c r="D6600" s="19"/>
      <c r="E6600" s="57"/>
      <c r="H6600" s="18"/>
    </row>
    <row r="6601">
      <c r="C6601" s="18"/>
      <c r="D6601" s="19"/>
      <c r="E6601" s="57"/>
      <c r="H6601" s="18"/>
    </row>
    <row r="6602">
      <c r="C6602" s="18"/>
      <c r="D6602" s="19"/>
      <c r="E6602" s="57"/>
      <c r="H6602" s="18"/>
    </row>
    <row r="6603">
      <c r="C6603" s="18"/>
      <c r="D6603" s="19"/>
      <c r="E6603" s="57"/>
      <c r="H6603" s="18"/>
    </row>
    <row r="6604">
      <c r="C6604" s="18"/>
      <c r="D6604" s="19"/>
      <c r="E6604" s="57"/>
      <c r="H6604" s="18"/>
    </row>
    <row r="6605">
      <c r="C6605" s="18"/>
      <c r="D6605" s="19"/>
      <c r="E6605" s="57"/>
      <c r="H6605" s="18"/>
    </row>
    <row r="6606">
      <c r="C6606" s="18"/>
      <c r="D6606" s="19"/>
      <c r="E6606" s="57"/>
      <c r="H6606" s="18"/>
    </row>
    <row r="6607">
      <c r="C6607" s="18"/>
      <c r="D6607" s="19"/>
      <c r="E6607" s="57"/>
      <c r="H6607" s="18"/>
    </row>
    <row r="6608">
      <c r="C6608" s="18"/>
      <c r="D6608" s="19"/>
      <c r="E6608" s="57"/>
      <c r="H6608" s="18"/>
    </row>
    <row r="6609">
      <c r="C6609" s="18"/>
      <c r="D6609" s="19"/>
      <c r="E6609" s="57"/>
      <c r="H6609" s="18"/>
    </row>
    <row r="6610">
      <c r="C6610" s="18"/>
      <c r="D6610" s="19"/>
      <c r="E6610" s="57"/>
      <c r="H6610" s="18"/>
    </row>
    <row r="6611">
      <c r="C6611" s="18"/>
      <c r="D6611" s="19"/>
      <c r="E6611" s="57"/>
      <c r="H6611" s="18"/>
    </row>
    <row r="6612">
      <c r="C6612" s="18"/>
      <c r="D6612" s="19"/>
      <c r="E6612" s="57"/>
      <c r="H6612" s="18"/>
    </row>
    <row r="6613">
      <c r="C6613" s="18"/>
      <c r="D6613" s="19"/>
      <c r="E6613" s="57"/>
      <c r="H6613" s="18"/>
    </row>
    <row r="6614">
      <c r="C6614" s="18"/>
      <c r="D6614" s="19"/>
      <c r="E6614" s="57"/>
      <c r="H6614" s="18"/>
    </row>
    <row r="6615">
      <c r="C6615" s="18"/>
      <c r="D6615" s="19"/>
      <c r="E6615" s="57"/>
      <c r="H6615" s="18"/>
    </row>
    <row r="6616">
      <c r="C6616" s="18"/>
      <c r="D6616" s="19"/>
      <c r="E6616" s="57"/>
      <c r="H6616" s="18"/>
    </row>
    <row r="6617">
      <c r="C6617" s="18"/>
      <c r="D6617" s="19"/>
      <c r="E6617" s="57"/>
      <c r="H6617" s="18"/>
    </row>
    <row r="6618">
      <c r="C6618" s="18"/>
      <c r="D6618" s="19"/>
      <c r="E6618" s="57"/>
      <c r="H6618" s="18"/>
    </row>
    <row r="6619">
      <c r="C6619" s="18"/>
      <c r="D6619" s="19"/>
      <c r="E6619" s="57"/>
      <c r="H6619" s="18"/>
    </row>
    <row r="6620">
      <c r="C6620" s="18"/>
      <c r="D6620" s="19"/>
      <c r="E6620" s="57"/>
      <c r="H6620" s="18"/>
    </row>
    <row r="6621">
      <c r="C6621" s="18"/>
      <c r="D6621" s="19"/>
      <c r="E6621" s="57"/>
      <c r="H6621" s="18"/>
    </row>
    <row r="6622">
      <c r="C6622" s="18"/>
      <c r="D6622" s="19"/>
      <c r="E6622" s="57"/>
      <c r="H6622" s="18"/>
    </row>
    <row r="6623">
      <c r="C6623" s="18"/>
      <c r="D6623" s="19"/>
      <c r="E6623" s="57"/>
      <c r="H6623" s="18"/>
    </row>
    <row r="6624">
      <c r="C6624" s="18"/>
      <c r="D6624" s="19"/>
      <c r="E6624" s="57"/>
      <c r="H6624" s="18"/>
    </row>
    <row r="6625">
      <c r="C6625" s="18"/>
      <c r="D6625" s="19"/>
      <c r="E6625" s="57"/>
      <c r="H6625" s="18"/>
    </row>
    <row r="6626">
      <c r="C6626" s="18"/>
      <c r="D6626" s="19"/>
      <c r="E6626" s="57"/>
      <c r="H6626" s="18"/>
    </row>
    <row r="6627">
      <c r="C6627" s="18"/>
      <c r="D6627" s="19"/>
      <c r="E6627" s="57"/>
      <c r="H6627" s="18"/>
    </row>
    <row r="6628">
      <c r="C6628" s="18"/>
      <c r="D6628" s="19"/>
      <c r="E6628" s="57"/>
      <c r="H6628" s="18"/>
    </row>
    <row r="6629">
      <c r="C6629" s="18"/>
      <c r="D6629" s="19"/>
      <c r="E6629" s="57"/>
      <c r="H6629" s="18"/>
    </row>
    <row r="6630">
      <c r="C6630" s="18"/>
      <c r="D6630" s="19"/>
      <c r="E6630" s="57"/>
      <c r="H6630" s="18"/>
    </row>
    <row r="6631">
      <c r="C6631" s="18"/>
      <c r="D6631" s="19"/>
      <c r="E6631" s="57"/>
      <c r="H6631" s="18"/>
    </row>
    <row r="6632">
      <c r="C6632" s="18"/>
      <c r="D6632" s="19"/>
      <c r="E6632" s="57"/>
      <c r="H6632" s="18"/>
    </row>
    <row r="6633">
      <c r="C6633" s="18"/>
      <c r="D6633" s="19"/>
      <c r="E6633" s="57"/>
      <c r="H6633" s="18"/>
    </row>
    <row r="6634">
      <c r="C6634" s="18"/>
      <c r="D6634" s="19"/>
      <c r="E6634" s="57"/>
      <c r="H6634" s="18"/>
    </row>
    <row r="6635">
      <c r="C6635" s="18"/>
      <c r="D6635" s="19"/>
      <c r="E6635" s="57"/>
      <c r="H6635" s="18"/>
    </row>
    <row r="6636">
      <c r="C6636" s="18"/>
      <c r="D6636" s="19"/>
      <c r="E6636" s="57"/>
      <c r="H6636" s="18"/>
    </row>
    <row r="6637">
      <c r="C6637" s="18"/>
      <c r="D6637" s="19"/>
      <c r="E6637" s="57"/>
      <c r="H6637" s="18"/>
    </row>
    <row r="6638">
      <c r="C6638" s="18"/>
      <c r="D6638" s="19"/>
      <c r="E6638" s="57"/>
      <c r="H6638" s="18"/>
    </row>
    <row r="6639">
      <c r="C6639" s="18"/>
      <c r="D6639" s="19"/>
      <c r="E6639" s="57"/>
      <c r="H6639" s="18"/>
    </row>
    <row r="6640">
      <c r="C6640" s="18"/>
      <c r="D6640" s="19"/>
      <c r="E6640" s="57"/>
      <c r="H6640" s="18"/>
    </row>
    <row r="6641">
      <c r="C6641" s="18"/>
      <c r="D6641" s="19"/>
      <c r="E6641" s="57"/>
      <c r="H6641" s="18"/>
    </row>
    <row r="6642">
      <c r="C6642" s="18"/>
      <c r="D6642" s="19"/>
      <c r="E6642" s="57"/>
      <c r="H6642" s="18"/>
    </row>
    <row r="6643">
      <c r="C6643" s="18"/>
      <c r="D6643" s="19"/>
      <c r="E6643" s="57"/>
      <c r="H6643" s="18"/>
    </row>
    <row r="6644">
      <c r="C6644" s="18"/>
      <c r="D6644" s="19"/>
      <c r="E6644" s="57"/>
      <c r="H6644" s="18"/>
    </row>
    <row r="6645">
      <c r="C6645" s="18"/>
      <c r="D6645" s="19"/>
      <c r="E6645" s="57"/>
      <c r="H6645" s="18"/>
    </row>
    <row r="6646">
      <c r="C6646" s="18"/>
      <c r="D6646" s="19"/>
      <c r="E6646" s="57"/>
      <c r="H6646" s="18"/>
    </row>
    <row r="6647">
      <c r="C6647" s="18"/>
      <c r="D6647" s="19"/>
      <c r="E6647" s="57"/>
      <c r="H6647" s="18"/>
    </row>
    <row r="6648">
      <c r="C6648" s="18"/>
      <c r="D6648" s="19"/>
      <c r="E6648" s="57"/>
      <c r="H6648" s="18"/>
    </row>
    <row r="6649">
      <c r="C6649" s="18"/>
      <c r="D6649" s="19"/>
      <c r="E6649" s="57"/>
      <c r="H6649" s="18"/>
    </row>
    <row r="6650">
      <c r="C6650" s="18"/>
      <c r="D6650" s="19"/>
      <c r="E6650" s="57"/>
      <c r="H6650" s="18"/>
    </row>
    <row r="6651">
      <c r="C6651" s="18"/>
      <c r="D6651" s="19"/>
      <c r="E6651" s="57"/>
      <c r="H6651" s="18"/>
    </row>
    <row r="6652">
      <c r="C6652" s="18"/>
      <c r="D6652" s="19"/>
      <c r="E6652" s="57"/>
      <c r="H6652" s="18"/>
    </row>
    <row r="6653">
      <c r="C6653" s="18"/>
      <c r="D6653" s="19"/>
      <c r="E6653" s="57"/>
      <c r="H6653" s="18"/>
    </row>
    <row r="6654">
      <c r="C6654" s="18"/>
      <c r="D6654" s="19"/>
      <c r="E6654" s="57"/>
      <c r="H6654" s="18"/>
    </row>
    <row r="6655">
      <c r="C6655" s="18"/>
      <c r="D6655" s="19"/>
      <c r="E6655" s="57"/>
      <c r="H6655" s="18"/>
    </row>
    <row r="6656">
      <c r="C6656" s="18"/>
      <c r="D6656" s="19"/>
      <c r="E6656" s="57"/>
      <c r="H6656" s="18"/>
    </row>
    <row r="6657">
      <c r="C6657" s="18"/>
      <c r="D6657" s="19"/>
      <c r="E6657" s="57"/>
      <c r="H6657" s="18"/>
    </row>
    <row r="6658">
      <c r="C6658" s="18"/>
      <c r="D6658" s="19"/>
      <c r="E6658" s="57"/>
      <c r="H6658" s="18"/>
    </row>
    <row r="6659">
      <c r="C6659" s="18"/>
      <c r="D6659" s="19"/>
      <c r="E6659" s="57"/>
      <c r="H6659" s="18"/>
    </row>
    <row r="6660">
      <c r="C6660" s="18"/>
      <c r="D6660" s="19"/>
      <c r="E6660" s="57"/>
      <c r="H6660" s="18"/>
    </row>
    <row r="6661">
      <c r="C6661" s="18"/>
      <c r="D6661" s="19"/>
      <c r="E6661" s="57"/>
      <c r="H6661" s="18"/>
    </row>
    <row r="6662">
      <c r="C6662" s="18"/>
      <c r="D6662" s="19"/>
      <c r="E6662" s="57"/>
      <c r="H6662" s="18"/>
    </row>
    <row r="6663">
      <c r="C6663" s="18"/>
      <c r="D6663" s="19"/>
      <c r="E6663" s="57"/>
      <c r="H6663" s="18"/>
    </row>
    <row r="6664">
      <c r="C6664" s="18"/>
      <c r="D6664" s="19"/>
      <c r="E6664" s="57"/>
      <c r="H6664" s="18"/>
    </row>
    <row r="6665">
      <c r="C6665" s="18"/>
      <c r="D6665" s="19"/>
      <c r="E6665" s="57"/>
      <c r="H6665" s="18"/>
    </row>
    <row r="6666">
      <c r="C6666" s="18"/>
      <c r="D6666" s="19"/>
      <c r="E6666" s="57"/>
      <c r="H6666" s="18"/>
    </row>
    <row r="6667">
      <c r="C6667" s="18"/>
      <c r="D6667" s="19"/>
      <c r="E6667" s="57"/>
      <c r="H6667" s="18"/>
    </row>
    <row r="6668">
      <c r="C6668" s="18"/>
      <c r="D6668" s="19"/>
      <c r="E6668" s="57"/>
      <c r="H6668" s="18"/>
    </row>
    <row r="6669">
      <c r="C6669" s="18"/>
      <c r="D6669" s="19"/>
      <c r="E6669" s="57"/>
      <c r="H6669" s="18"/>
    </row>
    <row r="6670">
      <c r="C6670" s="18"/>
      <c r="D6670" s="19"/>
      <c r="E6670" s="57"/>
      <c r="H6670" s="18"/>
    </row>
    <row r="6671">
      <c r="C6671" s="18"/>
      <c r="D6671" s="19"/>
      <c r="E6671" s="57"/>
      <c r="H6671" s="18"/>
    </row>
    <row r="6672">
      <c r="C6672" s="18"/>
      <c r="D6672" s="19"/>
      <c r="E6672" s="57"/>
      <c r="H6672" s="18"/>
    </row>
    <row r="6673">
      <c r="C6673" s="18"/>
      <c r="D6673" s="19"/>
      <c r="E6673" s="57"/>
      <c r="H6673" s="18"/>
    </row>
    <row r="6674">
      <c r="C6674" s="18"/>
      <c r="D6674" s="19"/>
      <c r="E6674" s="57"/>
      <c r="H6674" s="18"/>
    </row>
    <row r="6675">
      <c r="C6675" s="18"/>
      <c r="D6675" s="19"/>
      <c r="E6675" s="57"/>
      <c r="H6675" s="18"/>
    </row>
    <row r="6676">
      <c r="C6676" s="18"/>
      <c r="D6676" s="19"/>
      <c r="E6676" s="57"/>
      <c r="H6676" s="18"/>
    </row>
    <row r="6677">
      <c r="C6677" s="18"/>
      <c r="D6677" s="19"/>
      <c r="E6677" s="57"/>
      <c r="H6677" s="18"/>
    </row>
    <row r="6678">
      <c r="C6678" s="18"/>
      <c r="D6678" s="19"/>
      <c r="E6678" s="57"/>
      <c r="H6678" s="18"/>
    </row>
    <row r="6679">
      <c r="C6679" s="18"/>
      <c r="D6679" s="19"/>
      <c r="E6679" s="57"/>
      <c r="H6679" s="18"/>
    </row>
    <row r="6680">
      <c r="C6680" s="18"/>
      <c r="D6680" s="19"/>
      <c r="E6680" s="57"/>
      <c r="H6680" s="18"/>
    </row>
    <row r="6681">
      <c r="C6681" s="18"/>
      <c r="D6681" s="19"/>
      <c r="E6681" s="57"/>
      <c r="H6681" s="18"/>
    </row>
    <row r="6682">
      <c r="C6682" s="18"/>
      <c r="D6682" s="19"/>
      <c r="E6682" s="57"/>
      <c r="H6682" s="18"/>
    </row>
    <row r="6683">
      <c r="C6683" s="18"/>
      <c r="D6683" s="19"/>
      <c r="E6683" s="57"/>
      <c r="H6683" s="18"/>
    </row>
    <row r="6684">
      <c r="C6684" s="18"/>
      <c r="D6684" s="19"/>
      <c r="E6684" s="57"/>
      <c r="H6684" s="18"/>
    </row>
    <row r="6685">
      <c r="C6685" s="18"/>
      <c r="D6685" s="19"/>
      <c r="E6685" s="57"/>
      <c r="H6685" s="18"/>
    </row>
    <row r="6686">
      <c r="C6686" s="18"/>
      <c r="D6686" s="19"/>
      <c r="E6686" s="57"/>
      <c r="H6686" s="18"/>
    </row>
    <row r="6687">
      <c r="C6687" s="18"/>
      <c r="D6687" s="19"/>
      <c r="E6687" s="57"/>
      <c r="H6687" s="18"/>
    </row>
    <row r="6688">
      <c r="C6688" s="18"/>
      <c r="D6688" s="19"/>
      <c r="E6688" s="57"/>
      <c r="H6688" s="18"/>
    </row>
    <row r="6689">
      <c r="C6689" s="18"/>
      <c r="D6689" s="19"/>
      <c r="E6689" s="57"/>
      <c r="H6689" s="18"/>
    </row>
    <row r="6690">
      <c r="C6690" s="18"/>
      <c r="D6690" s="19"/>
      <c r="E6690" s="57"/>
      <c r="H6690" s="18"/>
    </row>
    <row r="6691">
      <c r="C6691" s="18"/>
      <c r="D6691" s="19"/>
      <c r="E6691" s="57"/>
      <c r="H6691" s="18"/>
    </row>
    <row r="6692">
      <c r="C6692" s="18"/>
      <c r="D6692" s="19"/>
      <c r="E6692" s="57"/>
      <c r="H6692" s="18"/>
    </row>
    <row r="6693">
      <c r="C6693" s="18"/>
      <c r="D6693" s="19"/>
      <c r="E6693" s="57"/>
      <c r="H6693" s="18"/>
    </row>
    <row r="6694">
      <c r="C6694" s="18"/>
      <c r="D6694" s="19"/>
      <c r="E6694" s="57"/>
      <c r="H6694" s="18"/>
    </row>
    <row r="6695">
      <c r="C6695" s="18"/>
      <c r="D6695" s="19"/>
      <c r="E6695" s="57"/>
      <c r="H6695" s="18"/>
    </row>
    <row r="6696">
      <c r="C6696" s="18"/>
      <c r="D6696" s="19"/>
      <c r="E6696" s="57"/>
      <c r="H6696" s="18"/>
    </row>
    <row r="6697">
      <c r="C6697" s="18"/>
      <c r="D6697" s="19"/>
      <c r="E6697" s="57"/>
      <c r="H6697" s="18"/>
    </row>
    <row r="6698">
      <c r="C6698" s="18"/>
      <c r="D6698" s="19"/>
      <c r="E6698" s="57"/>
      <c r="H6698" s="18"/>
    </row>
    <row r="6699">
      <c r="C6699" s="18"/>
      <c r="D6699" s="19"/>
      <c r="E6699" s="57"/>
      <c r="H6699" s="18"/>
    </row>
    <row r="6700">
      <c r="C6700" s="18"/>
      <c r="D6700" s="19"/>
      <c r="E6700" s="57"/>
      <c r="H6700" s="18"/>
    </row>
    <row r="6701">
      <c r="C6701" s="18"/>
      <c r="D6701" s="19"/>
      <c r="E6701" s="57"/>
      <c r="H6701" s="18"/>
    </row>
    <row r="6702">
      <c r="C6702" s="18"/>
      <c r="D6702" s="19"/>
      <c r="E6702" s="57"/>
      <c r="H6702" s="18"/>
    </row>
    <row r="6703">
      <c r="C6703" s="18"/>
      <c r="D6703" s="19"/>
      <c r="E6703" s="57"/>
      <c r="H6703" s="18"/>
    </row>
    <row r="6704">
      <c r="C6704" s="18"/>
      <c r="D6704" s="19"/>
      <c r="E6704" s="57"/>
      <c r="H6704" s="18"/>
    </row>
    <row r="6705">
      <c r="C6705" s="18"/>
      <c r="D6705" s="19"/>
      <c r="E6705" s="57"/>
      <c r="H6705" s="18"/>
    </row>
    <row r="6706">
      <c r="C6706" s="18"/>
      <c r="D6706" s="19"/>
      <c r="E6706" s="57"/>
      <c r="H6706" s="18"/>
    </row>
    <row r="6707">
      <c r="C6707" s="18"/>
      <c r="D6707" s="19"/>
      <c r="E6707" s="57"/>
      <c r="H6707" s="18"/>
    </row>
    <row r="6708">
      <c r="C6708" s="18"/>
      <c r="D6708" s="19"/>
      <c r="E6708" s="57"/>
      <c r="H6708" s="18"/>
    </row>
    <row r="6709">
      <c r="C6709" s="18"/>
      <c r="D6709" s="19"/>
      <c r="E6709" s="57"/>
      <c r="H6709" s="18"/>
    </row>
    <row r="6710">
      <c r="C6710" s="18"/>
      <c r="D6710" s="19"/>
      <c r="E6710" s="57"/>
      <c r="H6710" s="18"/>
    </row>
    <row r="6711">
      <c r="C6711" s="18"/>
      <c r="D6711" s="19"/>
      <c r="E6711" s="57"/>
      <c r="H6711" s="18"/>
    </row>
    <row r="6712">
      <c r="C6712" s="18"/>
      <c r="D6712" s="19"/>
      <c r="E6712" s="57"/>
      <c r="H6712" s="18"/>
    </row>
    <row r="6713">
      <c r="C6713" s="18"/>
      <c r="D6713" s="19"/>
      <c r="E6713" s="57"/>
      <c r="H6713" s="18"/>
    </row>
    <row r="6714">
      <c r="C6714" s="18"/>
      <c r="D6714" s="19"/>
      <c r="E6714" s="57"/>
      <c r="H6714" s="18"/>
    </row>
    <row r="6715">
      <c r="C6715" s="18"/>
      <c r="D6715" s="19"/>
      <c r="E6715" s="57"/>
      <c r="H6715" s="18"/>
    </row>
    <row r="6716">
      <c r="C6716" s="18"/>
      <c r="D6716" s="19"/>
      <c r="E6716" s="57"/>
      <c r="H6716" s="18"/>
    </row>
    <row r="6717">
      <c r="C6717" s="18"/>
      <c r="D6717" s="19"/>
      <c r="E6717" s="57"/>
      <c r="H6717" s="18"/>
    </row>
    <row r="6718">
      <c r="C6718" s="18"/>
      <c r="D6718" s="19"/>
      <c r="E6718" s="57"/>
      <c r="H6718" s="18"/>
    </row>
    <row r="6719">
      <c r="C6719" s="18"/>
      <c r="D6719" s="19"/>
      <c r="E6719" s="57"/>
      <c r="H6719" s="18"/>
    </row>
    <row r="6720">
      <c r="C6720" s="18"/>
      <c r="D6720" s="19"/>
      <c r="E6720" s="57"/>
      <c r="H6720" s="18"/>
    </row>
    <row r="6721">
      <c r="C6721" s="18"/>
      <c r="D6721" s="19"/>
      <c r="E6721" s="57"/>
      <c r="H6721" s="18"/>
    </row>
    <row r="6722">
      <c r="C6722" s="18"/>
      <c r="D6722" s="19"/>
      <c r="E6722" s="57"/>
      <c r="H6722" s="18"/>
    </row>
    <row r="6723">
      <c r="C6723" s="18"/>
      <c r="D6723" s="19"/>
      <c r="E6723" s="57"/>
      <c r="H6723" s="18"/>
    </row>
    <row r="6724">
      <c r="C6724" s="18"/>
      <c r="D6724" s="19"/>
      <c r="E6724" s="57"/>
      <c r="H6724" s="18"/>
    </row>
    <row r="6725">
      <c r="C6725" s="18"/>
      <c r="D6725" s="19"/>
      <c r="E6725" s="57"/>
      <c r="H6725" s="18"/>
    </row>
    <row r="6726">
      <c r="C6726" s="18"/>
      <c r="D6726" s="19"/>
      <c r="E6726" s="57"/>
      <c r="H6726" s="18"/>
    </row>
    <row r="6727">
      <c r="C6727" s="18"/>
      <c r="D6727" s="19"/>
      <c r="E6727" s="57"/>
      <c r="H6727" s="18"/>
    </row>
    <row r="6728">
      <c r="C6728" s="18"/>
      <c r="D6728" s="19"/>
      <c r="E6728" s="57"/>
      <c r="H6728" s="18"/>
    </row>
    <row r="6729">
      <c r="C6729" s="18"/>
      <c r="D6729" s="19"/>
      <c r="E6729" s="57"/>
      <c r="H6729" s="18"/>
    </row>
    <row r="6730">
      <c r="C6730" s="18"/>
      <c r="D6730" s="19"/>
      <c r="E6730" s="57"/>
      <c r="H6730" s="18"/>
    </row>
    <row r="6731">
      <c r="C6731" s="18"/>
      <c r="D6731" s="19"/>
      <c r="E6731" s="57"/>
      <c r="H6731" s="18"/>
    </row>
    <row r="6732">
      <c r="C6732" s="18"/>
      <c r="D6732" s="19"/>
      <c r="E6732" s="57"/>
      <c r="H6732" s="18"/>
    </row>
    <row r="6733">
      <c r="C6733" s="18"/>
      <c r="D6733" s="19"/>
      <c r="E6733" s="57"/>
      <c r="H6733" s="18"/>
    </row>
    <row r="6734">
      <c r="C6734" s="18"/>
      <c r="D6734" s="19"/>
      <c r="E6734" s="57"/>
      <c r="H6734" s="18"/>
    </row>
    <row r="6735">
      <c r="C6735" s="18"/>
      <c r="D6735" s="19"/>
      <c r="E6735" s="57"/>
      <c r="H6735" s="18"/>
    </row>
    <row r="6736">
      <c r="C6736" s="18"/>
      <c r="D6736" s="19"/>
      <c r="E6736" s="57"/>
      <c r="H6736" s="18"/>
    </row>
    <row r="6737">
      <c r="C6737" s="18"/>
      <c r="D6737" s="19"/>
      <c r="E6737" s="57"/>
      <c r="H6737" s="18"/>
    </row>
    <row r="6738">
      <c r="C6738" s="18"/>
      <c r="D6738" s="19"/>
      <c r="E6738" s="57"/>
      <c r="H6738" s="18"/>
    </row>
    <row r="6739">
      <c r="C6739" s="18"/>
      <c r="D6739" s="19"/>
      <c r="E6739" s="57"/>
      <c r="H6739" s="18"/>
    </row>
    <row r="6740">
      <c r="C6740" s="18"/>
      <c r="D6740" s="19"/>
      <c r="E6740" s="57"/>
      <c r="H6740" s="18"/>
    </row>
    <row r="6741">
      <c r="C6741" s="18"/>
      <c r="D6741" s="19"/>
      <c r="E6741" s="57"/>
      <c r="H6741" s="18"/>
    </row>
    <row r="6742">
      <c r="C6742" s="18"/>
      <c r="D6742" s="19"/>
      <c r="E6742" s="57"/>
      <c r="H6742" s="18"/>
    </row>
    <row r="6743">
      <c r="C6743" s="18"/>
      <c r="D6743" s="19"/>
      <c r="E6743" s="57"/>
      <c r="H6743" s="18"/>
    </row>
    <row r="6744">
      <c r="C6744" s="18"/>
      <c r="D6744" s="19"/>
      <c r="E6744" s="57"/>
      <c r="H6744" s="18"/>
    </row>
    <row r="6745">
      <c r="C6745" s="18"/>
      <c r="D6745" s="19"/>
      <c r="E6745" s="57"/>
      <c r="H6745" s="18"/>
    </row>
    <row r="6746">
      <c r="C6746" s="18"/>
      <c r="D6746" s="19"/>
      <c r="E6746" s="57"/>
      <c r="H6746" s="18"/>
    </row>
    <row r="6747">
      <c r="C6747" s="18"/>
      <c r="D6747" s="19"/>
      <c r="E6747" s="57"/>
      <c r="H6747" s="18"/>
    </row>
    <row r="6748">
      <c r="C6748" s="18"/>
      <c r="D6748" s="19"/>
      <c r="E6748" s="57"/>
      <c r="H6748" s="18"/>
    </row>
    <row r="6749">
      <c r="C6749" s="18"/>
      <c r="D6749" s="19"/>
      <c r="E6749" s="57"/>
      <c r="H6749" s="18"/>
    </row>
    <row r="6750">
      <c r="C6750" s="18"/>
      <c r="D6750" s="19"/>
      <c r="E6750" s="57"/>
      <c r="H6750" s="18"/>
    </row>
    <row r="6751">
      <c r="C6751" s="18"/>
      <c r="D6751" s="19"/>
      <c r="E6751" s="57"/>
      <c r="H6751" s="18"/>
    </row>
    <row r="6752">
      <c r="C6752" s="18"/>
      <c r="D6752" s="19"/>
      <c r="E6752" s="57"/>
      <c r="H6752" s="18"/>
    </row>
    <row r="6753">
      <c r="C6753" s="18"/>
      <c r="D6753" s="19"/>
      <c r="E6753" s="57"/>
      <c r="H6753" s="18"/>
    </row>
    <row r="6754">
      <c r="C6754" s="18"/>
      <c r="D6754" s="19"/>
      <c r="E6754" s="57"/>
      <c r="H6754" s="18"/>
    </row>
    <row r="6755">
      <c r="C6755" s="18"/>
      <c r="D6755" s="19"/>
      <c r="E6755" s="57"/>
      <c r="H6755" s="18"/>
    </row>
    <row r="6756">
      <c r="C6756" s="18"/>
      <c r="D6756" s="19"/>
      <c r="E6756" s="57"/>
      <c r="H6756" s="18"/>
    </row>
    <row r="6757">
      <c r="C6757" s="18"/>
      <c r="D6757" s="19"/>
      <c r="E6757" s="57"/>
      <c r="H6757" s="18"/>
    </row>
    <row r="6758">
      <c r="C6758" s="18"/>
      <c r="D6758" s="19"/>
      <c r="E6758" s="57"/>
      <c r="H6758" s="18"/>
    </row>
    <row r="6759">
      <c r="C6759" s="18"/>
      <c r="D6759" s="19"/>
      <c r="E6759" s="57"/>
      <c r="H6759" s="18"/>
    </row>
    <row r="6760">
      <c r="C6760" s="18"/>
      <c r="D6760" s="19"/>
      <c r="E6760" s="57"/>
      <c r="H6760" s="18"/>
    </row>
    <row r="6761">
      <c r="C6761" s="18"/>
      <c r="D6761" s="19"/>
      <c r="E6761" s="57"/>
      <c r="H6761" s="18"/>
    </row>
    <row r="6762">
      <c r="C6762" s="18"/>
      <c r="D6762" s="19"/>
      <c r="E6762" s="57"/>
      <c r="H6762" s="18"/>
    </row>
    <row r="6763">
      <c r="C6763" s="18"/>
      <c r="D6763" s="19"/>
      <c r="E6763" s="57"/>
      <c r="H6763" s="18"/>
    </row>
    <row r="6764">
      <c r="C6764" s="18"/>
      <c r="D6764" s="19"/>
      <c r="E6764" s="57"/>
      <c r="H6764" s="18"/>
    </row>
    <row r="6765">
      <c r="C6765" s="18"/>
      <c r="D6765" s="19"/>
      <c r="E6765" s="57"/>
      <c r="H6765" s="18"/>
    </row>
    <row r="6766">
      <c r="C6766" s="18"/>
      <c r="D6766" s="19"/>
      <c r="E6766" s="57"/>
      <c r="H6766" s="18"/>
    </row>
    <row r="6767">
      <c r="C6767" s="18"/>
      <c r="D6767" s="19"/>
      <c r="E6767" s="57"/>
      <c r="H6767" s="18"/>
    </row>
    <row r="6768">
      <c r="C6768" s="18"/>
      <c r="D6768" s="19"/>
      <c r="E6768" s="57"/>
      <c r="H6768" s="18"/>
    </row>
    <row r="6769">
      <c r="C6769" s="18"/>
      <c r="D6769" s="19"/>
      <c r="E6769" s="57"/>
      <c r="H6769" s="18"/>
    </row>
    <row r="6770">
      <c r="C6770" s="18"/>
      <c r="D6770" s="19"/>
      <c r="E6770" s="57"/>
      <c r="H6770" s="18"/>
    </row>
    <row r="6771">
      <c r="C6771" s="18"/>
      <c r="D6771" s="19"/>
      <c r="E6771" s="57"/>
      <c r="H6771" s="18"/>
    </row>
    <row r="6772">
      <c r="C6772" s="18"/>
      <c r="D6772" s="19"/>
      <c r="E6772" s="57"/>
      <c r="H6772" s="18"/>
    </row>
    <row r="6773">
      <c r="C6773" s="18"/>
      <c r="D6773" s="19"/>
      <c r="E6773" s="57"/>
      <c r="H6773" s="18"/>
    </row>
    <row r="6774">
      <c r="C6774" s="18"/>
      <c r="D6774" s="19"/>
      <c r="E6774" s="57"/>
      <c r="H6774" s="18"/>
    </row>
    <row r="6775">
      <c r="C6775" s="18"/>
      <c r="D6775" s="19"/>
      <c r="E6775" s="57"/>
      <c r="H6775" s="18"/>
    </row>
    <row r="6776">
      <c r="C6776" s="18"/>
      <c r="D6776" s="19"/>
      <c r="E6776" s="57"/>
      <c r="H6776" s="18"/>
    </row>
    <row r="6777">
      <c r="C6777" s="18"/>
      <c r="D6777" s="19"/>
      <c r="E6777" s="57"/>
      <c r="H6777" s="18"/>
    </row>
    <row r="6778">
      <c r="C6778" s="18"/>
      <c r="D6778" s="19"/>
      <c r="E6778" s="57"/>
      <c r="H6778" s="18"/>
    </row>
    <row r="6779">
      <c r="C6779" s="18"/>
      <c r="D6779" s="19"/>
      <c r="E6779" s="57"/>
      <c r="H6779" s="18"/>
    </row>
    <row r="6780">
      <c r="C6780" s="18"/>
      <c r="D6780" s="19"/>
      <c r="E6780" s="57"/>
      <c r="H6780" s="18"/>
    </row>
    <row r="6781">
      <c r="C6781" s="18"/>
      <c r="D6781" s="19"/>
      <c r="E6781" s="57"/>
      <c r="H6781" s="18"/>
    </row>
    <row r="6782">
      <c r="C6782" s="18"/>
      <c r="D6782" s="19"/>
      <c r="E6782" s="57"/>
      <c r="H6782" s="18"/>
    </row>
    <row r="6783">
      <c r="C6783" s="18"/>
      <c r="D6783" s="19"/>
      <c r="E6783" s="57"/>
      <c r="H6783" s="18"/>
    </row>
    <row r="6784">
      <c r="C6784" s="18"/>
      <c r="D6784" s="19"/>
      <c r="E6784" s="57"/>
      <c r="H6784" s="18"/>
    </row>
    <row r="6785">
      <c r="C6785" s="18"/>
      <c r="D6785" s="19"/>
      <c r="E6785" s="57"/>
      <c r="H6785" s="18"/>
    </row>
    <row r="6786">
      <c r="C6786" s="18"/>
      <c r="D6786" s="19"/>
      <c r="E6786" s="57"/>
      <c r="H6786" s="18"/>
    </row>
    <row r="6787">
      <c r="C6787" s="18"/>
      <c r="D6787" s="19"/>
      <c r="E6787" s="57"/>
      <c r="H6787" s="18"/>
    </row>
    <row r="6788">
      <c r="C6788" s="18"/>
      <c r="D6788" s="19"/>
      <c r="E6788" s="57"/>
      <c r="H6788" s="18"/>
    </row>
    <row r="6789">
      <c r="C6789" s="18"/>
      <c r="D6789" s="19"/>
      <c r="E6789" s="57"/>
      <c r="H6789" s="18"/>
    </row>
    <row r="6790">
      <c r="C6790" s="18"/>
      <c r="D6790" s="19"/>
      <c r="E6790" s="57"/>
      <c r="H6790" s="18"/>
    </row>
    <row r="6791">
      <c r="C6791" s="18"/>
      <c r="D6791" s="19"/>
      <c r="E6791" s="57"/>
      <c r="H6791" s="18"/>
    </row>
    <row r="6792">
      <c r="C6792" s="18"/>
      <c r="D6792" s="19"/>
      <c r="E6792" s="57"/>
      <c r="H6792" s="18"/>
    </row>
    <row r="6793">
      <c r="C6793" s="18"/>
      <c r="D6793" s="19"/>
      <c r="E6793" s="57"/>
      <c r="H6793" s="18"/>
    </row>
    <row r="6794">
      <c r="C6794" s="18"/>
      <c r="D6794" s="19"/>
      <c r="E6794" s="57"/>
      <c r="H6794" s="18"/>
    </row>
    <row r="6795">
      <c r="C6795" s="18"/>
      <c r="D6795" s="19"/>
      <c r="E6795" s="57"/>
      <c r="H6795" s="18"/>
    </row>
    <row r="6796">
      <c r="C6796" s="18"/>
      <c r="D6796" s="19"/>
      <c r="E6796" s="57"/>
      <c r="H6796" s="18"/>
    </row>
    <row r="6797">
      <c r="C6797" s="18"/>
      <c r="D6797" s="19"/>
      <c r="E6797" s="57"/>
      <c r="H6797" s="18"/>
    </row>
    <row r="6798">
      <c r="C6798" s="18"/>
      <c r="D6798" s="19"/>
      <c r="E6798" s="57"/>
      <c r="H6798" s="18"/>
    </row>
    <row r="6799">
      <c r="C6799" s="18"/>
      <c r="D6799" s="19"/>
      <c r="E6799" s="57"/>
      <c r="H6799" s="18"/>
    </row>
    <row r="6800">
      <c r="C6800" s="18"/>
      <c r="D6800" s="19"/>
      <c r="E6800" s="57"/>
      <c r="H6800" s="18"/>
    </row>
    <row r="6801">
      <c r="C6801" s="18"/>
      <c r="D6801" s="19"/>
      <c r="E6801" s="57"/>
      <c r="H6801" s="18"/>
    </row>
    <row r="6802">
      <c r="C6802" s="18"/>
      <c r="D6802" s="19"/>
      <c r="E6802" s="57"/>
      <c r="H6802" s="18"/>
    </row>
    <row r="6803">
      <c r="C6803" s="18"/>
      <c r="D6803" s="19"/>
      <c r="E6803" s="57"/>
      <c r="H6803" s="18"/>
    </row>
    <row r="6804">
      <c r="C6804" s="18"/>
      <c r="D6804" s="19"/>
      <c r="E6804" s="57"/>
      <c r="H6804" s="18"/>
    </row>
    <row r="6805">
      <c r="C6805" s="18"/>
      <c r="D6805" s="19"/>
      <c r="E6805" s="57"/>
      <c r="H6805" s="18"/>
    </row>
    <row r="6806">
      <c r="C6806" s="18"/>
      <c r="D6806" s="19"/>
      <c r="E6806" s="57"/>
      <c r="H6806" s="18"/>
    </row>
    <row r="6807">
      <c r="C6807" s="18"/>
      <c r="D6807" s="19"/>
      <c r="E6807" s="57"/>
      <c r="H6807" s="18"/>
    </row>
    <row r="6808">
      <c r="C6808" s="18"/>
      <c r="D6808" s="19"/>
      <c r="E6808" s="57"/>
      <c r="H6808" s="18"/>
    </row>
    <row r="6809">
      <c r="C6809" s="18"/>
      <c r="D6809" s="19"/>
      <c r="E6809" s="57"/>
      <c r="H6809" s="18"/>
    </row>
    <row r="6810">
      <c r="C6810" s="18"/>
      <c r="D6810" s="19"/>
      <c r="E6810" s="57"/>
      <c r="H6810" s="18"/>
    </row>
    <row r="6811">
      <c r="C6811" s="18"/>
      <c r="D6811" s="19"/>
      <c r="E6811" s="57"/>
      <c r="H6811" s="18"/>
    </row>
    <row r="6812">
      <c r="C6812" s="18"/>
      <c r="D6812" s="19"/>
      <c r="E6812" s="57"/>
      <c r="H6812" s="18"/>
    </row>
    <row r="6813">
      <c r="C6813" s="18"/>
      <c r="D6813" s="19"/>
      <c r="E6813" s="57"/>
      <c r="H6813" s="18"/>
    </row>
    <row r="6814">
      <c r="C6814" s="18"/>
      <c r="D6814" s="19"/>
      <c r="E6814" s="57"/>
      <c r="H6814" s="18"/>
    </row>
    <row r="6815">
      <c r="C6815" s="18"/>
      <c r="D6815" s="19"/>
      <c r="E6815" s="57"/>
      <c r="H6815" s="18"/>
    </row>
    <row r="6816">
      <c r="C6816" s="18"/>
      <c r="D6816" s="19"/>
      <c r="E6816" s="57"/>
      <c r="H6816" s="18"/>
    </row>
    <row r="6817">
      <c r="C6817" s="18"/>
      <c r="D6817" s="19"/>
      <c r="E6817" s="57"/>
      <c r="H6817" s="18"/>
    </row>
    <row r="6818">
      <c r="C6818" s="18"/>
      <c r="D6818" s="19"/>
      <c r="E6818" s="57"/>
      <c r="H6818" s="18"/>
    </row>
    <row r="6819">
      <c r="C6819" s="18"/>
      <c r="D6819" s="19"/>
      <c r="E6819" s="57"/>
      <c r="H6819" s="18"/>
    </row>
    <row r="6820">
      <c r="C6820" s="18"/>
      <c r="D6820" s="19"/>
      <c r="E6820" s="57"/>
      <c r="H6820" s="18"/>
    </row>
    <row r="6821">
      <c r="C6821" s="18"/>
      <c r="D6821" s="19"/>
      <c r="E6821" s="57"/>
      <c r="H6821" s="18"/>
    </row>
    <row r="6822">
      <c r="C6822" s="18"/>
      <c r="D6822" s="19"/>
      <c r="E6822" s="57"/>
      <c r="H6822" s="18"/>
    </row>
    <row r="6823">
      <c r="C6823" s="18"/>
      <c r="D6823" s="19"/>
      <c r="E6823" s="57"/>
      <c r="H6823" s="18"/>
    </row>
    <row r="6824">
      <c r="C6824" s="18"/>
      <c r="D6824" s="19"/>
      <c r="E6824" s="57"/>
      <c r="H6824" s="18"/>
    </row>
    <row r="6825">
      <c r="C6825" s="18"/>
      <c r="D6825" s="19"/>
      <c r="E6825" s="57"/>
      <c r="H6825" s="18"/>
    </row>
    <row r="6826">
      <c r="C6826" s="18"/>
      <c r="D6826" s="19"/>
      <c r="E6826" s="57"/>
      <c r="H6826" s="18"/>
    </row>
    <row r="6827">
      <c r="C6827" s="18"/>
      <c r="D6827" s="19"/>
      <c r="E6827" s="57"/>
      <c r="H6827" s="18"/>
    </row>
    <row r="6828">
      <c r="C6828" s="18"/>
      <c r="D6828" s="19"/>
      <c r="E6828" s="57"/>
      <c r="H6828" s="18"/>
    </row>
    <row r="6829">
      <c r="C6829" s="18"/>
      <c r="D6829" s="19"/>
      <c r="E6829" s="57"/>
      <c r="H6829" s="18"/>
    </row>
    <row r="6830">
      <c r="C6830" s="18"/>
      <c r="D6830" s="19"/>
      <c r="E6830" s="57"/>
      <c r="H6830" s="18"/>
    </row>
    <row r="6831">
      <c r="C6831" s="18"/>
      <c r="D6831" s="19"/>
      <c r="E6831" s="57"/>
      <c r="H6831" s="18"/>
    </row>
    <row r="6832">
      <c r="C6832" s="18"/>
      <c r="D6832" s="19"/>
      <c r="E6832" s="57"/>
      <c r="H6832" s="18"/>
    </row>
    <row r="6833">
      <c r="C6833" s="18"/>
      <c r="D6833" s="19"/>
      <c r="E6833" s="57"/>
      <c r="H6833" s="18"/>
    </row>
    <row r="6834">
      <c r="C6834" s="18"/>
      <c r="D6834" s="19"/>
      <c r="E6834" s="57"/>
      <c r="H6834" s="18"/>
    </row>
    <row r="6835">
      <c r="C6835" s="18"/>
      <c r="D6835" s="19"/>
      <c r="E6835" s="57"/>
      <c r="H6835" s="18"/>
    </row>
    <row r="6836">
      <c r="C6836" s="18"/>
      <c r="D6836" s="19"/>
      <c r="E6836" s="57"/>
      <c r="H6836" s="18"/>
    </row>
    <row r="6837">
      <c r="C6837" s="18"/>
      <c r="D6837" s="19"/>
      <c r="E6837" s="57"/>
      <c r="H6837" s="18"/>
    </row>
    <row r="6838">
      <c r="C6838" s="18"/>
      <c r="D6838" s="19"/>
      <c r="E6838" s="57"/>
      <c r="H6838" s="18"/>
    </row>
    <row r="6839">
      <c r="C6839" s="18"/>
      <c r="D6839" s="19"/>
      <c r="E6839" s="57"/>
      <c r="H6839" s="18"/>
    </row>
    <row r="6840">
      <c r="C6840" s="18"/>
      <c r="D6840" s="19"/>
      <c r="E6840" s="57"/>
      <c r="H6840" s="18"/>
    </row>
    <row r="6841">
      <c r="C6841" s="18"/>
      <c r="D6841" s="19"/>
      <c r="E6841" s="57"/>
      <c r="H6841" s="18"/>
    </row>
    <row r="6842">
      <c r="C6842" s="18"/>
      <c r="D6842" s="19"/>
      <c r="E6842" s="57"/>
      <c r="H6842" s="18"/>
    </row>
    <row r="6843">
      <c r="C6843" s="18"/>
      <c r="D6843" s="19"/>
      <c r="E6843" s="57"/>
      <c r="H6843" s="18"/>
    </row>
    <row r="6844">
      <c r="C6844" s="18"/>
      <c r="D6844" s="19"/>
      <c r="E6844" s="57"/>
      <c r="H6844" s="18"/>
    </row>
    <row r="6845">
      <c r="C6845" s="18"/>
      <c r="D6845" s="19"/>
      <c r="E6845" s="57"/>
      <c r="H6845" s="18"/>
    </row>
    <row r="6846">
      <c r="C6846" s="18"/>
      <c r="D6846" s="19"/>
      <c r="E6846" s="57"/>
      <c r="H6846" s="18"/>
    </row>
    <row r="6847">
      <c r="C6847" s="18"/>
      <c r="D6847" s="19"/>
      <c r="E6847" s="57"/>
      <c r="H6847" s="18"/>
    </row>
    <row r="6848">
      <c r="C6848" s="18"/>
      <c r="D6848" s="19"/>
      <c r="E6848" s="57"/>
      <c r="H6848" s="18"/>
    </row>
    <row r="6849">
      <c r="C6849" s="18"/>
      <c r="D6849" s="19"/>
      <c r="E6849" s="57"/>
      <c r="H6849" s="18"/>
    </row>
    <row r="6850">
      <c r="C6850" s="18"/>
      <c r="D6850" s="19"/>
      <c r="E6850" s="57"/>
      <c r="H6850" s="18"/>
    </row>
    <row r="6851">
      <c r="C6851" s="18"/>
      <c r="D6851" s="19"/>
      <c r="E6851" s="57"/>
      <c r="H6851" s="18"/>
    </row>
    <row r="6852">
      <c r="C6852" s="18"/>
      <c r="D6852" s="19"/>
      <c r="E6852" s="57"/>
      <c r="H6852" s="18"/>
    </row>
    <row r="6853">
      <c r="C6853" s="18"/>
      <c r="D6853" s="19"/>
      <c r="E6853" s="57"/>
      <c r="H6853" s="18"/>
    </row>
    <row r="6854">
      <c r="C6854" s="18"/>
      <c r="D6854" s="19"/>
      <c r="E6854" s="57"/>
      <c r="H6854" s="18"/>
    </row>
    <row r="6855">
      <c r="C6855" s="18"/>
      <c r="D6855" s="19"/>
      <c r="E6855" s="57"/>
      <c r="H6855" s="18"/>
    </row>
    <row r="6856">
      <c r="C6856" s="18"/>
      <c r="D6856" s="19"/>
      <c r="E6856" s="57"/>
      <c r="H6856" s="18"/>
    </row>
    <row r="6857">
      <c r="C6857" s="18"/>
      <c r="D6857" s="19"/>
      <c r="E6857" s="57"/>
      <c r="H6857" s="18"/>
    </row>
    <row r="6858">
      <c r="C6858" s="18"/>
      <c r="D6858" s="19"/>
      <c r="E6858" s="57"/>
      <c r="H6858" s="18"/>
    </row>
    <row r="6859">
      <c r="C6859" s="18"/>
      <c r="D6859" s="19"/>
      <c r="E6859" s="57"/>
      <c r="H6859" s="18"/>
    </row>
    <row r="6860">
      <c r="C6860" s="18"/>
      <c r="D6860" s="19"/>
      <c r="E6860" s="57"/>
      <c r="H6860" s="18"/>
    </row>
    <row r="6861">
      <c r="C6861" s="18"/>
      <c r="D6861" s="19"/>
      <c r="E6861" s="57"/>
      <c r="H6861" s="18"/>
    </row>
    <row r="6862">
      <c r="C6862" s="18"/>
      <c r="D6862" s="19"/>
      <c r="E6862" s="57"/>
      <c r="H6862" s="18"/>
    </row>
    <row r="6863">
      <c r="C6863" s="18"/>
      <c r="D6863" s="19"/>
      <c r="E6863" s="57"/>
      <c r="H6863" s="18"/>
    </row>
    <row r="6864">
      <c r="C6864" s="18"/>
      <c r="D6864" s="19"/>
      <c r="E6864" s="57"/>
      <c r="H6864" s="18"/>
    </row>
    <row r="6865">
      <c r="C6865" s="18"/>
      <c r="D6865" s="19"/>
      <c r="E6865" s="57"/>
      <c r="H6865" s="18"/>
    </row>
    <row r="6866">
      <c r="C6866" s="18"/>
      <c r="D6866" s="19"/>
      <c r="E6866" s="57"/>
      <c r="H6866" s="18"/>
    </row>
    <row r="6867">
      <c r="C6867" s="18"/>
      <c r="D6867" s="19"/>
      <c r="E6867" s="57"/>
      <c r="H6867" s="18"/>
    </row>
    <row r="6868">
      <c r="C6868" s="18"/>
      <c r="D6868" s="19"/>
      <c r="E6868" s="57"/>
      <c r="H6868" s="18"/>
    </row>
    <row r="6869">
      <c r="C6869" s="18"/>
      <c r="D6869" s="19"/>
      <c r="E6869" s="57"/>
      <c r="H6869" s="18"/>
    </row>
    <row r="6870">
      <c r="C6870" s="18"/>
      <c r="D6870" s="19"/>
      <c r="E6870" s="57"/>
      <c r="H6870" s="18"/>
    </row>
    <row r="6871">
      <c r="C6871" s="18"/>
      <c r="D6871" s="19"/>
      <c r="E6871" s="57"/>
      <c r="H6871" s="18"/>
    </row>
    <row r="6872">
      <c r="C6872" s="18"/>
      <c r="D6872" s="19"/>
      <c r="E6872" s="57"/>
      <c r="H6872" s="18"/>
    </row>
    <row r="6873">
      <c r="C6873" s="18"/>
      <c r="D6873" s="19"/>
      <c r="E6873" s="57"/>
      <c r="H6873" s="18"/>
    </row>
    <row r="6874">
      <c r="C6874" s="18"/>
      <c r="D6874" s="19"/>
      <c r="E6874" s="57"/>
      <c r="H6874" s="18"/>
    </row>
    <row r="6875">
      <c r="C6875" s="18"/>
      <c r="D6875" s="19"/>
      <c r="E6875" s="57"/>
      <c r="H6875" s="18"/>
    </row>
    <row r="6876">
      <c r="C6876" s="18"/>
      <c r="D6876" s="19"/>
      <c r="E6876" s="57"/>
      <c r="H6876" s="18"/>
    </row>
    <row r="6877">
      <c r="C6877" s="18"/>
      <c r="D6877" s="19"/>
      <c r="E6877" s="57"/>
      <c r="H6877" s="18"/>
    </row>
    <row r="6878">
      <c r="C6878" s="18"/>
      <c r="D6878" s="19"/>
      <c r="E6878" s="57"/>
      <c r="H6878" s="18"/>
    </row>
    <row r="6879">
      <c r="C6879" s="18"/>
      <c r="D6879" s="19"/>
      <c r="E6879" s="57"/>
      <c r="H6879" s="18"/>
    </row>
    <row r="6880">
      <c r="C6880" s="18"/>
      <c r="D6880" s="19"/>
      <c r="E6880" s="57"/>
      <c r="H6880" s="18"/>
    </row>
    <row r="6881">
      <c r="C6881" s="18"/>
      <c r="D6881" s="19"/>
      <c r="E6881" s="57"/>
      <c r="H6881" s="18"/>
    </row>
    <row r="6882">
      <c r="C6882" s="18"/>
      <c r="D6882" s="19"/>
      <c r="E6882" s="57"/>
      <c r="H6882" s="18"/>
    </row>
    <row r="6883">
      <c r="C6883" s="18"/>
      <c r="D6883" s="19"/>
      <c r="E6883" s="57"/>
      <c r="H6883" s="18"/>
    </row>
    <row r="6884">
      <c r="C6884" s="18"/>
      <c r="D6884" s="19"/>
      <c r="E6884" s="57"/>
      <c r="H6884" s="18"/>
    </row>
    <row r="6885">
      <c r="C6885" s="18"/>
      <c r="D6885" s="19"/>
      <c r="E6885" s="57"/>
      <c r="H6885" s="18"/>
    </row>
    <row r="6886">
      <c r="C6886" s="18"/>
      <c r="D6886" s="19"/>
      <c r="E6886" s="57"/>
      <c r="H6886" s="18"/>
    </row>
    <row r="6887">
      <c r="C6887" s="18"/>
      <c r="D6887" s="19"/>
      <c r="E6887" s="57"/>
      <c r="H6887" s="18"/>
    </row>
    <row r="6888">
      <c r="C6888" s="18"/>
      <c r="D6888" s="19"/>
      <c r="E6888" s="57"/>
      <c r="H6888" s="18"/>
    </row>
    <row r="6889">
      <c r="C6889" s="18"/>
      <c r="D6889" s="19"/>
      <c r="E6889" s="57"/>
      <c r="H6889" s="18"/>
    </row>
    <row r="6890">
      <c r="C6890" s="18"/>
      <c r="D6890" s="19"/>
      <c r="E6890" s="57"/>
      <c r="H6890" s="18"/>
    </row>
    <row r="6891">
      <c r="C6891" s="18"/>
      <c r="D6891" s="19"/>
      <c r="E6891" s="57"/>
      <c r="H6891" s="18"/>
    </row>
    <row r="6892">
      <c r="C6892" s="18"/>
      <c r="D6892" s="19"/>
      <c r="E6892" s="57"/>
      <c r="H6892" s="18"/>
    </row>
    <row r="6893">
      <c r="C6893" s="18"/>
      <c r="D6893" s="19"/>
      <c r="E6893" s="57"/>
      <c r="H6893" s="18"/>
    </row>
    <row r="6894">
      <c r="C6894" s="18"/>
      <c r="D6894" s="19"/>
      <c r="E6894" s="57"/>
      <c r="H6894" s="18"/>
    </row>
    <row r="6895">
      <c r="C6895" s="18"/>
      <c r="D6895" s="19"/>
      <c r="E6895" s="57"/>
      <c r="H6895" s="18"/>
    </row>
    <row r="6896">
      <c r="C6896" s="18"/>
      <c r="D6896" s="19"/>
      <c r="E6896" s="57"/>
      <c r="H6896" s="18"/>
    </row>
    <row r="6897">
      <c r="C6897" s="18"/>
      <c r="D6897" s="19"/>
      <c r="E6897" s="57"/>
      <c r="H6897" s="18"/>
    </row>
    <row r="6898">
      <c r="C6898" s="18"/>
      <c r="D6898" s="19"/>
      <c r="E6898" s="57"/>
      <c r="H6898" s="18"/>
    </row>
    <row r="6899">
      <c r="C6899" s="18"/>
      <c r="D6899" s="19"/>
      <c r="E6899" s="57"/>
      <c r="H6899" s="18"/>
    </row>
    <row r="6900">
      <c r="C6900" s="18"/>
      <c r="D6900" s="19"/>
      <c r="E6900" s="57"/>
      <c r="H6900" s="18"/>
    </row>
    <row r="6901">
      <c r="C6901" s="18"/>
      <c r="D6901" s="19"/>
      <c r="E6901" s="57"/>
      <c r="H6901" s="18"/>
    </row>
    <row r="6902">
      <c r="C6902" s="18"/>
      <c r="D6902" s="19"/>
      <c r="E6902" s="57"/>
      <c r="H6902" s="18"/>
    </row>
    <row r="6903">
      <c r="C6903" s="18"/>
      <c r="D6903" s="19"/>
      <c r="E6903" s="57"/>
      <c r="H6903" s="18"/>
    </row>
    <row r="6904">
      <c r="C6904" s="18"/>
      <c r="D6904" s="19"/>
      <c r="E6904" s="57"/>
      <c r="H6904" s="18"/>
    </row>
    <row r="6905">
      <c r="C6905" s="18"/>
      <c r="D6905" s="19"/>
      <c r="E6905" s="57"/>
      <c r="H6905" s="18"/>
    </row>
    <row r="6906">
      <c r="C6906" s="18"/>
      <c r="D6906" s="19"/>
      <c r="E6906" s="57"/>
      <c r="H6906" s="18"/>
    </row>
    <row r="6907">
      <c r="C6907" s="18"/>
      <c r="D6907" s="19"/>
      <c r="E6907" s="57"/>
      <c r="H6907" s="18"/>
    </row>
    <row r="6908">
      <c r="C6908" s="18"/>
      <c r="D6908" s="19"/>
      <c r="E6908" s="57"/>
      <c r="H6908" s="18"/>
    </row>
    <row r="6909">
      <c r="C6909" s="18"/>
      <c r="D6909" s="19"/>
      <c r="E6909" s="57"/>
      <c r="H6909" s="18"/>
    </row>
    <row r="6910">
      <c r="C6910" s="18"/>
      <c r="D6910" s="19"/>
      <c r="E6910" s="57"/>
      <c r="H6910" s="18"/>
    </row>
    <row r="6911">
      <c r="C6911" s="18"/>
      <c r="D6911" s="19"/>
      <c r="E6911" s="57"/>
      <c r="H6911" s="18"/>
    </row>
    <row r="6912">
      <c r="C6912" s="18"/>
      <c r="D6912" s="19"/>
      <c r="E6912" s="57"/>
      <c r="H6912" s="18"/>
    </row>
    <row r="6913">
      <c r="C6913" s="18"/>
      <c r="D6913" s="19"/>
      <c r="E6913" s="57"/>
      <c r="H6913" s="18"/>
    </row>
    <row r="6914">
      <c r="C6914" s="18"/>
      <c r="D6914" s="19"/>
      <c r="E6914" s="57"/>
      <c r="H6914" s="18"/>
    </row>
    <row r="6915">
      <c r="C6915" s="18"/>
      <c r="D6915" s="19"/>
      <c r="E6915" s="57"/>
      <c r="H6915" s="18"/>
    </row>
    <row r="6916">
      <c r="C6916" s="18"/>
      <c r="D6916" s="19"/>
      <c r="E6916" s="57"/>
      <c r="H6916" s="18"/>
    </row>
    <row r="6917">
      <c r="C6917" s="18"/>
      <c r="D6917" s="19"/>
      <c r="E6917" s="57"/>
      <c r="H6917" s="18"/>
    </row>
    <row r="6918">
      <c r="C6918" s="18"/>
      <c r="D6918" s="19"/>
      <c r="E6918" s="57"/>
      <c r="H6918" s="18"/>
    </row>
    <row r="6919">
      <c r="C6919" s="18"/>
      <c r="D6919" s="19"/>
      <c r="E6919" s="57"/>
      <c r="H6919" s="18"/>
    </row>
    <row r="6920">
      <c r="C6920" s="18"/>
      <c r="D6920" s="19"/>
      <c r="E6920" s="57"/>
      <c r="H6920" s="18"/>
    </row>
    <row r="6921">
      <c r="C6921" s="18"/>
      <c r="D6921" s="19"/>
      <c r="E6921" s="57"/>
      <c r="H6921" s="18"/>
    </row>
    <row r="6922">
      <c r="C6922" s="18"/>
      <c r="D6922" s="19"/>
      <c r="E6922" s="57"/>
      <c r="H6922" s="18"/>
    </row>
    <row r="6923">
      <c r="C6923" s="18"/>
      <c r="D6923" s="19"/>
      <c r="E6923" s="57"/>
      <c r="H6923" s="18"/>
    </row>
    <row r="6924">
      <c r="C6924" s="18"/>
      <c r="D6924" s="19"/>
      <c r="E6924" s="57"/>
      <c r="H6924" s="18"/>
    </row>
    <row r="6925">
      <c r="C6925" s="18"/>
      <c r="D6925" s="19"/>
      <c r="E6925" s="57"/>
      <c r="H6925" s="18"/>
    </row>
    <row r="6926">
      <c r="C6926" s="18"/>
      <c r="D6926" s="19"/>
      <c r="E6926" s="57"/>
      <c r="H6926" s="18"/>
    </row>
    <row r="6927">
      <c r="C6927" s="18"/>
      <c r="D6927" s="19"/>
      <c r="E6927" s="57"/>
      <c r="H6927" s="18"/>
    </row>
    <row r="6928">
      <c r="C6928" s="18"/>
      <c r="D6928" s="19"/>
      <c r="E6928" s="57"/>
      <c r="H6928" s="18"/>
    </row>
    <row r="6929">
      <c r="C6929" s="18"/>
      <c r="D6929" s="19"/>
      <c r="E6929" s="57"/>
      <c r="H6929" s="18"/>
    </row>
    <row r="6930">
      <c r="C6930" s="18"/>
      <c r="D6930" s="19"/>
      <c r="E6930" s="57"/>
      <c r="H6930" s="18"/>
    </row>
    <row r="6931">
      <c r="C6931" s="18"/>
      <c r="D6931" s="19"/>
      <c r="E6931" s="57"/>
      <c r="H6931" s="18"/>
    </row>
    <row r="6932">
      <c r="C6932" s="18"/>
      <c r="D6932" s="19"/>
      <c r="E6932" s="57"/>
      <c r="H6932" s="18"/>
    </row>
    <row r="6933">
      <c r="C6933" s="18"/>
      <c r="D6933" s="19"/>
      <c r="E6933" s="57"/>
      <c r="H6933" s="18"/>
    </row>
    <row r="6934">
      <c r="C6934" s="18"/>
      <c r="D6934" s="19"/>
      <c r="E6934" s="57"/>
      <c r="H6934" s="18"/>
    </row>
    <row r="6935">
      <c r="C6935" s="18"/>
      <c r="D6935" s="19"/>
      <c r="E6935" s="57"/>
      <c r="H6935" s="18"/>
    </row>
    <row r="6936">
      <c r="C6936" s="18"/>
      <c r="D6936" s="19"/>
      <c r="E6936" s="57"/>
      <c r="H6936" s="18"/>
    </row>
    <row r="6937">
      <c r="C6937" s="18"/>
      <c r="D6937" s="19"/>
      <c r="E6937" s="57"/>
      <c r="H6937" s="18"/>
    </row>
    <row r="6938">
      <c r="C6938" s="18"/>
      <c r="D6938" s="19"/>
      <c r="E6938" s="57"/>
      <c r="H6938" s="18"/>
    </row>
    <row r="6939">
      <c r="C6939" s="18"/>
      <c r="D6939" s="19"/>
      <c r="E6939" s="57"/>
      <c r="H6939" s="18"/>
    </row>
    <row r="6940">
      <c r="C6940" s="18"/>
      <c r="D6940" s="19"/>
      <c r="E6940" s="57"/>
      <c r="H6940" s="18"/>
    </row>
    <row r="6941">
      <c r="C6941" s="18"/>
      <c r="D6941" s="19"/>
      <c r="E6941" s="57"/>
      <c r="H6941" s="18"/>
    </row>
    <row r="6942">
      <c r="C6942" s="18"/>
      <c r="D6942" s="19"/>
      <c r="E6942" s="57"/>
      <c r="H6942" s="18"/>
    </row>
    <row r="6943">
      <c r="C6943" s="18"/>
      <c r="D6943" s="19"/>
      <c r="E6943" s="57"/>
      <c r="H6943" s="18"/>
    </row>
    <row r="6944">
      <c r="C6944" s="18"/>
      <c r="D6944" s="19"/>
      <c r="E6944" s="57"/>
      <c r="H6944" s="18"/>
    </row>
    <row r="6945">
      <c r="C6945" s="18"/>
      <c r="D6945" s="19"/>
      <c r="E6945" s="57"/>
      <c r="H6945" s="18"/>
    </row>
    <row r="6946">
      <c r="C6946" s="18"/>
      <c r="D6946" s="19"/>
      <c r="E6946" s="57"/>
      <c r="H6946" s="18"/>
    </row>
    <row r="6947">
      <c r="C6947" s="18"/>
      <c r="D6947" s="19"/>
      <c r="E6947" s="57"/>
      <c r="H6947" s="18"/>
    </row>
    <row r="6948">
      <c r="C6948" s="18"/>
      <c r="D6948" s="19"/>
      <c r="E6948" s="57"/>
      <c r="H6948" s="18"/>
    </row>
    <row r="6949">
      <c r="C6949" s="18"/>
      <c r="D6949" s="19"/>
      <c r="E6949" s="57"/>
      <c r="H6949" s="18"/>
    </row>
    <row r="6950">
      <c r="C6950" s="18"/>
      <c r="D6950" s="19"/>
      <c r="E6950" s="57"/>
      <c r="H6950" s="18"/>
    </row>
    <row r="6951">
      <c r="C6951" s="18"/>
      <c r="D6951" s="19"/>
      <c r="E6951" s="57"/>
      <c r="H6951" s="18"/>
    </row>
    <row r="6952">
      <c r="C6952" s="18"/>
      <c r="D6952" s="19"/>
      <c r="E6952" s="57"/>
      <c r="H6952" s="18"/>
    </row>
    <row r="6953">
      <c r="C6953" s="18"/>
      <c r="D6953" s="19"/>
      <c r="E6953" s="57"/>
      <c r="H6953" s="18"/>
    </row>
    <row r="6954">
      <c r="C6954" s="18"/>
      <c r="D6954" s="19"/>
      <c r="E6954" s="57"/>
      <c r="H6954" s="18"/>
    </row>
    <row r="6955">
      <c r="C6955" s="18"/>
      <c r="D6955" s="19"/>
      <c r="E6955" s="57"/>
      <c r="H6955" s="18"/>
    </row>
    <row r="6956">
      <c r="C6956" s="18"/>
      <c r="D6956" s="19"/>
      <c r="E6956" s="57"/>
      <c r="H6956" s="18"/>
    </row>
    <row r="6957">
      <c r="C6957" s="18"/>
      <c r="D6957" s="19"/>
      <c r="E6957" s="57"/>
      <c r="H6957" s="18"/>
    </row>
    <row r="6958">
      <c r="C6958" s="18"/>
      <c r="D6958" s="19"/>
      <c r="E6958" s="57"/>
      <c r="H6958" s="18"/>
    </row>
    <row r="6959">
      <c r="C6959" s="18"/>
      <c r="D6959" s="19"/>
      <c r="E6959" s="57"/>
      <c r="H6959" s="18"/>
    </row>
    <row r="6960">
      <c r="C6960" s="18"/>
      <c r="D6960" s="19"/>
      <c r="E6960" s="57"/>
      <c r="H6960" s="18"/>
    </row>
    <row r="6961">
      <c r="C6961" s="18"/>
      <c r="D6961" s="19"/>
      <c r="E6961" s="57"/>
      <c r="H6961" s="18"/>
    </row>
    <row r="6962">
      <c r="C6962" s="18"/>
      <c r="D6962" s="19"/>
      <c r="E6962" s="57"/>
      <c r="H6962" s="18"/>
    </row>
    <row r="6963">
      <c r="C6963" s="18"/>
      <c r="D6963" s="19"/>
      <c r="E6963" s="57"/>
      <c r="H6963" s="18"/>
    </row>
    <row r="6964">
      <c r="C6964" s="18"/>
      <c r="D6964" s="19"/>
      <c r="E6964" s="57"/>
      <c r="H6964" s="18"/>
    </row>
    <row r="6965">
      <c r="C6965" s="18"/>
      <c r="D6965" s="19"/>
      <c r="E6965" s="57"/>
      <c r="H6965" s="18"/>
    </row>
    <row r="6966">
      <c r="C6966" s="18"/>
      <c r="D6966" s="19"/>
      <c r="E6966" s="57"/>
      <c r="H6966" s="18"/>
    </row>
    <row r="6967">
      <c r="C6967" s="18"/>
      <c r="D6967" s="19"/>
      <c r="E6967" s="57"/>
      <c r="H6967" s="18"/>
    </row>
    <row r="6968">
      <c r="C6968" s="18"/>
      <c r="D6968" s="19"/>
      <c r="E6968" s="57"/>
      <c r="H6968" s="18"/>
    </row>
    <row r="6969">
      <c r="C6969" s="18"/>
      <c r="D6969" s="19"/>
      <c r="E6969" s="57"/>
      <c r="H6969" s="18"/>
    </row>
    <row r="6970">
      <c r="C6970" s="18"/>
      <c r="D6970" s="19"/>
      <c r="E6970" s="57"/>
      <c r="H6970" s="18"/>
    </row>
    <row r="6971">
      <c r="C6971" s="18"/>
      <c r="D6971" s="19"/>
      <c r="E6971" s="57"/>
      <c r="H6971" s="18"/>
    </row>
    <row r="6972">
      <c r="C6972" s="18"/>
      <c r="D6972" s="19"/>
      <c r="E6972" s="57"/>
      <c r="H6972" s="18"/>
    </row>
    <row r="6973">
      <c r="C6973" s="18"/>
      <c r="D6973" s="19"/>
      <c r="E6973" s="57"/>
      <c r="H6973" s="18"/>
    </row>
    <row r="6974">
      <c r="C6974" s="18"/>
      <c r="D6974" s="19"/>
      <c r="E6974" s="57"/>
      <c r="H6974" s="18"/>
    </row>
    <row r="6975">
      <c r="C6975" s="18"/>
      <c r="D6975" s="19"/>
      <c r="E6975" s="57"/>
      <c r="H6975" s="18"/>
    </row>
    <row r="6976">
      <c r="C6976" s="18"/>
      <c r="D6976" s="19"/>
      <c r="E6976" s="57"/>
      <c r="H6976" s="18"/>
    </row>
    <row r="6977">
      <c r="C6977" s="18"/>
      <c r="D6977" s="19"/>
      <c r="E6977" s="57"/>
      <c r="H6977" s="18"/>
    </row>
    <row r="6978">
      <c r="C6978" s="18"/>
      <c r="D6978" s="19"/>
      <c r="E6978" s="57"/>
      <c r="H6978" s="18"/>
    </row>
    <row r="6979">
      <c r="C6979" s="18"/>
      <c r="D6979" s="19"/>
      <c r="E6979" s="57"/>
      <c r="H6979" s="18"/>
    </row>
    <row r="6980">
      <c r="C6980" s="18"/>
      <c r="D6980" s="19"/>
      <c r="E6980" s="57"/>
      <c r="H6980" s="18"/>
    </row>
    <row r="6981">
      <c r="C6981" s="18"/>
      <c r="D6981" s="19"/>
      <c r="E6981" s="57"/>
      <c r="H6981" s="18"/>
    </row>
    <row r="6982">
      <c r="C6982" s="18"/>
      <c r="D6982" s="19"/>
      <c r="E6982" s="57"/>
      <c r="H6982" s="18"/>
    </row>
    <row r="6983">
      <c r="C6983" s="18"/>
      <c r="D6983" s="19"/>
      <c r="E6983" s="57"/>
      <c r="H6983" s="18"/>
    </row>
    <row r="6984">
      <c r="C6984" s="18"/>
      <c r="D6984" s="19"/>
      <c r="E6984" s="57"/>
      <c r="H6984" s="18"/>
    </row>
    <row r="6985">
      <c r="C6985" s="18"/>
      <c r="D6985" s="19"/>
      <c r="E6985" s="57"/>
      <c r="H6985" s="18"/>
    </row>
    <row r="6986">
      <c r="C6986" s="18"/>
      <c r="D6986" s="19"/>
      <c r="E6986" s="57"/>
      <c r="H6986" s="18"/>
    </row>
    <row r="6987">
      <c r="C6987" s="18"/>
      <c r="D6987" s="19"/>
      <c r="E6987" s="57"/>
      <c r="H6987" s="18"/>
    </row>
    <row r="6988">
      <c r="C6988" s="18"/>
      <c r="D6988" s="19"/>
      <c r="E6988" s="57"/>
      <c r="H6988" s="18"/>
    </row>
    <row r="6989">
      <c r="C6989" s="18"/>
      <c r="D6989" s="19"/>
      <c r="E6989" s="57"/>
      <c r="H6989" s="18"/>
    </row>
    <row r="6990">
      <c r="C6990" s="18"/>
      <c r="D6990" s="19"/>
      <c r="E6990" s="57"/>
      <c r="H6990" s="18"/>
    </row>
    <row r="6991">
      <c r="C6991" s="18"/>
      <c r="D6991" s="19"/>
      <c r="E6991" s="57"/>
      <c r="H6991" s="18"/>
    </row>
    <row r="6992">
      <c r="C6992" s="18"/>
      <c r="D6992" s="19"/>
      <c r="E6992" s="57"/>
      <c r="H6992" s="18"/>
    </row>
    <row r="6993">
      <c r="C6993" s="18"/>
      <c r="D6993" s="19"/>
      <c r="E6993" s="57"/>
      <c r="H6993" s="18"/>
    </row>
    <row r="6994">
      <c r="C6994" s="18"/>
      <c r="D6994" s="19"/>
      <c r="E6994" s="57"/>
      <c r="H6994" s="18"/>
    </row>
    <row r="6995">
      <c r="C6995" s="18"/>
      <c r="D6995" s="19"/>
      <c r="E6995" s="57"/>
      <c r="H6995" s="18"/>
    </row>
    <row r="6996">
      <c r="C6996" s="18"/>
      <c r="D6996" s="19"/>
      <c r="E6996" s="57"/>
      <c r="H6996" s="18"/>
    </row>
    <row r="6997">
      <c r="C6997" s="18"/>
      <c r="D6997" s="19"/>
      <c r="E6997" s="57"/>
      <c r="H6997" s="18"/>
    </row>
    <row r="6998">
      <c r="C6998" s="18"/>
      <c r="D6998" s="19"/>
      <c r="E6998" s="57"/>
      <c r="H6998" s="18"/>
    </row>
    <row r="6999">
      <c r="C6999" s="18"/>
      <c r="D6999" s="19"/>
      <c r="E6999" s="57"/>
      <c r="H6999" s="18"/>
    </row>
    <row r="7000">
      <c r="C7000" s="18"/>
      <c r="D7000" s="19"/>
      <c r="E7000" s="57"/>
      <c r="H7000" s="18"/>
    </row>
    <row r="7001">
      <c r="C7001" s="18"/>
      <c r="D7001" s="19"/>
      <c r="E7001" s="57"/>
      <c r="H7001" s="18"/>
    </row>
    <row r="7002">
      <c r="C7002" s="18"/>
      <c r="D7002" s="19"/>
      <c r="E7002" s="57"/>
      <c r="H7002" s="18"/>
    </row>
    <row r="7003">
      <c r="C7003" s="18"/>
      <c r="D7003" s="19"/>
      <c r="E7003" s="57"/>
      <c r="H7003" s="18"/>
    </row>
    <row r="7004">
      <c r="C7004" s="18"/>
      <c r="D7004" s="19"/>
      <c r="E7004" s="57"/>
      <c r="H7004" s="18"/>
    </row>
    <row r="7005">
      <c r="C7005" s="18"/>
      <c r="D7005" s="19"/>
      <c r="E7005" s="57"/>
      <c r="H7005" s="18"/>
    </row>
    <row r="7006">
      <c r="C7006" s="18"/>
      <c r="D7006" s="19"/>
      <c r="E7006" s="57"/>
      <c r="H7006" s="18"/>
    </row>
    <row r="7007">
      <c r="C7007" s="18"/>
      <c r="D7007" s="19"/>
      <c r="E7007" s="57"/>
      <c r="H7007" s="18"/>
    </row>
    <row r="7008">
      <c r="C7008" s="18"/>
      <c r="D7008" s="19"/>
      <c r="E7008" s="57"/>
      <c r="H7008" s="18"/>
    </row>
    <row r="7009">
      <c r="C7009" s="18"/>
      <c r="D7009" s="19"/>
      <c r="E7009" s="57"/>
      <c r="H7009" s="18"/>
    </row>
    <row r="7010">
      <c r="C7010" s="18"/>
      <c r="D7010" s="19"/>
      <c r="E7010" s="57"/>
      <c r="H7010" s="18"/>
    </row>
    <row r="7011">
      <c r="C7011" s="18"/>
      <c r="D7011" s="19"/>
      <c r="E7011" s="57"/>
      <c r="H7011" s="18"/>
    </row>
    <row r="7012">
      <c r="C7012" s="18"/>
      <c r="D7012" s="19"/>
      <c r="E7012" s="57"/>
      <c r="H7012" s="18"/>
    </row>
    <row r="7013">
      <c r="C7013" s="18"/>
      <c r="D7013" s="19"/>
      <c r="E7013" s="57"/>
      <c r="H7013" s="18"/>
    </row>
    <row r="7014">
      <c r="C7014" s="18"/>
      <c r="D7014" s="19"/>
      <c r="E7014" s="57"/>
      <c r="H7014" s="18"/>
    </row>
    <row r="7015">
      <c r="C7015" s="18"/>
      <c r="D7015" s="19"/>
      <c r="E7015" s="57"/>
      <c r="H7015" s="18"/>
    </row>
    <row r="7016">
      <c r="C7016" s="18"/>
      <c r="D7016" s="19"/>
      <c r="E7016" s="57"/>
      <c r="H7016" s="18"/>
    </row>
    <row r="7017">
      <c r="C7017" s="18"/>
      <c r="D7017" s="19"/>
      <c r="E7017" s="57"/>
      <c r="H7017" s="18"/>
    </row>
    <row r="7018">
      <c r="C7018" s="18"/>
      <c r="D7018" s="19"/>
      <c r="E7018" s="57"/>
      <c r="H7018" s="18"/>
    </row>
    <row r="7019">
      <c r="C7019" s="18"/>
      <c r="D7019" s="19"/>
      <c r="E7019" s="57"/>
      <c r="H7019" s="18"/>
    </row>
    <row r="7020">
      <c r="C7020" s="18"/>
      <c r="D7020" s="19"/>
      <c r="E7020" s="57"/>
      <c r="H7020" s="18"/>
    </row>
    <row r="7021">
      <c r="C7021" s="18"/>
      <c r="D7021" s="19"/>
      <c r="E7021" s="57"/>
      <c r="H7021" s="18"/>
    </row>
    <row r="7022">
      <c r="C7022" s="18"/>
      <c r="D7022" s="19"/>
      <c r="E7022" s="57"/>
      <c r="H7022" s="18"/>
    </row>
    <row r="7023">
      <c r="C7023" s="18"/>
      <c r="D7023" s="19"/>
      <c r="E7023" s="57"/>
      <c r="H7023" s="18"/>
    </row>
    <row r="7024">
      <c r="C7024" s="18"/>
      <c r="D7024" s="19"/>
      <c r="E7024" s="57"/>
      <c r="H7024" s="18"/>
    </row>
    <row r="7025">
      <c r="C7025" s="18"/>
      <c r="D7025" s="19"/>
      <c r="E7025" s="57"/>
      <c r="H7025" s="18"/>
    </row>
    <row r="7026">
      <c r="C7026" s="18"/>
      <c r="D7026" s="19"/>
      <c r="E7026" s="57"/>
      <c r="H7026" s="18"/>
    </row>
    <row r="7027">
      <c r="C7027" s="18"/>
      <c r="D7027" s="19"/>
      <c r="E7027" s="57"/>
      <c r="H7027" s="18"/>
    </row>
    <row r="7028">
      <c r="C7028" s="18"/>
      <c r="D7028" s="19"/>
      <c r="E7028" s="57"/>
      <c r="H7028" s="18"/>
    </row>
    <row r="7029">
      <c r="C7029" s="18"/>
      <c r="D7029" s="19"/>
      <c r="E7029" s="57"/>
      <c r="H7029" s="18"/>
    </row>
    <row r="7030">
      <c r="C7030" s="18"/>
      <c r="D7030" s="19"/>
      <c r="E7030" s="57"/>
      <c r="H7030" s="18"/>
    </row>
    <row r="7031">
      <c r="C7031" s="18"/>
      <c r="D7031" s="19"/>
      <c r="E7031" s="57"/>
      <c r="H7031" s="18"/>
    </row>
    <row r="7032">
      <c r="C7032" s="18"/>
      <c r="D7032" s="19"/>
      <c r="E7032" s="57"/>
      <c r="H7032" s="18"/>
    </row>
    <row r="7033">
      <c r="C7033" s="18"/>
      <c r="D7033" s="19"/>
      <c r="E7033" s="57"/>
      <c r="H7033" s="18"/>
    </row>
    <row r="7034">
      <c r="C7034" s="18"/>
      <c r="D7034" s="19"/>
      <c r="E7034" s="57"/>
      <c r="H7034" s="18"/>
    </row>
    <row r="7035">
      <c r="C7035" s="18"/>
      <c r="D7035" s="19"/>
      <c r="E7035" s="57"/>
      <c r="H7035" s="18"/>
    </row>
    <row r="7036">
      <c r="C7036" s="18"/>
      <c r="D7036" s="19"/>
      <c r="E7036" s="57"/>
      <c r="H7036" s="18"/>
    </row>
    <row r="7037">
      <c r="C7037" s="18"/>
      <c r="D7037" s="19"/>
      <c r="E7037" s="57"/>
      <c r="H7037" s="18"/>
    </row>
    <row r="7038">
      <c r="C7038" s="18"/>
      <c r="D7038" s="19"/>
      <c r="E7038" s="57"/>
      <c r="H7038" s="18"/>
    </row>
    <row r="7039">
      <c r="C7039" s="18"/>
      <c r="D7039" s="19"/>
      <c r="E7039" s="57"/>
      <c r="H7039" s="18"/>
    </row>
    <row r="7040">
      <c r="C7040" s="18"/>
      <c r="D7040" s="19"/>
      <c r="E7040" s="57"/>
      <c r="H7040" s="18"/>
    </row>
    <row r="7041">
      <c r="C7041" s="18"/>
      <c r="D7041" s="19"/>
      <c r="E7041" s="57"/>
      <c r="H7041" s="18"/>
    </row>
    <row r="7042">
      <c r="C7042" s="18"/>
      <c r="D7042" s="19"/>
      <c r="E7042" s="57"/>
      <c r="H7042" s="18"/>
    </row>
    <row r="7043">
      <c r="C7043" s="18"/>
      <c r="D7043" s="19"/>
      <c r="E7043" s="57"/>
      <c r="H7043" s="18"/>
    </row>
    <row r="7044">
      <c r="C7044" s="18"/>
      <c r="D7044" s="19"/>
      <c r="E7044" s="57"/>
      <c r="H7044" s="18"/>
    </row>
    <row r="7045">
      <c r="C7045" s="18"/>
      <c r="D7045" s="19"/>
      <c r="E7045" s="57"/>
      <c r="H7045" s="18"/>
    </row>
    <row r="7046">
      <c r="C7046" s="18"/>
      <c r="D7046" s="19"/>
      <c r="E7046" s="57"/>
      <c r="H7046" s="18"/>
    </row>
    <row r="7047">
      <c r="C7047" s="18"/>
      <c r="D7047" s="19"/>
      <c r="E7047" s="57"/>
      <c r="H7047" s="18"/>
    </row>
    <row r="7048">
      <c r="C7048" s="18"/>
      <c r="D7048" s="19"/>
      <c r="E7048" s="57"/>
      <c r="H7048" s="18"/>
    </row>
    <row r="7049">
      <c r="C7049" s="18"/>
      <c r="D7049" s="19"/>
      <c r="E7049" s="57"/>
      <c r="H7049" s="18"/>
    </row>
    <row r="7050">
      <c r="C7050" s="18"/>
      <c r="D7050" s="19"/>
      <c r="E7050" s="57"/>
      <c r="H7050" s="18"/>
    </row>
    <row r="7051">
      <c r="C7051" s="18"/>
      <c r="D7051" s="19"/>
      <c r="E7051" s="57"/>
      <c r="H7051" s="18"/>
    </row>
    <row r="7052">
      <c r="C7052" s="18"/>
      <c r="D7052" s="19"/>
      <c r="E7052" s="57"/>
      <c r="H7052" s="18"/>
    </row>
    <row r="7053">
      <c r="C7053" s="18"/>
      <c r="D7053" s="19"/>
      <c r="E7053" s="57"/>
      <c r="H7053" s="18"/>
    </row>
    <row r="7054">
      <c r="C7054" s="18"/>
      <c r="D7054" s="19"/>
      <c r="E7054" s="57"/>
      <c r="H7054" s="18"/>
    </row>
    <row r="7055">
      <c r="C7055" s="18"/>
      <c r="D7055" s="19"/>
      <c r="E7055" s="57"/>
      <c r="H7055" s="18"/>
    </row>
    <row r="7056">
      <c r="C7056" s="18"/>
      <c r="D7056" s="19"/>
      <c r="E7056" s="57"/>
      <c r="H7056" s="18"/>
    </row>
    <row r="7057">
      <c r="C7057" s="18"/>
      <c r="D7057" s="19"/>
      <c r="E7057" s="57"/>
      <c r="H7057" s="18"/>
    </row>
    <row r="7058">
      <c r="C7058" s="18"/>
      <c r="D7058" s="19"/>
      <c r="E7058" s="57"/>
      <c r="H7058" s="18"/>
    </row>
    <row r="7059">
      <c r="C7059" s="18"/>
      <c r="D7059" s="19"/>
      <c r="E7059" s="57"/>
      <c r="H7059" s="18"/>
    </row>
    <row r="7060">
      <c r="C7060" s="18"/>
      <c r="D7060" s="19"/>
      <c r="E7060" s="57"/>
      <c r="H7060" s="18"/>
    </row>
    <row r="7061">
      <c r="C7061" s="18"/>
      <c r="D7061" s="19"/>
      <c r="E7061" s="57"/>
      <c r="H7061" s="18"/>
    </row>
    <row r="7062">
      <c r="C7062" s="18"/>
      <c r="D7062" s="19"/>
      <c r="E7062" s="57"/>
      <c r="H7062" s="18"/>
    </row>
    <row r="7063">
      <c r="C7063" s="18"/>
      <c r="D7063" s="19"/>
      <c r="E7063" s="57"/>
      <c r="H7063" s="18"/>
    </row>
    <row r="7064">
      <c r="C7064" s="18"/>
      <c r="D7064" s="19"/>
      <c r="E7064" s="57"/>
      <c r="H7064" s="18"/>
    </row>
    <row r="7065">
      <c r="C7065" s="18"/>
      <c r="D7065" s="19"/>
      <c r="E7065" s="57"/>
      <c r="H7065" s="18"/>
    </row>
    <row r="7066">
      <c r="C7066" s="18"/>
      <c r="D7066" s="19"/>
      <c r="E7066" s="57"/>
      <c r="H7066" s="18"/>
    </row>
    <row r="7067">
      <c r="C7067" s="18"/>
      <c r="D7067" s="19"/>
      <c r="E7067" s="57"/>
      <c r="H7067" s="18"/>
    </row>
    <row r="7068">
      <c r="C7068" s="18"/>
      <c r="D7068" s="19"/>
      <c r="E7068" s="57"/>
      <c r="H7068" s="18"/>
    </row>
    <row r="7069">
      <c r="C7069" s="18"/>
      <c r="D7069" s="19"/>
      <c r="E7069" s="57"/>
      <c r="H7069" s="18"/>
    </row>
    <row r="7070">
      <c r="C7070" s="18"/>
      <c r="D7070" s="19"/>
      <c r="E7070" s="57"/>
      <c r="H7070" s="18"/>
    </row>
    <row r="7071">
      <c r="C7071" s="18"/>
      <c r="D7071" s="19"/>
      <c r="E7071" s="57"/>
      <c r="H7071" s="18"/>
    </row>
    <row r="7072">
      <c r="C7072" s="18"/>
      <c r="D7072" s="19"/>
      <c r="E7072" s="57"/>
      <c r="H7072" s="18"/>
    </row>
    <row r="7073">
      <c r="C7073" s="18"/>
      <c r="D7073" s="19"/>
      <c r="E7073" s="57"/>
      <c r="H7073" s="18"/>
    </row>
    <row r="7074">
      <c r="C7074" s="18"/>
      <c r="D7074" s="19"/>
      <c r="E7074" s="57"/>
      <c r="H7074" s="18"/>
    </row>
    <row r="7075">
      <c r="C7075" s="18"/>
      <c r="D7075" s="19"/>
      <c r="E7075" s="57"/>
      <c r="H7075" s="18"/>
    </row>
    <row r="7076">
      <c r="C7076" s="18"/>
      <c r="D7076" s="19"/>
      <c r="E7076" s="57"/>
      <c r="H7076" s="18"/>
    </row>
    <row r="7077">
      <c r="C7077" s="18"/>
      <c r="D7077" s="19"/>
      <c r="E7077" s="57"/>
      <c r="H7077" s="18"/>
    </row>
    <row r="7078">
      <c r="C7078" s="18"/>
      <c r="D7078" s="19"/>
      <c r="E7078" s="57"/>
      <c r="H7078" s="18"/>
    </row>
    <row r="7079">
      <c r="C7079" s="18"/>
      <c r="D7079" s="19"/>
      <c r="E7079" s="57"/>
      <c r="H7079" s="18"/>
    </row>
    <row r="7080">
      <c r="C7080" s="18"/>
      <c r="D7080" s="19"/>
      <c r="E7080" s="57"/>
      <c r="H7080" s="18"/>
    </row>
    <row r="7081">
      <c r="C7081" s="18"/>
      <c r="D7081" s="19"/>
      <c r="E7081" s="57"/>
      <c r="H7081" s="18"/>
    </row>
    <row r="7082">
      <c r="C7082" s="18"/>
      <c r="D7082" s="19"/>
      <c r="E7082" s="57"/>
      <c r="H7082" s="18"/>
    </row>
    <row r="7083">
      <c r="C7083" s="18"/>
      <c r="D7083" s="19"/>
      <c r="E7083" s="57"/>
      <c r="H7083" s="18"/>
    </row>
    <row r="7084">
      <c r="C7084" s="18"/>
      <c r="D7084" s="19"/>
      <c r="E7084" s="57"/>
      <c r="H7084" s="18"/>
    </row>
    <row r="7085">
      <c r="C7085" s="18"/>
      <c r="D7085" s="19"/>
      <c r="E7085" s="57"/>
      <c r="H7085" s="18"/>
    </row>
    <row r="7086">
      <c r="C7086" s="18"/>
      <c r="D7086" s="19"/>
      <c r="E7086" s="57"/>
      <c r="H7086" s="18"/>
    </row>
    <row r="7087">
      <c r="C7087" s="18"/>
      <c r="D7087" s="19"/>
      <c r="E7087" s="57"/>
      <c r="H7087" s="18"/>
    </row>
    <row r="7088">
      <c r="C7088" s="18"/>
      <c r="D7088" s="19"/>
      <c r="E7088" s="57"/>
      <c r="H7088" s="18"/>
    </row>
    <row r="7089">
      <c r="C7089" s="18"/>
      <c r="D7089" s="19"/>
      <c r="E7089" s="57"/>
      <c r="H7089" s="18"/>
    </row>
    <row r="7090">
      <c r="C7090" s="18"/>
      <c r="D7090" s="19"/>
      <c r="E7090" s="57"/>
      <c r="H7090" s="18"/>
    </row>
    <row r="7091">
      <c r="C7091" s="18"/>
      <c r="D7091" s="19"/>
      <c r="E7091" s="57"/>
      <c r="H7091" s="18"/>
    </row>
    <row r="7092">
      <c r="C7092" s="18"/>
      <c r="D7092" s="19"/>
      <c r="E7092" s="57"/>
      <c r="H7092" s="18"/>
    </row>
    <row r="7093">
      <c r="C7093" s="18"/>
      <c r="D7093" s="19"/>
      <c r="E7093" s="57"/>
      <c r="H7093" s="18"/>
    </row>
    <row r="7094">
      <c r="C7094" s="18"/>
      <c r="D7094" s="19"/>
      <c r="E7094" s="57"/>
      <c r="H7094" s="18"/>
    </row>
    <row r="7095">
      <c r="C7095" s="18"/>
      <c r="D7095" s="19"/>
      <c r="E7095" s="57"/>
      <c r="H7095" s="18"/>
    </row>
    <row r="7096">
      <c r="C7096" s="18"/>
      <c r="D7096" s="19"/>
      <c r="E7096" s="57"/>
      <c r="H7096" s="18"/>
    </row>
    <row r="7097">
      <c r="C7097" s="18"/>
      <c r="D7097" s="19"/>
      <c r="E7097" s="57"/>
      <c r="H7097" s="18"/>
    </row>
    <row r="7098">
      <c r="C7098" s="18"/>
      <c r="D7098" s="19"/>
      <c r="E7098" s="57"/>
      <c r="H7098" s="18"/>
    </row>
    <row r="7099">
      <c r="C7099" s="18"/>
      <c r="D7099" s="19"/>
      <c r="E7099" s="57"/>
      <c r="H7099" s="18"/>
    </row>
    <row r="7100">
      <c r="C7100" s="18"/>
      <c r="D7100" s="19"/>
      <c r="E7100" s="57"/>
      <c r="H7100" s="18"/>
    </row>
    <row r="7101">
      <c r="C7101" s="18"/>
      <c r="D7101" s="19"/>
      <c r="E7101" s="57"/>
      <c r="H7101" s="18"/>
    </row>
    <row r="7102">
      <c r="C7102" s="18"/>
      <c r="D7102" s="19"/>
      <c r="E7102" s="57"/>
      <c r="H7102" s="18"/>
    </row>
    <row r="7103">
      <c r="C7103" s="18"/>
      <c r="D7103" s="19"/>
      <c r="E7103" s="57"/>
      <c r="H7103" s="18"/>
    </row>
    <row r="7104">
      <c r="C7104" s="18"/>
      <c r="D7104" s="19"/>
      <c r="E7104" s="57"/>
      <c r="H7104" s="18"/>
    </row>
    <row r="7105">
      <c r="C7105" s="18"/>
      <c r="D7105" s="19"/>
      <c r="E7105" s="57"/>
      <c r="H7105" s="18"/>
    </row>
    <row r="7106">
      <c r="C7106" s="18"/>
      <c r="D7106" s="19"/>
      <c r="E7106" s="57"/>
      <c r="H7106" s="18"/>
    </row>
    <row r="7107">
      <c r="C7107" s="18"/>
      <c r="D7107" s="19"/>
      <c r="E7107" s="57"/>
      <c r="H7107" s="18"/>
    </row>
    <row r="7108">
      <c r="C7108" s="18"/>
      <c r="D7108" s="19"/>
      <c r="E7108" s="57"/>
      <c r="H7108" s="18"/>
    </row>
    <row r="7109">
      <c r="C7109" s="18"/>
      <c r="D7109" s="19"/>
      <c r="E7109" s="57"/>
      <c r="H7109" s="18"/>
    </row>
    <row r="7110">
      <c r="C7110" s="18"/>
      <c r="D7110" s="19"/>
      <c r="E7110" s="57"/>
      <c r="H7110" s="18"/>
    </row>
    <row r="7111">
      <c r="C7111" s="18"/>
      <c r="D7111" s="19"/>
      <c r="E7111" s="57"/>
      <c r="H7111" s="18"/>
    </row>
    <row r="7112">
      <c r="C7112" s="18"/>
      <c r="D7112" s="19"/>
      <c r="E7112" s="57"/>
      <c r="H7112" s="18"/>
    </row>
    <row r="7113">
      <c r="C7113" s="18"/>
      <c r="D7113" s="19"/>
      <c r="E7113" s="57"/>
      <c r="H7113" s="18"/>
    </row>
    <row r="7114">
      <c r="C7114" s="18"/>
      <c r="D7114" s="19"/>
      <c r="E7114" s="57"/>
      <c r="H7114" s="18"/>
    </row>
    <row r="7115">
      <c r="C7115" s="18"/>
      <c r="D7115" s="19"/>
      <c r="E7115" s="57"/>
      <c r="H7115" s="18"/>
    </row>
    <row r="7116">
      <c r="C7116" s="18"/>
      <c r="D7116" s="19"/>
      <c r="E7116" s="57"/>
      <c r="H7116" s="18"/>
    </row>
    <row r="7117">
      <c r="C7117" s="18"/>
      <c r="D7117" s="19"/>
      <c r="E7117" s="57"/>
      <c r="H7117" s="18"/>
    </row>
    <row r="7118">
      <c r="C7118" s="18"/>
      <c r="D7118" s="19"/>
      <c r="E7118" s="57"/>
      <c r="H7118" s="18"/>
    </row>
    <row r="7119">
      <c r="C7119" s="18"/>
      <c r="D7119" s="19"/>
      <c r="E7119" s="57"/>
      <c r="H7119" s="18"/>
    </row>
    <row r="7120">
      <c r="C7120" s="18"/>
      <c r="D7120" s="19"/>
      <c r="E7120" s="57"/>
      <c r="H7120" s="18"/>
    </row>
    <row r="7121">
      <c r="C7121" s="18"/>
      <c r="D7121" s="19"/>
      <c r="E7121" s="57"/>
      <c r="H7121" s="18"/>
    </row>
    <row r="7122">
      <c r="C7122" s="18"/>
      <c r="D7122" s="19"/>
      <c r="E7122" s="57"/>
      <c r="H7122" s="18"/>
    </row>
    <row r="7123">
      <c r="C7123" s="18"/>
      <c r="D7123" s="19"/>
      <c r="E7123" s="57"/>
      <c r="H7123" s="18"/>
    </row>
    <row r="7124">
      <c r="C7124" s="18"/>
      <c r="D7124" s="19"/>
      <c r="E7124" s="57"/>
      <c r="H7124" s="18"/>
    </row>
    <row r="7125">
      <c r="C7125" s="18"/>
      <c r="D7125" s="19"/>
      <c r="E7125" s="57"/>
      <c r="H7125" s="18"/>
    </row>
    <row r="7126">
      <c r="C7126" s="18"/>
      <c r="D7126" s="19"/>
      <c r="E7126" s="57"/>
      <c r="H7126" s="18"/>
    </row>
    <row r="7127">
      <c r="C7127" s="18"/>
      <c r="D7127" s="19"/>
      <c r="E7127" s="57"/>
      <c r="H7127" s="18"/>
    </row>
    <row r="7128">
      <c r="C7128" s="18"/>
      <c r="D7128" s="19"/>
      <c r="E7128" s="57"/>
      <c r="H7128" s="18"/>
    </row>
    <row r="7129">
      <c r="C7129" s="18"/>
      <c r="D7129" s="19"/>
      <c r="E7129" s="57"/>
      <c r="H7129" s="18"/>
    </row>
    <row r="7130">
      <c r="C7130" s="18"/>
      <c r="D7130" s="19"/>
      <c r="E7130" s="57"/>
      <c r="H7130" s="18"/>
    </row>
    <row r="7131">
      <c r="C7131" s="18"/>
      <c r="D7131" s="19"/>
      <c r="E7131" s="57"/>
      <c r="H7131" s="18"/>
    </row>
    <row r="7132">
      <c r="C7132" s="18"/>
      <c r="D7132" s="19"/>
      <c r="E7132" s="57"/>
      <c r="H7132" s="18"/>
    </row>
    <row r="7133">
      <c r="C7133" s="18"/>
      <c r="D7133" s="19"/>
      <c r="E7133" s="57"/>
      <c r="H7133" s="18"/>
    </row>
    <row r="7134">
      <c r="C7134" s="18"/>
      <c r="D7134" s="19"/>
      <c r="E7134" s="57"/>
      <c r="H7134" s="18"/>
    </row>
    <row r="7135">
      <c r="C7135" s="18"/>
      <c r="D7135" s="19"/>
      <c r="E7135" s="57"/>
      <c r="H7135" s="18"/>
    </row>
    <row r="7136">
      <c r="C7136" s="18"/>
      <c r="D7136" s="19"/>
      <c r="E7136" s="57"/>
      <c r="H7136" s="18"/>
    </row>
    <row r="7137">
      <c r="C7137" s="18"/>
      <c r="D7137" s="19"/>
      <c r="E7137" s="57"/>
      <c r="H7137" s="18"/>
    </row>
    <row r="7138">
      <c r="C7138" s="18"/>
      <c r="D7138" s="19"/>
      <c r="E7138" s="57"/>
      <c r="H7138" s="18"/>
    </row>
    <row r="7139">
      <c r="C7139" s="18"/>
      <c r="D7139" s="19"/>
      <c r="E7139" s="57"/>
      <c r="H7139" s="18"/>
    </row>
    <row r="7140">
      <c r="C7140" s="18"/>
      <c r="D7140" s="19"/>
      <c r="E7140" s="57"/>
      <c r="H7140" s="18"/>
    </row>
    <row r="7141">
      <c r="C7141" s="18"/>
      <c r="D7141" s="19"/>
      <c r="E7141" s="57"/>
      <c r="H7141" s="18"/>
    </row>
    <row r="7142">
      <c r="C7142" s="18"/>
      <c r="D7142" s="19"/>
      <c r="E7142" s="57"/>
      <c r="H7142" s="18"/>
    </row>
    <row r="7143">
      <c r="C7143" s="18"/>
      <c r="D7143" s="19"/>
      <c r="E7143" s="57"/>
      <c r="H7143" s="18"/>
    </row>
    <row r="7144">
      <c r="C7144" s="18"/>
      <c r="D7144" s="19"/>
      <c r="E7144" s="57"/>
      <c r="H7144" s="18"/>
    </row>
    <row r="7145">
      <c r="C7145" s="18"/>
      <c r="D7145" s="19"/>
      <c r="E7145" s="57"/>
      <c r="H7145" s="18"/>
    </row>
    <row r="7146">
      <c r="C7146" s="18"/>
      <c r="D7146" s="19"/>
      <c r="E7146" s="57"/>
      <c r="H7146" s="18"/>
    </row>
    <row r="7147">
      <c r="C7147" s="18"/>
      <c r="D7147" s="19"/>
      <c r="E7147" s="57"/>
      <c r="H7147" s="18"/>
    </row>
    <row r="7148">
      <c r="C7148" s="18"/>
      <c r="D7148" s="19"/>
      <c r="E7148" s="57"/>
      <c r="H7148" s="18"/>
    </row>
    <row r="7149">
      <c r="C7149" s="18"/>
      <c r="D7149" s="19"/>
      <c r="E7149" s="57"/>
      <c r="H7149" s="18"/>
    </row>
    <row r="7150">
      <c r="C7150" s="18"/>
      <c r="D7150" s="19"/>
      <c r="E7150" s="57"/>
      <c r="H7150" s="18"/>
    </row>
    <row r="7151">
      <c r="C7151" s="18"/>
      <c r="D7151" s="19"/>
      <c r="E7151" s="57"/>
      <c r="H7151" s="18"/>
    </row>
    <row r="7152">
      <c r="C7152" s="18"/>
      <c r="D7152" s="19"/>
      <c r="E7152" s="57"/>
      <c r="H7152" s="18"/>
    </row>
    <row r="7153">
      <c r="C7153" s="18"/>
      <c r="D7153" s="19"/>
      <c r="E7153" s="57"/>
      <c r="H7153" s="18"/>
    </row>
    <row r="7154">
      <c r="C7154" s="18"/>
      <c r="D7154" s="19"/>
      <c r="E7154" s="57"/>
      <c r="H7154" s="18"/>
    </row>
    <row r="7155">
      <c r="C7155" s="18"/>
      <c r="D7155" s="19"/>
      <c r="E7155" s="57"/>
      <c r="H7155" s="18"/>
    </row>
    <row r="7156">
      <c r="C7156" s="18"/>
      <c r="D7156" s="19"/>
      <c r="E7156" s="57"/>
      <c r="H7156" s="18"/>
    </row>
    <row r="7157">
      <c r="C7157" s="18"/>
      <c r="D7157" s="19"/>
      <c r="E7157" s="57"/>
      <c r="H7157" s="18"/>
    </row>
    <row r="7158">
      <c r="C7158" s="18"/>
      <c r="D7158" s="19"/>
      <c r="E7158" s="57"/>
      <c r="H7158" s="18"/>
    </row>
    <row r="7159">
      <c r="C7159" s="18"/>
      <c r="D7159" s="19"/>
      <c r="E7159" s="57"/>
      <c r="H7159" s="18"/>
    </row>
    <row r="7160">
      <c r="C7160" s="18"/>
      <c r="D7160" s="19"/>
      <c r="E7160" s="57"/>
      <c r="H7160" s="18"/>
    </row>
    <row r="7161">
      <c r="C7161" s="18"/>
      <c r="D7161" s="19"/>
      <c r="E7161" s="57"/>
      <c r="H7161" s="18"/>
    </row>
    <row r="7162">
      <c r="C7162" s="18"/>
      <c r="D7162" s="19"/>
      <c r="E7162" s="57"/>
      <c r="H7162" s="18"/>
    </row>
    <row r="7163">
      <c r="C7163" s="18"/>
      <c r="D7163" s="19"/>
      <c r="E7163" s="57"/>
      <c r="H7163" s="18"/>
    </row>
    <row r="7164">
      <c r="C7164" s="18"/>
      <c r="D7164" s="19"/>
      <c r="E7164" s="57"/>
      <c r="H7164" s="18"/>
    </row>
    <row r="7165">
      <c r="C7165" s="18"/>
      <c r="D7165" s="19"/>
      <c r="E7165" s="57"/>
      <c r="H7165" s="18"/>
    </row>
    <row r="7166">
      <c r="C7166" s="18"/>
      <c r="D7166" s="19"/>
      <c r="E7166" s="57"/>
      <c r="H7166" s="18"/>
    </row>
    <row r="7167">
      <c r="C7167" s="18"/>
      <c r="D7167" s="19"/>
      <c r="E7167" s="57"/>
      <c r="H7167" s="18"/>
    </row>
    <row r="7168">
      <c r="C7168" s="18"/>
      <c r="D7168" s="19"/>
      <c r="E7168" s="57"/>
      <c r="H7168" s="18"/>
    </row>
    <row r="7169">
      <c r="C7169" s="18"/>
      <c r="D7169" s="19"/>
      <c r="E7169" s="57"/>
      <c r="H7169" s="18"/>
    </row>
    <row r="7170">
      <c r="C7170" s="18"/>
      <c r="D7170" s="19"/>
      <c r="E7170" s="57"/>
      <c r="H7170" s="18"/>
    </row>
    <row r="7171">
      <c r="C7171" s="18"/>
      <c r="D7171" s="19"/>
      <c r="E7171" s="57"/>
      <c r="H7171" s="18"/>
    </row>
    <row r="7172">
      <c r="C7172" s="18"/>
      <c r="D7172" s="19"/>
      <c r="E7172" s="57"/>
      <c r="H7172" s="18"/>
    </row>
    <row r="7173">
      <c r="C7173" s="18"/>
      <c r="D7173" s="19"/>
      <c r="E7173" s="57"/>
      <c r="H7173" s="18"/>
    </row>
    <row r="7174">
      <c r="C7174" s="18"/>
      <c r="D7174" s="19"/>
      <c r="E7174" s="57"/>
      <c r="H7174" s="18"/>
    </row>
    <row r="7175">
      <c r="C7175" s="18"/>
      <c r="D7175" s="19"/>
      <c r="E7175" s="57"/>
      <c r="H7175" s="18"/>
    </row>
    <row r="7176">
      <c r="C7176" s="18"/>
      <c r="D7176" s="19"/>
      <c r="E7176" s="57"/>
      <c r="H7176" s="18"/>
    </row>
    <row r="7177">
      <c r="C7177" s="18"/>
      <c r="D7177" s="19"/>
      <c r="E7177" s="57"/>
      <c r="H7177" s="18"/>
    </row>
    <row r="7178">
      <c r="C7178" s="18"/>
      <c r="D7178" s="19"/>
      <c r="E7178" s="57"/>
      <c r="H7178" s="18"/>
    </row>
    <row r="7179">
      <c r="C7179" s="18"/>
      <c r="D7179" s="19"/>
      <c r="E7179" s="57"/>
      <c r="H7179" s="18"/>
    </row>
    <row r="7180">
      <c r="C7180" s="18"/>
      <c r="D7180" s="19"/>
      <c r="E7180" s="57"/>
      <c r="H7180" s="18"/>
    </row>
    <row r="7181">
      <c r="C7181" s="18"/>
      <c r="D7181" s="19"/>
      <c r="E7181" s="57"/>
      <c r="H7181" s="18"/>
    </row>
    <row r="7182">
      <c r="C7182" s="18"/>
      <c r="D7182" s="19"/>
      <c r="E7182" s="57"/>
      <c r="H7182" s="18"/>
    </row>
    <row r="7183">
      <c r="C7183" s="18"/>
      <c r="D7183" s="19"/>
      <c r="E7183" s="57"/>
      <c r="H7183" s="18"/>
    </row>
    <row r="7184">
      <c r="C7184" s="18"/>
      <c r="D7184" s="19"/>
      <c r="E7184" s="57"/>
      <c r="H7184" s="18"/>
    </row>
    <row r="7185">
      <c r="C7185" s="18"/>
      <c r="D7185" s="19"/>
      <c r="E7185" s="57"/>
      <c r="H7185" s="18"/>
    </row>
    <row r="7186">
      <c r="C7186" s="18"/>
      <c r="D7186" s="19"/>
      <c r="E7186" s="57"/>
      <c r="H7186" s="18"/>
    </row>
    <row r="7187">
      <c r="C7187" s="18"/>
      <c r="D7187" s="19"/>
      <c r="E7187" s="57"/>
      <c r="H7187" s="18"/>
    </row>
    <row r="7188">
      <c r="C7188" s="18"/>
      <c r="D7188" s="19"/>
      <c r="E7188" s="57"/>
      <c r="H7188" s="18"/>
    </row>
    <row r="7189">
      <c r="C7189" s="18"/>
      <c r="D7189" s="19"/>
      <c r="E7189" s="57"/>
      <c r="H7189" s="18"/>
    </row>
    <row r="7190">
      <c r="C7190" s="18"/>
      <c r="D7190" s="19"/>
      <c r="E7190" s="57"/>
      <c r="H7190" s="18"/>
    </row>
    <row r="7191">
      <c r="C7191" s="18"/>
      <c r="D7191" s="19"/>
      <c r="E7191" s="57"/>
      <c r="H7191" s="18"/>
    </row>
    <row r="7192">
      <c r="C7192" s="18"/>
      <c r="D7192" s="19"/>
      <c r="E7192" s="57"/>
      <c r="H7192" s="18"/>
    </row>
    <row r="7193">
      <c r="C7193" s="18"/>
      <c r="D7193" s="19"/>
      <c r="E7193" s="57"/>
      <c r="H7193" s="18"/>
    </row>
    <row r="7194">
      <c r="C7194" s="18"/>
      <c r="D7194" s="19"/>
      <c r="E7194" s="57"/>
      <c r="H7194" s="18"/>
    </row>
    <row r="7195">
      <c r="C7195" s="18"/>
      <c r="D7195" s="19"/>
      <c r="E7195" s="57"/>
      <c r="H7195" s="18"/>
    </row>
    <row r="7196">
      <c r="C7196" s="18"/>
      <c r="D7196" s="19"/>
      <c r="E7196" s="57"/>
      <c r="H7196" s="18"/>
    </row>
    <row r="7197">
      <c r="C7197" s="18"/>
      <c r="D7197" s="19"/>
      <c r="E7197" s="57"/>
      <c r="H7197" s="18"/>
    </row>
    <row r="7198">
      <c r="C7198" s="18"/>
      <c r="D7198" s="19"/>
      <c r="E7198" s="57"/>
      <c r="H7198" s="18"/>
    </row>
    <row r="7199">
      <c r="C7199" s="18"/>
      <c r="D7199" s="19"/>
      <c r="E7199" s="57"/>
      <c r="H7199" s="18"/>
    </row>
    <row r="7200">
      <c r="C7200" s="18"/>
      <c r="D7200" s="19"/>
      <c r="E7200" s="57"/>
      <c r="H7200" s="18"/>
    </row>
    <row r="7201">
      <c r="C7201" s="18"/>
      <c r="D7201" s="19"/>
      <c r="E7201" s="57"/>
      <c r="H7201" s="18"/>
    </row>
    <row r="7202">
      <c r="C7202" s="18"/>
      <c r="D7202" s="19"/>
      <c r="E7202" s="57"/>
      <c r="H7202" s="18"/>
    </row>
    <row r="7203">
      <c r="C7203" s="18"/>
      <c r="D7203" s="19"/>
      <c r="E7203" s="57"/>
      <c r="H7203" s="18"/>
    </row>
    <row r="7204">
      <c r="C7204" s="18"/>
      <c r="D7204" s="19"/>
      <c r="E7204" s="57"/>
      <c r="H7204" s="18"/>
    </row>
    <row r="7205">
      <c r="C7205" s="18"/>
      <c r="D7205" s="19"/>
      <c r="E7205" s="57"/>
      <c r="H7205" s="18"/>
    </row>
    <row r="7206">
      <c r="C7206" s="18"/>
      <c r="D7206" s="19"/>
      <c r="E7206" s="57"/>
      <c r="H7206" s="18"/>
    </row>
    <row r="7207">
      <c r="C7207" s="18"/>
      <c r="D7207" s="19"/>
      <c r="E7207" s="57"/>
      <c r="H7207" s="18"/>
    </row>
    <row r="7208">
      <c r="C7208" s="18"/>
      <c r="D7208" s="19"/>
      <c r="E7208" s="57"/>
      <c r="H7208" s="18"/>
    </row>
    <row r="7209">
      <c r="C7209" s="18"/>
      <c r="D7209" s="19"/>
      <c r="E7209" s="57"/>
      <c r="H7209" s="18"/>
    </row>
    <row r="7210">
      <c r="C7210" s="18"/>
      <c r="D7210" s="19"/>
      <c r="E7210" s="57"/>
      <c r="H7210" s="18"/>
    </row>
    <row r="7211">
      <c r="C7211" s="18"/>
      <c r="D7211" s="19"/>
      <c r="E7211" s="57"/>
      <c r="H7211" s="18"/>
    </row>
    <row r="7212">
      <c r="C7212" s="18"/>
      <c r="D7212" s="19"/>
      <c r="E7212" s="57"/>
      <c r="H7212" s="18"/>
    </row>
    <row r="7213">
      <c r="C7213" s="18"/>
      <c r="D7213" s="19"/>
      <c r="E7213" s="57"/>
      <c r="H7213" s="18"/>
    </row>
    <row r="7214">
      <c r="C7214" s="18"/>
      <c r="D7214" s="19"/>
      <c r="E7214" s="57"/>
      <c r="H7214" s="18"/>
    </row>
    <row r="7215">
      <c r="C7215" s="18"/>
      <c r="D7215" s="19"/>
      <c r="E7215" s="57"/>
      <c r="H7215" s="18"/>
    </row>
    <row r="7216">
      <c r="C7216" s="18"/>
      <c r="D7216" s="19"/>
      <c r="E7216" s="57"/>
      <c r="H7216" s="18"/>
    </row>
    <row r="7217">
      <c r="C7217" s="18"/>
      <c r="D7217" s="19"/>
      <c r="E7217" s="57"/>
      <c r="H7217" s="18"/>
    </row>
    <row r="7218">
      <c r="C7218" s="18"/>
      <c r="D7218" s="19"/>
      <c r="E7218" s="57"/>
      <c r="H7218" s="18"/>
    </row>
    <row r="7219">
      <c r="C7219" s="18"/>
      <c r="D7219" s="19"/>
      <c r="E7219" s="57"/>
      <c r="H7219" s="18"/>
    </row>
    <row r="7220">
      <c r="C7220" s="18"/>
      <c r="D7220" s="19"/>
      <c r="E7220" s="57"/>
      <c r="H7220" s="18"/>
    </row>
    <row r="7221">
      <c r="C7221" s="18"/>
      <c r="D7221" s="19"/>
      <c r="E7221" s="57"/>
      <c r="H7221" s="18"/>
    </row>
    <row r="7222">
      <c r="C7222" s="18"/>
      <c r="D7222" s="19"/>
      <c r="E7222" s="57"/>
      <c r="H7222" s="18"/>
    </row>
    <row r="7223">
      <c r="C7223" s="18"/>
      <c r="D7223" s="19"/>
      <c r="E7223" s="57"/>
      <c r="H7223" s="18"/>
    </row>
    <row r="7224">
      <c r="C7224" s="18"/>
      <c r="D7224" s="19"/>
      <c r="E7224" s="57"/>
      <c r="H7224" s="18"/>
    </row>
    <row r="7225">
      <c r="C7225" s="18"/>
      <c r="D7225" s="19"/>
      <c r="E7225" s="57"/>
      <c r="H7225" s="18"/>
    </row>
    <row r="7226">
      <c r="C7226" s="18"/>
      <c r="D7226" s="19"/>
      <c r="E7226" s="57"/>
      <c r="H7226" s="18"/>
    </row>
    <row r="7227">
      <c r="C7227" s="18"/>
      <c r="D7227" s="19"/>
      <c r="E7227" s="57"/>
      <c r="H7227" s="18"/>
    </row>
    <row r="7228">
      <c r="C7228" s="18"/>
      <c r="D7228" s="19"/>
      <c r="E7228" s="57"/>
      <c r="H7228" s="18"/>
    </row>
    <row r="7229">
      <c r="C7229" s="18"/>
      <c r="D7229" s="19"/>
      <c r="E7229" s="57"/>
      <c r="H7229" s="18"/>
    </row>
    <row r="7230">
      <c r="C7230" s="18"/>
      <c r="D7230" s="19"/>
      <c r="E7230" s="57"/>
      <c r="H7230" s="18"/>
    </row>
    <row r="7231">
      <c r="C7231" s="18"/>
      <c r="D7231" s="19"/>
      <c r="E7231" s="57"/>
      <c r="H7231" s="18"/>
    </row>
    <row r="7232">
      <c r="C7232" s="18"/>
      <c r="D7232" s="19"/>
      <c r="E7232" s="57"/>
      <c r="H7232" s="18"/>
    </row>
    <row r="7233">
      <c r="C7233" s="18"/>
      <c r="D7233" s="19"/>
      <c r="E7233" s="57"/>
      <c r="H7233" s="18"/>
    </row>
    <row r="7234">
      <c r="C7234" s="18"/>
      <c r="D7234" s="19"/>
      <c r="E7234" s="57"/>
      <c r="H7234" s="18"/>
    </row>
    <row r="7235">
      <c r="C7235" s="18"/>
      <c r="D7235" s="19"/>
      <c r="E7235" s="57"/>
      <c r="H7235" s="18"/>
    </row>
    <row r="7236">
      <c r="C7236" s="18"/>
      <c r="D7236" s="19"/>
      <c r="E7236" s="57"/>
      <c r="H7236" s="18"/>
    </row>
    <row r="7237">
      <c r="C7237" s="18"/>
      <c r="D7237" s="19"/>
      <c r="E7237" s="57"/>
      <c r="H7237" s="18"/>
    </row>
    <row r="7238">
      <c r="C7238" s="18"/>
      <c r="D7238" s="19"/>
      <c r="E7238" s="57"/>
      <c r="H7238" s="18"/>
    </row>
    <row r="7239">
      <c r="C7239" s="18"/>
      <c r="D7239" s="19"/>
      <c r="E7239" s="57"/>
      <c r="H7239" s="18"/>
    </row>
    <row r="7240">
      <c r="C7240" s="18"/>
      <c r="D7240" s="19"/>
      <c r="E7240" s="57"/>
      <c r="H7240" s="18"/>
    </row>
    <row r="7241">
      <c r="C7241" s="18"/>
      <c r="D7241" s="19"/>
      <c r="E7241" s="57"/>
      <c r="H7241" s="18"/>
    </row>
    <row r="7242">
      <c r="C7242" s="18"/>
      <c r="D7242" s="19"/>
      <c r="E7242" s="57"/>
      <c r="H7242" s="18"/>
    </row>
    <row r="7243">
      <c r="C7243" s="18"/>
      <c r="D7243" s="19"/>
      <c r="E7243" s="57"/>
      <c r="H7243" s="18"/>
    </row>
    <row r="7244">
      <c r="C7244" s="18"/>
      <c r="D7244" s="19"/>
      <c r="E7244" s="57"/>
      <c r="H7244" s="18"/>
    </row>
    <row r="7245">
      <c r="C7245" s="18"/>
      <c r="D7245" s="19"/>
      <c r="E7245" s="57"/>
      <c r="H7245" s="18"/>
    </row>
    <row r="7246">
      <c r="C7246" s="18"/>
      <c r="D7246" s="19"/>
      <c r="E7246" s="57"/>
      <c r="H7246" s="18"/>
    </row>
    <row r="7247">
      <c r="C7247" s="18"/>
      <c r="D7247" s="19"/>
      <c r="E7247" s="57"/>
      <c r="H7247" s="18"/>
    </row>
    <row r="7248">
      <c r="C7248" s="18"/>
      <c r="D7248" s="19"/>
      <c r="E7248" s="57"/>
      <c r="H7248" s="18"/>
    </row>
    <row r="7249">
      <c r="C7249" s="18"/>
      <c r="D7249" s="19"/>
      <c r="E7249" s="57"/>
      <c r="H7249" s="18"/>
    </row>
    <row r="7250">
      <c r="C7250" s="18"/>
      <c r="D7250" s="19"/>
      <c r="E7250" s="57"/>
      <c r="H7250" s="18"/>
    </row>
    <row r="7251">
      <c r="C7251" s="18"/>
      <c r="D7251" s="19"/>
      <c r="E7251" s="57"/>
      <c r="H7251" s="18"/>
    </row>
    <row r="7252">
      <c r="C7252" s="18"/>
      <c r="D7252" s="19"/>
      <c r="E7252" s="57"/>
      <c r="H7252" s="18"/>
    </row>
    <row r="7253">
      <c r="C7253" s="18"/>
      <c r="D7253" s="19"/>
      <c r="E7253" s="57"/>
      <c r="H7253" s="18"/>
    </row>
    <row r="7254">
      <c r="C7254" s="18"/>
      <c r="D7254" s="19"/>
      <c r="E7254" s="57"/>
      <c r="H7254" s="18"/>
    </row>
    <row r="7255">
      <c r="C7255" s="18"/>
      <c r="D7255" s="19"/>
      <c r="E7255" s="57"/>
      <c r="H7255" s="18"/>
    </row>
    <row r="7256">
      <c r="C7256" s="18"/>
      <c r="D7256" s="19"/>
      <c r="E7256" s="57"/>
      <c r="H7256" s="18"/>
    </row>
    <row r="7257">
      <c r="C7257" s="18"/>
      <c r="D7257" s="19"/>
      <c r="E7257" s="57"/>
      <c r="H7257" s="18"/>
    </row>
    <row r="7258">
      <c r="C7258" s="18"/>
      <c r="D7258" s="19"/>
      <c r="E7258" s="57"/>
      <c r="H7258" s="18"/>
    </row>
    <row r="7259">
      <c r="C7259" s="18"/>
      <c r="D7259" s="19"/>
      <c r="E7259" s="57"/>
      <c r="H7259" s="18"/>
    </row>
    <row r="7260">
      <c r="C7260" s="18"/>
      <c r="D7260" s="19"/>
      <c r="E7260" s="57"/>
      <c r="H7260" s="18"/>
    </row>
    <row r="7261">
      <c r="C7261" s="18"/>
      <c r="D7261" s="19"/>
      <c r="E7261" s="57"/>
      <c r="H7261" s="18"/>
    </row>
    <row r="7262">
      <c r="C7262" s="18"/>
      <c r="D7262" s="19"/>
      <c r="E7262" s="57"/>
      <c r="H7262" s="18"/>
    </row>
    <row r="7263">
      <c r="C7263" s="18"/>
      <c r="D7263" s="19"/>
      <c r="E7263" s="57"/>
      <c r="H7263" s="18"/>
    </row>
    <row r="7264">
      <c r="C7264" s="18"/>
      <c r="D7264" s="19"/>
      <c r="E7264" s="57"/>
      <c r="H7264" s="18"/>
    </row>
    <row r="7265">
      <c r="C7265" s="18"/>
      <c r="D7265" s="19"/>
      <c r="E7265" s="57"/>
      <c r="H7265" s="18"/>
    </row>
    <row r="7266">
      <c r="C7266" s="18"/>
      <c r="D7266" s="19"/>
      <c r="E7266" s="57"/>
      <c r="H7266" s="18"/>
    </row>
    <row r="7267">
      <c r="C7267" s="18"/>
      <c r="D7267" s="19"/>
      <c r="E7267" s="57"/>
      <c r="H7267" s="18"/>
    </row>
    <row r="7268">
      <c r="C7268" s="18"/>
      <c r="D7268" s="19"/>
      <c r="E7268" s="57"/>
      <c r="H7268" s="18"/>
    </row>
    <row r="7269">
      <c r="C7269" s="18"/>
      <c r="D7269" s="19"/>
      <c r="E7269" s="57"/>
      <c r="H7269" s="18"/>
    </row>
    <row r="7270">
      <c r="C7270" s="18"/>
      <c r="D7270" s="19"/>
      <c r="E7270" s="57"/>
      <c r="H7270" s="18"/>
    </row>
    <row r="7271">
      <c r="C7271" s="18"/>
      <c r="D7271" s="19"/>
      <c r="E7271" s="57"/>
      <c r="H7271" s="18"/>
    </row>
    <row r="7272">
      <c r="C7272" s="18"/>
      <c r="D7272" s="19"/>
      <c r="E7272" s="57"/>
      <c r="H7272" s="18"/>
    </row>
    <row r="7273">
      <c r="C7273" s="18"/>
      <c r="D7273" s="19"/>
      <c r="E7273" s="57"/>
      <c r="H7273" s="18"/>
    </row>
    <row r="7274">
      <c r="C7274" s="18"/>
      <c r="D7274" s="19"/>
      <c r="E7274" s="57"/>
      <c r="H7274" s="18"/>
    </row>
    <row r="7275">
      <c r="C7275" s="18"/>
      <c r="D7275" s="19"/>
      <c r="E7275" s="57"/>
      <c r="H7275" s="18"/>
    </row>
    <row r="7276">
      <c r="C7276" s="18"/>
      <c r="D7276" s="19"/>
      <c r="E7276" s="57"/>
      <c r="H7276" s="18"/>
    </row>
    <row r="7277">
      <c r="C7277" s="18"/>
      <c r="D7277" s="19"/>
      <c r="E7277" s="57"/>
      <c r="H7277" s="18"/>
    </row>
    <row r="7278">
      <c r="C7278" s="18"/>
      <c r="D7278" s="19"/>
      <c r="E7278" s="57"/>
      <c r="H7278" s="18"/>
    </row>
    <row r="7279">
      <c r="C7279" s="18"/>
      <c r="D7279" s="19"/>
      <c r="E7279" s="57"/>
      <c r="H7279" s="18"/>
    </row>
    <row r="7280">
      <c r="C7280" s="18"/>
      <c r="D7280" s="19"/>
      <c r="E7280" s="57"/>
      <c r="H7280" s="18"/>
    </row>
    <row r="7281">
      <c r="C7281" s="18"/>
      <c r="D7281" s="19"/>
      <c r="E7281" s="57"/>
      <c r="H7281" s="18"/>
    </row>
    <row r="7282">
      <c r="C7282" s="18"/>
      <c r="D7282" s="19"/>
      <c r="E7282" s="57"/>
      <c r="H7282" s="18"/>
    </row>
    <row r="7283">
      <c r="C7283" s="18"/>
      <c r="D7283" s="19"/>
      <c r="E7283" s="57"/>
      <c r="H7283" s="18"/>
    </row>
    <row r="7284">
      <c r="C7284" s="18"/>
      <c r="D7284" s="19"/>
      <c r="E7284" s="57"/>
      <c r="H7284" s="18"/>
    </row>
    <row r="7285">
      <c r="C7285" s="18"/>
      <c r="D7285" s="19"/>
      <c r="E7285" s="57"/>
      <c r="H7285" s="18"/>
    </row>
    <row r="7286">
      <c r="C7286" s="18"/>
      <c r="D7286" s="19"/>
      <c r="E7286" s="57"/>
      <c r="H7286" s="18"/>
    </row>
    <row r="7287">
      <c r="C7287" s="18"/>
      <c r="D7287" s="19"/>
      <c r="E7287" s="57"/>
      <c r="H7287" s="18"/>
    </row>
    <row r="7288">
      <c r="C7288" s="18"/>
      <c r="D7288" s="19"/>
      <c r="E7288" s="57"/>
      <c r="H7288" s="18"/>
    </row>
    <row r="7289">
      <c r="C7289" s="18"/>
      <c r="D7289" s="19"/>
      <c r="E7289" s="57"/>
      <c r="H7289" s="18"/>
    </row>
    <row r="7290">
      <c r="C7290" s="18"/>
      <c r="D7290" s="19"/>
      <c r="E7290" s="57"/>
      <c r="H7290" s="18"/>
    </row>
    <row r="7291">
      <c r="C7291" s="18"/>
      <c r="D7291" s="19"/>
      <c r="E7291" s="57"/>
      <c r="H7291" s="18"/>
    </row>
    <row r="7292">
      <c r="C7292" s="18"/>
      <c r="D7292" s="19"/>
      <c r="E7292" s="57"/>
      <c r="H7292" s="18"/>
    </row>
    <row r="7293">
      <c r="C7293" s="18"/>
      <c r="D7293" s="19"/>
      <c r="E7293" s="57"/>
      <c r="H7293" s="18"/>
    </row>
    <row r="7294">
      <c r="C7294" s="18"/>
      <c r="D7294" s="19"/>
      <c r="E7294" s="57"/>
      <c r="H7294" s="18"/>
    </row>
    <row r="7295">
      <c r="C7295" s="18"/>
      <c r="D7295" s="19"/>
      <c r="E7295" s="57"/>
      <c r="H7295" s="18"/>
    </row>
    <row r="7296">
      <c r="C7296" s="18"/>
      <c r="D7296" s="19"/>
      <c r="E7296" s="57"/>
      <c r="H7296" s="18"/>
    </row>
    <row r="7297">
      <c r="C7297" s="18"/>
      <c r="D7297" s="19"/>
      <c r="E7297" s="57"/>
      <c r="H7297" s="18"/>
    </row>
    <row r="7298">
      <c r="C7298" s="18"/>
      <c r="D7298" s="19"/>
      <c r="E7298" s="57"/>
      <c r="H7298" s="18"/>
    </row>
    <row r="7299">
      <c r="C7299" s="18"/>
      <c r="D7299" s="19"/>
      <c r="E7299" s="57"/>
      <c r="H7299" s="18"/>
    </row>
    <row r="7300">
      <c r="C7300" s="18"/>
      <c r="D7300" s="19"/>
      <c r="E7300" s="57"/>
      <c r="H7300" s="18"/>
    </row>
    <row r="7301">
      <c r="C7301" s="18"/>
      <c r="D7301" s="19"/>
      <c r="E7301" s="57"/>
      <c r="H7301" s="18"/>
    </row>
    <row r="7302">
      <c r="C7302" s="18"/>
      <c r="D7302" s="19"/>
      <c r="E7302" s="57"/>
      <c r="H7302" s="18"/>
    </row>
    <row r="7303">
      <c r="C7303" s="18"/>
      <c r="D7303" s="19"/>
      <c r="E7303" s="57"/>
      <c r="H7303" s="18"/>
    </row>
    <row r="7304">
      <c r="C7304" s="18"/>
      <c r="D7304" s="19"/>
      <c r="E7304" s="57"/>
      <c r="H7304" s="18"/>
    </row>
    <row r="7305">
      <c r="C7305" s="18"/>
      <c r="D7305" s="19"/>
      <c r="E7305" s="57"/>
      <c r="H7305" s="18"/>
    </row>
    <row r="7306">
      <c r="C7306" s="18"/>
      <c r="D7306" s="19"/>
      <c r="E7306" s="57"/>
      <c r="H7306" s="18"/>
    </row>
    <row r="7307">
      <c r="C7307" s="18"/>
      <c r="D7307" s="19"/>
      <c r="E7307" s="57"/>
      <c r="H7307" s="18"/>
    </row>
    <row r="7308">
      <c r="C7308" s="18"/>
      <c r="D7308" s="19"/>
      <c r="E7308" s="57"/>
      <c r="H7308" s="18"/>
    </row>
    <row r="7309">
      <c r="C7309" s="18"/>
      <c r="D7309" s="19"/>
      <c r="E7309" s="57"/>
      <c r="H7309" s="18"/>
    </row>
    <row r="7310">
      <c r="C7310" s="18"/>
      <c r="D7310" s="19"/>
      <c r="E7310" s="57"/>
      <c r="H7310" s="18"/>
    </row>
    <row r="7311">
      <c r="C7311" s="18"/>
      <c r="D7311" s="19"/>
      <c r="E7311" s="57"/>
      <c r="H7311" s="18"/>
    </row>
    <row r="7312">
      <c r="C7312" s="18"/>
      <c r="D7312" s="19"/>
      <c r="E7312" s="57"/>
      <c r="H7312" s="18"/>
    </row>
    <row r="7313">
      <c r="C7313" s="18"/>
      <c r="D7313" s="19"/>
      <c r="E7313" s="57"/>
      <c r="H7313" s="18"/>
    </row>
    <row r="7314">
      <c r="C7314" s="18"/>
      <c r="D7314" s="19"/>
      <c r="E7314" s="57"/>
      <c r="H7314" s="18"/>
    </row>
    <row r="7315">
      <c r="C7315" s="18"/>
      <c r="D7315" s="19"/>
      <c r="E7315" s="57"/>
      <c r="H7315" s="18"/>
    </row>
    <row r="7316">
      <c r="C7316" s="18"/>
      <c r="D7316" s="19"/>
      <c r="E7316" s="57"/>
      <c r="H7316" s="18"/>
    </row>
    <row r="7317">
      <c r="C7317" s="18"/>
      <c r="D7317" s="19"/>
      <c r="E7317" s="57"/>
      <c r="H7317" s="18"/>
    </row>
    <row r="7318">
      <c r="C7318" s="18"/>
      <c r="D7318" s="19"/>
      <c r="E7318" s="57"/>
      <c r="H7318" s="18"/>
    </row>
    <row r="7319">
      <c r="C7319" s="18"/>
      <c r="D7319" s="19"/>
      <c r="E7319" s="57"/>
      <c r="H7319" s="18"/>
    </row>
    <row r="7320">
      <c r="C7320" s="18"/>
      <c r="D7320" s="19"/>
      <c r="E7320" s="57"/>
      <c r="H7320" s="18"/>
    </row>
    <row r="7321">
      <c r="C7321" s="18"/>
      <c r="D7321" s="19"/>
      <c r="E7321" s="57"/>
      <c r="H7321" s="18"/>
    </row>
    <row r="7322">
      <c r="C7322" s="18"/>
      <c r="D7322" s="19"/>
      <c r="E7322" s="57"/>
      <c r="H7322" s="18"/>
    </row>
    <row r="7323">
      <c r="C7323" s="18"/>
      <c r="D7323" s="19"/>
      <c r="E7323" s="57"/>
      <c r="H7323" s="18"/>
    </row>
    <row r="7324">
      <c r="C7324" s="18"/>
      <c r="D7324" s="19"/>
      <c r="E7324" s="57"/>
      <c r="H7324" s="18"/>
    </row>
    <row r="7325">
      <c r="C7325" s="18"/>
      <c r="D7325" s="19"/>
      <c r="E7325" s="57"/>
      <c r="H7325" s="18"/>
    </row>
    <row r="7326">
      <c r="C7326" s="18"/>
      <c r="D7326" s="19"/>
      <c r="E7326" s="57"/>
      <c r="H7326" s="18"/>
    </row>
    <row r="7327">
      <c r="C7327" s="18"/>
      <c r="D7327" s="19"/>
      <c r="E7327" s="57"/>
      <c r="H7327" s="18"/>
    </row>
    <row r="7328">
      <c r="C7328" s="18"/>
      <c r="D7328" s="19"/>
      <c r="E7328" s="57"/>
      <c r="H7328" s="18"/>
    </row>
    <row r="7329">
      <c r="C7329" s="18"/>
      <c r="D7329" s="19"/>
      <c r="E7329" s="57"/>
      <c r="H7329" s="18"/>
    </row>
    <row r="7330">
      <c r="C7330" s="18"/>
      <c r="D7330" s="19"/>
      <c r="E7330" s="57"/>
      <c r="H7330" s="18"/>
    </row>
    <row r="7331">
      <c r="C7331" s="18"/>
      <c r="D7331" s="19"/>
      <c r="E7331" s="57"/>
      <c r="H7331" s="18"/>
    </row>
    <row r="7332">
      <c r="C7332" s="18"/>
      <c r="D7332" s="19"/>
      <c r="E7332" s="57"/>
      <c r="H7332" s="18"/>
    </row>
    <row r="7333">
      <c r="C7333" s="18"/>
      <c r="D7333" s="19"/>
      <c r="E7333" s="57"/>
      <c r="H7333" s="18"/>
    </row>
    <row r="7334">
      <c r="C7334" s="18"/>
      <c r="D7334" s="19"/>
      <c r="E7334" s="57"/>
      <c r="H7334" s="18"/>
    </row>
    <row r="7335">
      <c r="C7335" s="18"/>
      <c r="D7335" s="19"/>
      <c r="E7335" s="57"/>
      <c r="H7335" s="18"/>
    </row>
    <row r="7336">
      <c r="C7336" s="18"/>
      <c r="D7336" s="19"/>
      <c r="E7336" s="57"/>
      <c r="H7336" s="18"/>
    </row>
    <row r="7337">
      <c r="C7337" s="18"/>
      <c r="D7337" s="19"/>
      <c r="E7337" s="57"/>
      <c r="H7337" s="18"/>
    </row>
    <row r="7338">
      <c r="C7338" s="18"/>
      <c r="D7338" s="19"/>
      <c r="E7338" s="57"/>
      <c r="H7338" s="18"/>
    </row>
    <row r="7339">
      <c r="C7339" s="18"/>
      <c r="D7339" s="19"/>
      <c r="E7339" s="57"/>
      <c r="H7339" s="18"/>
    </row>
    <row r="7340">
      <c r="C7340" s="18"/>
      <c r="D7340" s="19"/>
      <c r="E7340" s="57"/>
      <c r="H7340" s="18"/>
    </row>
    <row r="7341">
      <c r="C7341" s="18"/>
      <c r="D7341" s="19"/>
      <c r="E7341" s="57"/>
      <c r="H7341" s="18"/>
    </row>
    <row r="7342">
      <c r="C7342" s="18"/>
      <c r="D7342" s="19"/>
      <c r="E7342" s="57"/>
      <c r="H7342" s="18"/>
    </row>
    <row r="7343">
      <c r="C7343" s="18"/>
      <c r="D7343" s="19"/>
      <c r="E7343" s="57"/>
      <c r="H7343" s="18"/>
    </row>
    <row r="7344">
      <c r="C7344" s="18"/>
      <c r="D7344" s="19"/>
      <c r="E7344" s="57"/>
      <c r="H7344" s="18"/>
    </row>
    <row r="7345">
      <c r="C7345" s="18"/>
      <c r="D7345" s="19"/>
      <c r="E7345" s="57"/>
      <c r="H7345" s="18"/>
    </row>
    <row r="7346">
      <c r="C7346" s="18"/>
      <c r="D7346" s="19"/>
      <c r="E7346" s="57"/>
      <c r="H7346" s="18"/>
    </row>
    <row r="7347">
      <c r="C7347" s="18"/>
      <c r="D7347" s="19"/>
      <c r="E7347" s="57"/>
      <c r="H7347" s="18"/>
    </row>
    <row r="7348">
      <c r="C7348" s="18"/>
      <c r="D7348" s="19"/>
      <c r="E7348" s="57"/>
      <c r="H7348" s="18"/>
    </row>
    <row r="7349">
      <c r="C7349" s="18"/>
      <c r="D7349" s="19"/>
      <c r="E7349" s="57"/>
      <c r="H7349" s="18"/>
    </row>
    <row r="7350">
      <c r="C7350" s="18"/>
      <c r="D7350" s="19"/>
      <c r="E7350" s="57"/>
      <c r="H7350" s="18"/>
    </row>
    <row r="7351">
      <c r="C7351" s="18"/>
      <c r="D7351" s="19"/>
      <c r="E7351" s="57"/>
      <c r="H7351" s="18"/>
    </row>
    <row r="7352">
      <c r="C7352" s="18"/>
      <c r="D7352" s="19"/>
      <c r="E7352" s="57"/>
      <c r="H7352" s="18"/>
    </row>
    <row r="7353">
      <c r="C7353" s="18"/>
      <c r="D7353" s="19"/>
      <c r="E7353" s="57"/>
      <c r="H7353" s="18"/>
    </row>
    <row r="7354">
      <c r="C7354" s="18"/>
      <c r="D7354" s="19"/>
      <c r="E7354" s="57"/>
      <c r="H7354" s="18"/>
    </row>
    <row r="7355">
      <c r="C7355" s="18"/>
      <c r="D7355" s="19"/>
      <c r="E7355" s="57"/>
      <c r="H7355" s="18"/>
    </row>
    <row r="7356">
      <c r="C7356" s="18"/>
      <c r="D7356" s="19"/>
      <c r="E7356" s="57"/>
      <c r="H7356" s="18"/>
    </row>
    <row r="7357">
      <c r="C7357" s="18"/>
      <c r="D7357" s="19"/>
      <c r="E7357" s="57"/>
      <c r="H7357" s="18"/>
    </row>
    <row r="7358">
      <c r="C7358" s="18"/>
      <c r="D7358" s="19"/>
      <c r="E7358" s="57"/>
      <c r="H7358" s="18"/>
    </row>
    <row r="7359">
      <c r="C7359" s="18"/>
      <c r="D7359" s="19"/>
      <c r="E7359" s="57"/>
      <c r="H7359" s="18"/>
    </row>
    <row r="7360">
      <c r="C7360" s="18"/>
      <c r="D7360" s="19"/>
      <c r="E7360" s="57"/>
      <c r="H7360" s="18"/>
    </row>
    <row r="7361">
      <c r="C7361" s="18"/>
      <c r="D7361" s="19"/>
      <c r="E7361" s="57"/>
      <c r="H7361" s="18"/>
    </row>
    <row r="7362">
      <c r="C7362" s="18"/>
      <c r="D7362" s="19"/>
      <c r="E7362" s="57"/>
      <c r="H7362" s="18"/>
    </row>
    <row r="7363">
      <c r="C7363" s="18"/>
      <c r="D7363" s="19"/>
      <c r="E7363" s="57"/>
      <c r="H7363" s="18"/>
    </row>
    <row r="7364">
      <c r="C7364" s="18"/>
      <c r="D7364" s="19"/>
      <c r="E7364" s="57"/>
      <c r="H7364" s="18"/>
    </row>
    <row r="7365">
      <c r="C7365" s="18"/>
      <c r="D7365" s="19"/>
      <c r="E7365" s="57"/>
      <c r="H7365" s="18"/>
    </row>
    <row r="7366">
      <c r="C7366" s="18"/>
      <c r="D7366" s="19"/>
      <c r="E7366" s="57"/>
      <c r="H7366" s="18"/>
    </row>
    <row r="7367">
      <c r="C7367" s="18"/>
      <c r="D7367" s="19"/>
      <c r="E7367" s="57"/>
      <c r="H7367" s="18"/>
    </row>
    <row r="7368">
      <c r="C7368" s="18"/>
      <c r="D7368" s="19"/>
      <c r="E7368" s="57"/>
      <c r="H7368" s="18"/>
    </row>
    <row r="7369">
      <c r="C7369" s="18"/>
      <c r="D7369" s="19"/>
      <c r="E7369" s="57"/>
      <c r="H7369" s="18"/>
    </row>
    <row r="7370">
      <c r="C7370" s="18"/>
      <c r="D7370" s="19"/>
      <c r="E7370" s="57"/>
      <c r="H7370" s="18"/>
    </row>
    <row r="7371">
      <c r="C7371" s="18"/>
      <c r="D7371" s="19"/>
      <c r="E7371" s="57"/>
      <c r="H7371" s="18"/>
    </row>
    <row r="7372">
      <c r="C7372" s="18"/>
      <c r="D7372" s="19"/>
      <c r="E7372" s="57"/>
      <c r="H7372" s="18"/>
    </row>
    <row r="7373">
      <c r="C7373" s="18"/>
      <c r="D7373" s="19"/>
      <c r="E7373" s="57"/>
      <c r="H7373" s="18"/>
    </row>
    <row r="7374">
      <c r="C7374" s="18"/>
      <c r="D7374" s="19"/>
      <c r="E7374" s="57"/>
      <c r="H7374" s="18"/>
    </row>
    <row r="7375">
      <c r="C7375" s="18"/>
      <c r="D7375" s="19"/>
      <c r="E7375" s="57"/>
      <c r="H7375" s="18"/>
    </row>
    <row r="7376">
      <c r="C7376" s="18"/>
      <c r="D7376" s="19"/>
      <c r="E7376" s="57"/>
      <c r="H7376" s="18"/>
    </row>
    <row r="7377">
      <c r="C7377" s="18"/>
      <c r="D7377" s="19"/>
      <c r="E7377" s="57"/>
      <c r="H7377" s="18"/>
    </row>
    <row r="7378">
      <c r="C7378" s="18"/>
      <c r="D7378" s="19"/>
      <c r="E7378" s="57"/>
      <c r="H7378" s="18"/>
    </row>
    <row r="7379">
      <c r="C7379" s="18"/>
      <c r="D7379" s="19"/>
      <c r="E7379" s="57"/>
      <c r="H7379" s="18"/>
    </row>
    <row r="7380">
      <c r="C7380" s="18"/>
      <c r="D7380" s="19"/>
      <c r="E7380" s="57"/>
      <c r="H7380" s="18"/>
    </row>
    <row r="7381">
      <c r="C7381" s="18"/>
      <c r="D7381" s="19"/>
      <c r="E7381" s="57"/>
      <c r="H7381" s="18"/>
    </row>
    <row r="7382">
      <c r="C7382" s="18"/>
      <c r="D7382" s="19"/>
      <c r="E7382" s="57"/>
      <c r="H7382" s="18"/>
    </row>
    <row r="7383">
      <c r="C7383" s="18"/>
      <c r="D7383" s="19"/>
      <c r="E7383" s="57"/>
      <c r="H7383" s="18"/>
    </row>
    <row r="7384">
      <c r="C7384" s="18"/>
      <c r="D7384" s="19"/>
      <c r="E7384" s="57"/>
      <c r="H7384" s="18"/>
    </row>
    <row r="7385">
      <c r="C7385" s="18"/>
      <c r="D7385" s="19"/>
      <c r="E7385" s="57"/>
      <c r="H7385" s="18"/>
    </row>
    <row r="7386">
      <c r="C7386" s="18"/>
      <c r="D7386" s="19"/>
      <c r="E7386" s="57"/>
      <c r="H7386" s="18"/>
    </row>
    <row r="7387">
      <c r="C7387" s="18"/>
      <c r="D7387" s="19"/>
      <c r="E7387" s="57"/>
      <c r="H7387" s="18"/>
    </row>
    <row r="7388">
      <c r="C7388" s="18"/>
      <c r="D7388" s="19"/>
      <c r="E7388" s="57"/>
      <c r="H7388" s="18"/>
    </row>
    <row r="7389">
      <c r="C7389" s="18"/>
      <c r="D7389" s="19"/>
      <c r="E7389" s="57"/>
      <c r="H7389" s="18"/>
    </row>
    <row r="7390">
      <c r="C7390" s="18"/>
      <c r="D7390" s="19"/>
      <c r="E7390" s="57"/>
      <c r="H7390" s="18"/>
    </row>
    <row r="7391">
      <c r="C7391" s="18"/>
      <c r="D7391" s="19"/>
      <c r="E7391" s="57"/>
      <c r="H7391" s="18"/>
    </row>
    <row r="7392">
      <c r="C7392" s="18"/>
      <c r="D7392" s="19"/>
      <c r="E7392" s="57"/>
      <c r="H7392" s="18"/>
    </row>
    <row r="7393">
      <c r="C7393" s="18"/>
      <c r="D7393" s="19"/>
      <c r="E7393" s="57"/>
      <c r="H7393" s="18"/>
    </row>
    <row r="7394">
      <c r="C7394" s="18"/>
      <c r="D7394" s="19"/>
      <c r="E7394" s="57"/>
      <c r="H7394" s="18"/>
    </row>
    <row r="7395">
      <c r="C7395" s="18"/>
      <c r="D7395" s="19"/>
      <c r="E7395" s="57"/>
      <c r="H7395" s="18"/>
    </row>
    <row r="7396">
      <c r="C7396" s="18"/>
      <c r="D7396" s="19"/>
      <c r="E7396" s="57"/>
      <c r="H7396" s="18"/>
    </row>
    <row r="7397">
      <c r="C7397" s="18"/>
      <c r="D7397" s="19"/>
      <c r="E7397" s="57"/>
      <c r="H7397" s="18"/>
    </row>
    <row r="7398">
      <c r="C7398" s="18"/>
      <c r="D7398" s="19"/>
      <c r="E7398" s="57"/>
      <c r="H7398" s="18"/>
    </row>
    <row r="7399">
      <c r="C7399" s="18"/>
      <c r="D7399" s="19"/>
      <c r="E7399" s="57"/>
      <c r="H7399" s="18"/>
    </row>
    <row r="7400">
      <c r="C7400" s="18"/>
      <c r="D7400" s="19"/>
      <c r="E7400" s="57"/>
      <c r="H7400" s="18"/>
    </row>
    <row r="7401">
      <c r="C7401" s="18"/>
      <c r="D7401" s="19"/>
      <c r="E7401" s="57"/>
      <c r="H7401" s="18"/>
    </row>
    <row r="7402">
      <c r="C7402" s="18"/>
      <c r="D7402" s="19"/>
      <c r="E7402" s="57"/>
      <c r="H7402" s="18"/>
    </row>
    <row r="7403">
      <c r="C7403" s="18"/>
      <c r="D7403" s="19"/>
      <c r="E7403" s="57"/>
      <c r="H7403" s="18"/>
    </row>
    <row r="7404">
      <c r="C7404" s="18"/>
      <c r="D7404" s="19"/>
      <c r="E7404" s="57"/>
      <c r="H7404" s="18"/>
    </row>
    <row r="7405">
      <c r="C7405" s="18"/>
      <c r="D7405" s="19"/>
      <c r="E7405" s="57"/>
      <c r="H7405" s="18"/>
    </row>
    <row r="7406">
      <c r="C7406" s="18"/>
      <c r="D7406" s="19"/>
      <c r="E7406" s="57"/>
      <c r="H7406" s="18"/>
    </row>
    <row r="7407">
      <c r="C7407" s="18"/>
      <c r="D7407" s="19"/>
      <c r="E7407" s="57"/>
      <c r="H7407" s="18"/>
    </row>
    <row r="7408">
      <c r="C7408" s="18"/>
      <c r="D7408" s="19"/>
      <c r="E7408" s="57"/>
      <c r="H7408" s="18"/>
    </row>
    <row r="7409">
      <c r="C7409" s="18"/>
      <c r="D7409" s="19"/>
      <c r="E7409" s="57"/>
      <c r="H7409" s="18"/>
    </row>
    <row r="7410">
      <c r="C7410" s="18"/>
      <c r="D7410" s="19"/>
      <c r="E7410" s="57"/>
      <c r="H7410" s="18"/>
    </row>
    <row r="7411">
      <c r="C7411" s="18"/>
      <c r="D7411" s="19"/>
      <c r="E7411" s="57"/>
      <c r="H7411" s="18"/>
    </row>
    <row r="7412">
      <c r="C7412" s="18"/>
      <c r="D7412" s="19"/>
      <c r="E7412" s="57"/>
      <c r="H7412" s="18"/>
    </row>
    <row r="7413">
      <c r="C7413" s="18"/>
      <c r="D7413" s="19"/>
      <c r="E7413" s="57"/>
      <c r="H7413" s="18"/>
    </row>
    <row r="7414">
      <c r="C7414" s="18"/>
      <c r="D7414" s="19"/>
      <c r="E7414" s="57"/>
      <c r="H7414" s="18"/>
    </row>
    <row r="7415">
      <c r="C7415" s="18"/>
      <c r="D7415" s="19"/>
      <c r="E7415" s="57"/>
      <c r="H7415" s="18"/>
    </row>
    <row r="7416">
      <c r="C7416" s="18"/>
      <c r="D7416" s="19"/>
      <c r="E7416" s="57"/>
      <c r="H7416" s="18"/>
    </row>
    <row r="7417">
      <c r="C7417" s="18"/>
      <c r="D7417" s="19"/>
      <c r="E7417" s="57"/>
      <c r="H7417" s="18"/>
    </row>
    <row r="7418">
      <c r="C7418" s="18"/>
      <c r="D7418" s="19"/>
      <c r="E7418" s="57"/>
      <c r="H7418" s="18"/>
    </row>
    <row r="7419">
      <c r="C7419" s="18"/>
      <c r="D7419" s="19"/>
      <c r="E7419" s="57"/>
      <c r="H7419" s="18"/>
    </row>
    <row r="7420">
      <c r="C7420" s="18"/>
      <c r="D7420" s="19"/>
      <c r="E7420" s="57"/>
      <c r="H7420" s="18"/>
    </row>
    <row r="7421">
      <c r="C7421" s="18"/>
      <c r="D7421" s="19"/>
      <c r="E7421" s="57"/>
      <c r="H7421" s="18"/>
    </row>
    <row r="7422">
      <c r="C7422" s="18"/>
      <c r="D7422" s="19"/>
      <c r="E7422" s="57"/>
      <c r="H7422" s="18"/>
    </row>
    <row r="7423">
      <c r="C7423" s="18"/>
      <c r="D7423" s="19"/>
      <c r="E7423" s="57"/>
      <c r="H7423" s="18"/>
    </row>
    <row r="7424">
      <c r="C7424" s="18"/>
      <c r="D7424" s="19"/>
      <c r="E7424" s="57"/>
      <c r="H7424" s="18"/>
    </row>
    <row r="7425">
      <c r="C7425" s="18"/>
      <c r="D7425" s="19"/>
      <c r="E7425" s="57"/>
      <c r="H7425" s="18"/>
    </row>
    <row r="7426">
      <c r="C7426" s="18"/>
      <c r="D7426" s="19"/>
      <c r="E7426" s="57"/>
      <c r="H7426" s="18"/>
    </row>
    <row r="7427">
      <c r="C7427" s="18"/>
      <c r="D7427" s="19"/>
      <c r="E7427" s="57"/>
      <c r="H7427" s="18"/>
    </row>
    <row r="7428">
      <c r="C7428" s="18"/>
      <c r="D7428" s="19"/>
      <c r="E7428" s="57"/>
      <c r="H7428" s="18"/>
    </row>
    <row r="7429">
      <c r="C7429" s="18"/>
      <c r="D7429" s="19"/>
      <c r="E7429" s="57"/>
      <c r="H7429" s="18"/>
    </row>
    <row r="7430">
      <c r="C7430" s="18"/>
      <c r="D7430" s="19"/>
      <c r="E7430" s="57"/>
      <c r="H7430" s="18"/>
    </row>
    <row r="7431">
      <c r="C7431" s="18"/>
      <c r="D7431" s="19"/>
      <c r="E7431" s="57"/>
      <c r="H7431" s="18"/>
    </row>
    <row r="7432">
      <c r="C7432" s="18"/>
      <c r="D7432" s="19"/>
      <c r="E7432" s="57"/>
      <c r="H7432" s="18"/>
    </row>
    <row r="7433">
      <c r="C7433" s="18"/>
      <c r="D7433" s="19"/>
      <c r="E7433" s="57"/>
      <c r="H7433" s="18"/>
    </row>
    <row r="7434">
      <c r="C7434" s="18"/>
      <c r="D7434" s="19"/>
      <c r="E7434" s="57"/>
      <c r="H7434" s="18"/>
    </row>
    <row r="7435">
      <c r="C7435" s="18"/>
      <c r="D7435" s="19"/>
      <c r="E7435" s="57"/>
      <c r="H7435" s="18"/>
    </row>
    <row r="7436">
      <c r="C7436" s="18"/>
      <c r="D7436" s="19"/>
      <c r="E7436" s="57"/>
      <c r="H7436" s="18"/>
    </row>
    <row r="7437">
      <c r="C7437" s="18"/>
      <c r="D7437" s="19"/>
      <c r="E7437" s="57"/>
      <c r="H7437" s="18"/>
    </row>
    <row r="7438">
      <c r="C7438" s="18"/>
      <c r="D7438" s="19"/>
      <c r="E7438" s="57"/>
      <c r="H7438" s="18"/>
    </row>
    <row r="7439">
      <c r="C7439" s="18"/>
      <c r="D7439" s="19"/>
      <c r="E7439" s="57"/>
      <c r="H7439" s="18"/>
    </row>
    <row r="7440">
      <c r="C7440" s="18"/>
      <c r="D7440" s="19"/>
      <c r="E7440" s="57"/>
      <c r="H7440" s="18"/>
    </row>
    <row r="7441">
      <c r="C7441" s="18"/>
      <c r="D7441" s="19"/>
      <c r="E7441" s="57"/>
      <c r="H7441" s="18"/>
    </row>
    <row r="7442">
      <c r="C7442" s="18"/>
      <c r="D7442" s="19"/>
      <c r="E7442" s="57"/>
      <c r="H7442" s="18"/>
    </row>
    <row r="7443">
      <c r="C7443" s="18"/>
      <c r="D7443" s="19"/>
      <c r="E7443" s="57"/>
      <c r="H7443" s="18"/>
    </row>
    <row r="7444">
      <c r="C7444" s="18"/>
      <c r="D7444" s="19"/>
      <c r="E7444" s="57"/>
      <c r="H7444" s="18"/>
    </row>
    <row r="7445">
      <c r="C7445" s="18"/>
      <c r="D7445" s="19"/>
      <c r="E7445" s="57"/>
      <c r="H7445" s="18"/>
    </row>
    <row r="7446">
      <c r="C7446" s="18"/>
      <c r="D7446" s="19"/>
      <c r="E7446" s="57"/>
      <c r="H7446" s="18"/>
    </row>
    <row r="7447">
      <c r="C7447" s="18"/>
      <c r="D7447" s="19"/>
      <c r="E7447" s="57"/>
      <c r="H7447" s="18"/>
    </row>
    <row r="7448">
      <c r="C7448" s="18"/>
      <c r="D7448" s="19"/>
      <c r="E7448" s="57"/>
      <c r="H7448" s="18"/>
    </row>
    <row r="7449">
      <c r="C7449" s="18"/>
      <c r="D7449" s="19"/>
      <c r="E7449" s="57"/>
      <c r="H7449" s="18"/>
    </row>
    <row r="7450">
      <c r="C7450" s="18"/>
      <c r="D7450" s="19"/>
      <c r="E7450" s="57"/>
      <c r="H7450" s="18"/>
    </row>
    <row r="7451">
      <c r="C7451" s="18"/>
      <c r="D7451" s="19"/>
      <c r="E7451" s="57"/>
      <c r="H7451" s="18"/>
    </row>
    <row r="7452">
      <c r="C7452" s="18"/>
      <c r="D7452" s="19"/>
      <c r="E7452" s="57"/>
      <c r="H7452" s="18"/>
    </row>
    <row r="7453">
      <c r="C7453" s="18"/>
      <c r="D7453" s="19"/>
      <c r="E7453" s="57"/>
      <c r="H7453" s="18"/>
    </row>
    <row r="7454">
      <c r="C7454" s="18"/>
      <c r="D7454" s="19"/>
      <c r="E7454" s="57"/>
      <c r="H7454" s="18"/>
    </row>
    <row r="7455">
      <c r="C7455" s="18"/>
      <c r="D7455" s="19"/>
      <c r="E7455" s="57"/>
      <c r="H7455" s="18"/>
    </row>
    <row r="7456">
      <c r="C7456" s="18"/>
      <c r="D7456" s="19"/>
      <c r="E7456" s="57"/>
      <c r="H7456" s="18"/>
    </row>
    <row r="7457">
      <c r="C7457" s="18"/>
      <c r="D7457" s="19"/>
      <c r="E7457" s="57"/>
      <c r="H7457" s="18"/>
    </row>
    <row r="7458">
      <c r="C7458" s="18"/>
      <c r="D7458" s="19"/>
      <c r="E7458" s="57"/>
      <c r="H7458" s="18"/>
    </row>
    <row r="7459">
      <c r="C7459" s="18"/>
      <c r="D7459" s="19"/>
      <c r="E7459" s="57"/>
      <c r="H7459" s="18"/>
    </row>
    <row r="7460">
      <c r="C7460" s="18"/>
      <c r="D7460" s="19"/>
      <c r="E7460" s="57"/>
      <c r="H7460" s="18"/>
    </row>
    <row r="7461">
      <c r="C7461" s="18"/>
      <c r="D7461" s="19"/>
      <c r="E7461" s="57"/>
      <c r="H7461" s="18"/>
    </row>
    <row r="7462">
      <c r="C7462" s="18"/>
      <c r="D7462" s="19"/>
      <c r="E7462" s="57"/>
      <c r="H7462" s="18"/>
    </row>
    <row r="7463">
      <c r="C7463" s="18"/>
      <c r="D7463" s="19"/>
      <c r="E7463" s="57"/>
      <c r="H7463" s="18"/>
    </row>
    <row r="7464">
      <c r="C7464" s="18"/>
      <c r="D7464" s="19"/>
      <c r="E7464" s="57"/>
      <c r="H7464" s="18"/>
    </row>
    <row r="7465">
      <c r="C7465" s="18"/>
      <c r="D7465" s="19"/>
      <c r="E7465" s="57"/>
      <c r="H7465" s="18"/>
    </row>
    <row r="7466">
      <c r="C7466" s="18"/>
      <c r="D7466" s="19"/>
      <c r="E7466" s="57"/>
      <c r="H7466" s="18"/>
    </row>
    <row r="7467">
      <c r="C7467" s="18"/>
      <c r="D7467" s="19"/>
      <c r="E7467" s="57"/>
      <c r="H7467" s="18"/>
    </row>
    <row r="7468">
      <c r="C7468" s="18"/>
      <c r="D7468" s="19"/>
      <c r="E7468" s="57"/>
      <c r="H7468" s="18"/>
    </row>
    <row r="7469">
      <c r="C7469" s="18"/>
      <c r="D7469" s="19"/>
      <c r="E7469" s="57"/>
      <c r="H7469" s="18"/>
    </row>
    <row r="7470">
      <c r="C7470" s="18"/>
      <c r="D7470" s="19"/>
      <c r="E7470" s="57"/>
      <c r="H7470" s="18"/>
    </row>
    <row r="7471">
      <c r="C7471" s="18"/>
      <c r="D7471" s="19"/>
      <c r="E7471" s="57"/>
      <c r="H7471" s="18"/>
    </row>
    <row r="7472">
      <c r="C7472" s="18"/>
      <c r="D7472" s="19"/>
      <c r="E7472" s="57"/>
      <c r="H7472" s="18"/>
    </row>
    <row r="7473">
      <c r="C7473" s="18"/>
      <c r="D7473" s="19"/>
      <c r="E7473" s="57"/>
      <c r="H7473" s="18"/>
    </row>
    <row r="7474">
      <c r="C7474" s="18"/>
      <c r="D7474" s="19"/>
      <c r="E7474" s="57"/>
      <c r="H7474" s="18"/>
    </row>
    <row r="7475">
      <c r="C7475" s="18"/>
      <c r="D7475" s="19"/>
      <c r="E7475" s="57"/>
      <c r="H7475" s="18"/>
    </row>
    <row r="7476">
      <c r="C7476" s="18"/>
      <c r="D7476" s="19"/>
      <c r="E7476" s="57"/>
      <c r="H7476" s="18"/>
    </row>
    <row r="7477">
      <c r="C7477" s="18"/>
      <c r="D7477" s="19"/>
      <c r="E7477" s="57"/>
      <c r="H7477" s="18"/>
    </row>
    <row r="7478">
      <c r="C7478" s="18"/>
      <c r="D7478" s="19"/>
      <c r="E7478" s="57"/>
      <c r="H7478" s="18"/>
    </row>
    <row r="7479">
      <c r="C7479" s="18"/>
      <c r="D7479" s="19"/>
      <c r="E7479" s="57"/>
      <c r="H7479" s="18"/>
    </row>
    <row r="7480">
      <c r="C7480" s="18"/>
      <c r="D7480" s="19"/>
      <c r="E7480" s="57"/>
      <c r="H7480" s="18"/>
    </row>
    <row r="7481">
      <c r="C7481" s="18"/>
      <c r="D7481" s="19"/>
      <c r="E7481" s="57"/>
      <c r="H7481" s="18"/>
    </row>
    <row r="7482">
      <c r="C7482" s="18"/>
      <c r="D7482" s="19"/>
      <c r="E7482" s="57"/>
      <c r="H7482" s="18"/>
    </row>
    <row r="7483">
      <c r="C7483" s="18"/>
      <c r="D7483" s="19"/>
      <c r="E7483" s="57"/>
      <c r="H7483" s="18"/>
    </row>
    <row r="7484">
      <c r="C7484" s="18"/>
      <c r="D7484" s="19"/>
      <c r="E7484" s="57"/>
      <c r="H7484" s="18"/>
    </row>
    <row r="7485">
      <c r="C7485" s="18"/>
      <c r="D7485" s="19"/>
      <c r="E7485" s="57"/>
      <c r="H7485" s="18"/>
    </row>
    <row r="7486">
      <c r="C7486" s="18"/>
      <c r="D7486" s="19"/>
      <c r="E7486" s="57"/>
      <c r="H7486" s="18"/>
    </row>
    <row r="7487">
      <c r="C7487" s="18"/>
      <c r="D7487" s="19"/>
      <c r="E7487" s="57"/>
      <c r="H7487" s="18"/>
    </row>
    <row r="7488">
      <c r="C7488" s="18"/>
      <c r="D7488" s="19"/>
      <c r="E7488" s="57"/>
      <c r="H7488" s="18"/>
    </row>
    <row r="7489">
      <c r="C7489" s="18"/>
      <c r="D7489" s="19"/>
      <c r="E7489" s="57"/>
      <c r="H7489" s="18"/>
    </row>
    <row r="7490">
      <c r="C7490" s="18"/>
      <c r="D7490" s="19"/>
      <c r="E7490" s="57"/>
      <c r="H7490" s="18"/>
    </row>
    <row r="7491">
      <c r="C7491" s="18"/>
      <c r="D7491" s="19"/>
      <c r="E7491" s="57"/>
      <c r="H7491" s="18"/>
    </row>
    <row r="7492">
      <c r="C7492" s="18"/>
      <c r="D7492" s="19"/>
      <c r="E7492" s="57"/>
      <c r="H7492" s="18"/>
    </row>
    <row r="7493">
      <c r="C7493" s="18"/>
      <c r="D7493" s="19"/>
      <c r="E7493" s="57"/>
      <c r="H7493" s="18"/>
    </row>
    <row r="7494">
      <c r="C7494" s="18"/>
      <c r="D7494" s="19"/>
      <c r="E7494" s="57"/>
      <c r="H7494" s="18"/>
    </row>
    <row r="7495">
      <c r="C7495" s="18"/>
      <c r="D7495" s="19"/>
      <c r="E7495" s="57"/>
      <c r="H7495" s="18"/>
    </row>
    <row r="7496">
      <c r="C7496" s="18"/>
      <c r="D7496" s="19"/>
      <c r="E7496" s="57"/>
      <c r="H7496" s="18"/>
    </row>
    <row r="7497">
      <c r="C7497" s="18"/>
      <c r="D7497" s="19"/>
      <c r="E7497" s="57"/>
      <c r="H7497" s="18"/>
    </row>
    <row r="7498">
      <c r="C7498" s="18"/>
      <c r="D7498" s="19"/>
      <c r="E7498" s="57"/>
      <c r="H7498" s="18"/>
    </row>
    <row r="7499">
      <c r="C7499" s="18"/>
      <c r="D7499" s="19"/>
      <c r="E7499" s="57"/>
      <c r="H7499" s="18"/>
    </row>
    <row r="7500">
      <c r="C7500" s="18"/>
      <c r="D7500" s="19"/>
      <c r="E7500" s="57"/>
      <c r="H7500" s="18"/>
    </row>
    <row r="7501">
      <c r="C7501" s="18"/>
      <c r="D7501" s="19"/>
      <c r="E7501" s="57"/>
      <c r="H7501" s="18"/>
    </row>
    <row r="7502">
      <c r="C7502" s="18"/>
      <c r="D7502" s="19"/>
      <c r="E7502" s="57"/>
      <c r="H7502" s="18"/>
    </row>
    <row r="7503">
      <c r="C7503" s="18"/>
      <c r="D7503" s="19"/>
      <c r="E7503" s="57"/>
      <c r="H7503" s="18"/>
    </row>
    <row r="7504">
      <c r="C7504" s="18"/>
      <c r="D7504" s="19"/>
      <c r="E7504" s="57"/>
      <c r="H7504" s="18"/>
    </row>
    <row r="7505">
      <c r="C7505" s="18"/>
      <c r="D7505" s="19"/>
      <c r="E7505" s="57"/>
      <c r="H7505" s="18"/>
    </row>
    <row r="7506">
      <c r="C7506" s="18"/>
      <c r="D7506" s="19"/>
      <c r="E7506" s="57"/>
      <c r="H7506" s="18"/>
    </row>
    <row r="7507">
      <c r="C7507" s="18"/>
      <c r="D7507" s="19"/>
      <c r="E7507" s="57"/>
      <c r="H7507" s="18"/>
    </row>
    <row r="7508">
      <c r="C7508" s="18"/>
      <c r="D7508" s="19"/>
      <c r="E7508" s="57"/>
      <c r="H7508" s="18"/>
    </row>
    <row r="7509">
      <c r="C7509" s="18"/>
      <c r="D7509" s="19"/>
      <c r="E7509" s="57"/>
      <c r="H7509" s="18"/>
    </row>
    <row r="7510">
      <c r="C7510" s="18"/>
      <c r="D7510" s="19"/>
      <c r="E7510" s="57"/>
      <c r="H7510" s="18"/>
    </row>
    <row r="7511">
      <c r="C7511" s="18"/>
      <c r="D7511" s="19"/>
      <c r="E7511" s="57"/>
      <c r="H7511" s="18"/>
    </row>
    <row r="7512">
      <c r="C7512" s="18"/>
      <c r="D7512" s="19"/>
      <c r="E7512" s="57"/>
      <c r="H7512" s="18"/>
    </row>
    <row r="7513">
      <c r="C7513" s="18"/>
      <c r="D7513" s="19"/>
      <c r="E7513" s="57"/>
      <c r="H7513" s="18"/>
    </row>
    <row r="7514">
      <c r="C7514" s="18"/>
      <c r="D7514" s="19"/>
      <c r="E7514" s="57"/>
      <c r="H7514" s="18"/>
    </row>
    <row r="7515">
      <c r="C7515" s="18"/>
      <c r="D7515" s="19"/>
      <c r="E7515" s="57"/>
      <c r="H7515" s="18"/>
    </row>
    <row r="7516">
      <c r="C7516" s="18"/>
      <c r="D7516" s="19"/>
      <c r="E7516" s="57"/>
      <c r="H7516" s="18"/>
    </row>
    <row r="7517">
      <c r="C7517" s="18"/>
      <c r="D7517" s="19"/>
      <c r="E7517" s="57"/>
      <c r="H7517" s="18"/>
    </row>
    <row r="7518">
      <c r="C7518" s="18"/>
      <c r="D7518" s="19"/>
      <c r="E7518" s="57"/>
      <c r="H7518" s="18"/>
    </row>
    <row r="7519">
      <c r="C7519" s="18"/>
      <c r="D7519" s="19"/>
      <c r="E7519" s="57"/>
      <c r="H7519" s="18"/>
    </row>
    <row r="7520">
      <c r="C7520" s="18"/>
      <c r="D7520" s="19"/>
      <c r="E7520" s="57"/>
      <c r="H7520" s="18"/>
    </row>
    <row r="7521">
      <c r="C7521" s="18"/>
      <c r="D7521" s="19"/>
      <c r="E7521" s="57"/>
      <c r="H7521" s="18"/>
    </row>
    <row r="7522">
      <c r="C7522" s="18"/>
      <c r="D7522" s="19"/>
      <c r="E7522" s="57"/>
      <c r="H7522" s="18"/>
    </row>
    <row r="7523">
      <c r="C7523" s="18"/>
      <c r="D7523" s="19"/>
      <c r="E7523" s="57"/>
      <c r="H7523" s="18"/>
    </row>
    <row r="7524">
      <c r="C7524" s="18"/>
      <c r="D7524" s="19"/>
      <c r="E7524" s="57"/>
      <c r="H7524" s="18"/>
    </row>
    <row r="7525">
      <c r="C7525" s="18"/>
      <c r="D7525" s="19"/>
      <c r="E7525" s="57"/>
      <c r="H7525" s="18"/>
    </row>
    <row r="7526">
      <c r="C7526" s="18"/>
      <c r="D7526" s="19"/>
      <c r="E7526" s="57"/>
      <c r="H7526" s="18"/>
    </row>
    <row r="7527">
      <c r="C7527" s="18"/>
      <c r="D7527" s="19"/>
      <c r="E7527" s="57"/>
      <c r="H7527" s="18"/>
    </row>
    <row r="7528">
      <c r="C7528" s="18"/>
      <c r="D7528" s="19"/>
      <c r="E7528" s="57"/>
      <c r="H7528" s="18"/>
    </row>
    <row r="7529">
      <c r="C7529" s="18"/>
      <c r="D7529" s="19"/>
      <c r="E7529" s="57"/>
      <c r="H7529" s="18"/>
    </row>
    <row r="7530">
      <c r="C7530" s="18"/>
      <c r="D7530" s="19"/>
      <c r="E7530" s="57"/>
      <c r="H7530" s="18"/>
    </row>
    <row r="7531">
      <c r="C7531" s="18"/>
      <c r="D7531" s="19"/>
      <c r="E7531" s="57"/>
      <c r="H7531" s="18"/>
    </row>
    <row r="7532">
      <c r="C7532" s="18"/>
      <c r="D7532" s="19"/>
      <c r="E7532" s="57"/>
      <c r="H7532" s="18"/>
    </row>
    <row r="7533">
      <c r="C7533" s="18"/>
      <c r="D7533" s="19"/>
      <c r="E7533" s="57"/>
      <c r="H7533" s="18"/>
    </row>
    <row r="7534">
      <c r="C7534" s="18"/>
      <c r="D7534" s="19"/>
      <c r="E7534" s="57"/>
      <c r="H7534" s="18"/>
    </row>
    <row r="7535">
      <c r="C7535" s="18"/>
      <c r="D7535" s="19"/>
      <c r="E7535" s="57"/>
      <c r="H7535" s="18"/>
    </row>
    <row r="7536">
      <c r="C7536" s="18"/>
      <c r="D7536" s="19"/>
      <c r="E7536" s="57"/>
      <c r="H7536" s="18"/>
    </row>
    <row r="7537">
      <c r="C7537" s="18"/>
      <c r="D7537" s="19"/>
      <c r="E7537" s="57"/>
      <c r="H7537" s="18"/>
    </row>
    <row r="7538">
      <c r="C7538" s="18"/>
      <c r="D7538" s="19"/>
      <c r="E7538" s="57"/>
      <c r="H7538" s="18"/>
    </row>
    <row r="7539">
      <c r="C7539" s="18"/>
      <c r="D7539" s="19"/>
      <c r="E7539" s="57"/>
      <c r="H7539" s="18"/>
    </row>
    <row r="7540">
      <c r="C7540" s="18"/>
      <c r="D7540" s="19"/>
      <c r="E7540" s="57"/>
      <c r="H7540" s="18"/>
    </row>
    <row r="7541">
      <c r="C7541" s="18"/>
      <c r="D7541" s="19"/>
      <c r="E7541" s="57"/>
      <c r="H7541" s="18"/>
    </row>
    <row r="7542">
      <c r="C7542" s="18"/>
      <c r="D7542" s="19"/>
      <c r="E7542" s="57"/>
      <c r="H7542" s="18"/>
    </row>
    <row r="7543">
      <c r="C7543" s="18"/>
      <c r="D7543" s="19"/>
      <c r="E7543" s="57"/>
      <c r="H7543" s="18"/>
    </row>
    <row r="7544">
      <c r="C7544" s="18"/>
      <c r="D7544" s="19"/>
      <c r="E7544" s="57"/>
      <c r="H7544" s="18"/>
    </row>
    <row r="7545">
      <c r="C7545" s="18"/>
      <c r="D7545" s="19"/>
      <c r="E7545" s="57"/>
      <c r="H7545" s="18"/>
    </row>
    <row r="7546">
      <c r="C7546" s="18"/>
      <c r="D7546" s="19"/>
      <c r="E7546" s="57"/>
      <c r="H7546" s="18"/>
    </row>
    <row r="7547">
      <c r="C7547" s="18"/>
      <c r="D7547" s="19"/>
      <c r="E7547" s="57"/>
      <c r="H7547" s="18"/>
    </row>
    <row r="7548">
      <c r="C7548" s="18"/>
      <c r="D7548" s="19"/>
      <c r="E7548" s="57"/>
      <c r="H7548" s="18"/>
    </row>
    <row r="7549">
      <c r="C7549" s="18"/>
      <c r="D7549" s="19"/>
      <c r="E7549" s="57"/>
      <c r="H7549" s="18"/>
    </row>
    <row r="7550">
      <c r="C7550" s="18"/>
      <c r="D7550" s="19"/>
      <c r="E7550" s="57"/>
      <c r="H7550" s="18"/>
    </row>
    <row r="7551">
      <c r="C7551" s="18"/>
      <c r="D7551" s="19"/>
      <c r="E7551" s="57"/>
      <c r="H7551" s="18"/>
    </row>
    <row r="7552">
      <c r="C7552" s="18"/>
      <c r="D7552" s="19"/>
      <c r="E7552" s="57"/>
      <c r="H7552" s="18"/>
    </row>
    <row r="7553">
      <c r="C7553" s="18"/>
      <c r="D7553" s="19"/>
      <c r="E7553" s="57"/>
      <c r="H7553" s="18"/>
    </row>
    <row r="7554">
      <c r="C7554" s="18"/>
      <c r="D7554" s="19"/>
      <c r="E7554" s="57"/>
      <c r="H7554" s="18"/>
    </row>
    <row r="7555">
      <c r="C7555" s="18"/>
      <c r="D7555" s="19"/>
      <c r="E7555" s="57"/>
      <c r="H7555" s="18"/>
    </row>
    <row r="7556">
      <c r="C7556" s="18"/>
      <c r="D7556" s="19"/>
      <c r="E7556" s="57"/>
      <c r="H7556" s="18"/>
    </row>
    <row r="7557">
      <c r="C7557" s="18"/>
      <c r="D7557" s="19"/>
      <c r="E7557" s="57"/>
      <c r="H7557" s="18"/>
    </row>
    <row r="7558">
      <c r="C7558" s="18"/>
      <c r="D7558" s="19"/>
      <c r="E7558" s="57"/>
      <c r="H7558" s="18"/>
    </row>
    <row r="7559">
      <c r="C7559" s="18"/>
      <c r="D7559" s="19"/>
      <c r="E7559" s="57"/>
      <c r="H7559" s="18"/>
    </row>
    <row r="7560">
      <c r="C7560" s="18"/>
      <c r="D7560" s="19"/>
      <c r="E7560" s="57"/>
      <c r="H7560" s="18"/>
    </row>
    <row r="7561">
      <c r="C7561" s="18"/>
      <c r="D7561" s="19"/>
      <c r="E7561" s="57"/>
      <c r="H7561" s="18"/>
    </row>
    <row r="7562">
      <c r="C7562" s="18"/>
      <c r="D7562" s="19"/>
      <c r="E7562" s="57"/>
      <c r="H7562" s="18"/>
    </row>
    <row r="7563">
      <c r="C7563" s="18"/>
      <c r="D7563" s="19"/>
      <c r="E7563" s="57"/>
      <c r="H7563" s="18"/>
    </row>
    <row r="7564">
      <c r="C7564" s="18"/>
      <c r="D7564" s="19"/>
      <c r="E7564" s="57"/>
      <c r="H7564" s="18"/>
    </row>
    <row r="7565">
      <c r="C7565" s="18"/>
      <c r="D7565" s="19"/>
      <c r="E7565" s="57"/>
      <c r="H7565" s="18"/>
    </row>
    <row r="7566">
      <c r="C7566" s="18"/>
      <c r="D7566" s="19"/>
      <c r="E7566" s="57"/>
      <c r="H7566" s="18"/>
    </row>
    <row r="7567">
      <c r="C7567" s="18"/>
      <c r="D7567" s="19"/>
      <c r="E7567" s="57"/>
      <c r="H7567" s="18"/>
    </row>
    <row r="7568">
      <c r="C7568" s="18"/>
      <c r="D7568" s="19"/>
      <c r="E7568" s="57"/>
      <c r="H7568" s="18"/>
    </row>
    <row r="7569">
      <c r="C7569" s="18"/>
      <c r="D7569" s="19"/>
      <c r="E7569" s="57"/>
      <c r="H7569" s="18"/>
    </row>
    <row r="7570">
      <c r="C7570" s="18"/>
      <c r="D7570" s="19"/>
      <c r="E7570" s="57"/>
      <c r="H7570" s="18"/>
    </row>
    <row r="7571">
      <c r="C7571" s="18"/>
      <c r="D7571" s="19"/>
      <c r="E7571" s="57"/>
      <c r="H7571" s="18"/>
    </row>
    <row r="7572">
      <c r="C7572" s="18"/>
      <c r="D7572" s="19"/>
      <c r="E7572" s="57"/>
      <c r="H7572" s="18"/>
    </row>
    <row r="7573">
      <c r="C7573" s="18"/>
      <c r="D7573" s="19"/>
      <c r="E7573" s="57"/>
      <c r="H7573" s="18"/>
    </row>
    <row r="7574">
      <c r="C7574" s="18"/>
      <c r="D7574" s="19"/>
      <c r="E7574" s="57"/>
      <c r="H7574" s="18"/>
    </row>
    <row r="7575">
      <c r="C7575" s="18"/>
      <c r="D7575" s="19"/>
      <c r="E7575" s="57"/>
      <c r="H7575" s="18"/>
    </row>
    <row r="7576">
      <c r="C7576" s="18"/>
      <c r="D7576" s="19"/>
      <c r="E7576" s="57"/>
      <c r="H7576" s="18"/>
    </row>
    <row r="7577">
      <c r="C7577" s="18"/>
      <c r="D7577" s="19"/>
      <c r="E7577" s="57"/>
      <c r="H7577" s="18"/>
    </row>
    <row r="7578">
      <c r="C7578" s="18"/>
      <c r="D7578" s="19"/>
      <c r="E7578" s="57"/>
      <c r="H7578" s="18"/>
    </row>
    <row r="7579">
      <c r="C7579" s="18"/>
      <c r="D7579" s="19"/>
      <c r="E7579" s="57"/>
      <c r="H7579" s="18"/>
    </row>
    <row r="7580">
      <c r="C7580" s="18"/>
      <c r="D7580" s="19"/>
      <c r="E7580" s="57"/>
      <c r="H7580" s="18"/>
    </row>
    <row r="7581">
      <c r="C7581" s="18"/>
      <c r="D7581" s="19"/>
      <c r="E7581" s="57"/>
      <c r="H7581" s="18"/>
    </row>
    <row r="7582">
      <c r="C7582" s="18"/>
      <c r="D7582" s="19"/>
      <c r="E7582" s="57"/>
      <c r="H7582" s="18"/>
    </row>
    <row r="7583">
      <c r="C7583" s="18"/>
      <c r="D7583" s="19"/>
      <c r="E7583" s="57"/>
      <c r="H7583" s="18"/>
    </row>
    <row r="7584">
      <c r="C7584" s="18"/>
      <c r="D7584" s="19"/>
      <c r="E7584" s="57"/>
      <c r="H7584" s="18"/>
    </row>
    <row r="7585">
      <c r="C7585" s="18"/>
      <c r="D7585" s="19"/>
      <c r="E7585" s="57"/>
      <c r="H7585" s="18"/>
    </row>
    <row r="7586">
      <c r="C7586" s="18"/>
      <c r="D7586" s="19"/>
      <c r="E7586" s="57"/>
      <c r="H7586" s="18"/>
    </row>
    <row r="7587">
      <c r="C7587" s="18"/>
      <c r="D7587" s="19"/>
      <c r="E7587" s="57"/>
      <c r="H7587" s="18"/>
    </row>
    <row r="7588">
      <c r="C7588" s="18"/>
      <c r="D7588" s="19"/>
      <c r="E7588" s="57"/>
      <c r="H7588" s="18"/>
    </row>
    <row r="7589">
      <c r="C7589" s="18"/>
      <c r="D7589" s="19"/>
      <c r="E7589" s="57"/>
      <c r="H7589" s="18"/>
    </row>
    <row r="7590">
      <c r="C7590" s="18"/>
      <c r="D7590" s="19"/>
      <c r="E7590" s="57"/>
      <c r="H7590" s="18"/>
    </row>
    <row r="7591">
      <c r="C7591" s="18"/>
      <c r="D7591" s="19"/>
      <c r="E7591" s="57"/>
      <c r="H7591" s="18"/>
    </row>
    <row r="7592">
      <c r="C7592" s="18"/>
      <c r="D7592" s="19"/>
      <c r="E7592" s="57"/>
      <c r="H7592" s="18"/>
    </row>
    <row r="7593">
      <c r="C7593" s="18"/>
      <c r="D7593" s="19"/>
      <c r="E7593" s="57"/>
      <c r="H7593" s="18"/>
    </row>
    <row r="7594">
      <c r="C7594" s="18"/>
      <c r="D7594" s="19"/>
      <c r="E7594" s="57"/>
      <c r="H7594" s="18"/>
    </row>
    <row r="7595">
      <c r="C7595" s="18"/>
      <c r="D7595" s="19"/>
      <c r="E7595" s="57"/>
      <c r="H7595" s="18"/>
    </row>
    <row r="7596">
      <c r="C7596" s="18"/>
      <c r="D7596" s="19"/>
      <c r="E7596" s="57"/>
      <c r="H7596" s="18"/>
    </row>
    <row r="7597">
      <c r="C7597" s="18"/>
      <c r="D7597" s="19"/>
      <c r="E7597" s="57"/>
      <c r="H7597" s="18"/>
    </row>
    <row r="7598">
      <c r="C7598" s="18"/>
      <c r="D7598" s="19"/>
      <c r="E7598" s="57"/>
      <c r="H7598" s="18"/>
    </row>
    <row r="7599">
      <c r="C7599" s="18"/>
      <c r="D7599" s="19"/>
      <c r="E7599" s="57"/>
      <c r="H7599" s="18"/>
    </row>
    <row r="7600">
      <c r="C7600" s="18"/>
      <c r="D7600" s="19"/>
      <c r="E7600" s="57"/>
      <c r="H7600" s="18"/>
    </row>
    <row r="7601">
      <c r="C7601" s="18"/>
      <c r="D7601" s="19"/>
      <c r="E7601" s="57"/>
      <c r="H7601" s="18"/>
    </row>
    <row r="7602">
      <c r="C7602" s="18"/>
      <c r="D7602" s="19"/>
      <c r="E7602" s="57"/>
      <c r="H7602" s="18"/>
    </row>
    <row r="7603">
      <c r="C7603" s="18"/>
      <c r="D7603" s="19"/>
      <c r="E7603" s="57"/>
      <c r="H7603" s="18"/>
    </row>
    <row r="7604">
      <c r="C7604" s="18"/>
      <c r="D7604" s="19"/>
      <c r="E7604" s="57"/>
      <c r="H7604" s="18"/>
    </row>
    <row r="7605">
      <c r="C7605" s="18"/>
      <c r="D7605" s="19"/>
      <c r="E7605" s="57"/>
      <c r="H7605" s="18"/>
    </row>
    <row r="7606">
      <c r="C7606" s="18"/>
      <c r="D7606" s="19"/>
      <c r="E7606" s="57"/>
      <c r="H7606" s="18"/>
    </row>
    <row r="7607">
      <c r="C7607" s="18"/>
      <c r="D7607" s="19"/>
      <c r="E7607" s="57"/>
      <c r="H7607" s="18"/>
    </row>
    <row r="7608">
      <c r="C7608" s="18"/>
      <c r="D7608" s="19"/>
      <c r="E7608" s="57"/>
      <c r="H7608" s="18"/>
    </row>
    <row r="7609">
      <c r="C7609" s="18"/>
      <c r="D7609" s="19"/>
      <c r="E7609" s="57"/>
      <c r="H7609" s="18"/>
    </row>
    <row r="7610">
      <c r="C7610" s="18"/>
      <c r="D7610" s="19"/>
      <c r="E7610" s="57"/>
      <c r="H7610" s="18"/>
    </row>
    <row r="7611">
      <c r="C7611" s="18"/>
      <c r="D7611" s="19"/>
      <c r="E7611" s="57"/>
      <c r="H7611" s="18"/>
    </row>
    <row r="7612">
      <c r="C7612" s="18"/>
      <c r="D7612" s="19"/>
      <c r="E7612" s="57"/>
      <c r="H7612" s="18"/>
    </row>
    <row r="7613">
      <c r="C7613" s="18"/>
      <c r="D7613" s="19"/>
      <c r="E7613" s="57"/>
      <c r="H7613" s="18"/>
    </row>
    <row r="7614">
      <c r="C7614" s="18"/>
      <c r="D7614" s="19"/>
      <c r="E7614" s="57"/>
      <c r="H7614" s="18"/>
    </row>
    <row r="7615">
      <c r="C7615" s="18"/>
      <c r="D7615" s="19"/>
      <c r="E7615" s="57"/>
      <c r="H7615" s="18"/>
    </row>
    <row r="7616">
      <c r="C7616" s="18"/>
      <c r="D7616" s="19"/>
      <c r="E7616" s="57"/>
      <c r="H7616" s="18"/>
    </row>
    <row r="7617">
      <c r="C7617" s="18"/>
      <c r="D7617" s="19"/>
      <c r="E7617" s="57"/>
      <c r="H7617" s="18"/>
    </row>
    <row r="7618">
      <c r="C7618" s="18"/>
      <c r="D7618" s="19"/>
      <c r="E7618" s="57"/>
      <c r="H7618" s="18"/>
    </row>
    <row r="7619">
      <c r="C7619" s="18"/>
      <c r="D7619" s="19"/>
      <c r="E7619" s="57"/>
      <c r="H7619" s="18"/>
    </row>
    <row r="7620">
      <c r="C7620" s="18"/>
      <c r="D7620" s="19"/>
      <c r="E7620" s="57"/>
      <c r="H7620" s="18"/>
    </row>
    <row r="7621">
      <c r="C7621" s="18"/>
      <c r="D7621" s="19"/>
      <c r="E7621" s="57"/>
      <c r="H7621" s="18"/>
    </row>
    <row r="7622">
      <c r="C7622" s="18"/>
      <c r="D7622" s="19"/>
      <c r="E7622" s="57"/>
      <c r="H7622" s="18"/>
    </row>
    <row r="7623">
      <c r="C7623" s="18"/>
      <c r="D7623" s="19"/>
      <c r="E7623" s="57"/>
      <c r="H7623" s="18"/>
    </row>
    <row r="7624">
      <c r="C7624" s="18"/>
      <c r="D7624" s="19"/>
      <c r="E7624" s="57"/>
      <c r="H7624" s="18"/>
    </row>
    <row r="7625">
      <c r="C7625" s="18"/>
      <c r="D7625" s="19"/>
      <c r="E7625" s="57"/>
      <c r="H7625" s="18"/>
    </row>
    <row r="7626">
      <c r="C7626" s="18"/>
      <c r="D7626" s="19"/>
      <c r="E7626" s="57"/>
      <c r="H7626" s="18"/>
    </row>
    <row r="7627">
      <c r="C7627" s="18"/>
      <c r="D7627" s="19"/>
      <c r="E7627" s="57"/>
      <c r="H7627" s="18"/>
    </row>
    <row r="7628">
      <c r="C7628" s="18"/>
      <c r="D7628" s="19"/>
      <c r="E7628" s="57"/>
      <c r="H7628" s="18"/>
    </row>
    <row r="7629">
      <c r="C7629" s="18"/>
      <c r="D7629" s="19"/>
      <c r="E7629" s="57"/>
      <c r="H7629" s="18"/>
    </row>
    <row r="7630">
      <c r="C7630" s="18"/>
      <c r="D7630" s="19"/>
      <c r="E7630" s="57"/>
      <c r="H7630" s="18"/>
    </row>
    <row r="7631">
      <c r="C7631" s="18"/>
      <c r="D7631" s="19"/>
      <c r="E7631" s="57"/>
      <c r="H7631" s="18"/>
    </row>
    <row r="7632">
      <c r="C7632" s="18"/>
      <c r="D7632" s="19"/>
      <c r="E7632" s="57"/>
      <c r="H7632" s="18"/>
    </row>
    <row r="7633">
      <c r="C7633" s="18"/>
      <c r="D7633" s="19"/>
      <c r="E7633" s="57"/>
      <c r="H7633" s="18"/>
    </row>
    <row r="7634">
      <c r="C7634" s="18"/>
      <c r="D7634" s="19"/>
      <c r="E7634" s="57"/>
      <c r="H7634" s="18"/>
    </row>
    <row r="7635">
      <c r="C7635" s="18"/>
      <c r="D7635" s="19"/>
      <c r="E7635" s="57"/>
      <c r="H7635" s="18"/>
    </row>
    <row r="7636">
      <c r="C7636" s="18"/>
      <c r="D7636" s="19"/>
      <c r="E7636" s="57"/>
      <c r="H7636" s="18"/>
    </row>
    <row r="7637">
      <c r="C7637" s="18"/>
      <c r="D7637" s="19"/>
      <c r="E7637" s="57"/>
      <c r="H7637" s="18"/>
    </row>
    <row r="7638">
      <c r="C7638" s="18"/>
      <c r="D7638" s="19"/>
      <c r="E7638" s="57"/>
      <c r="H7638" s="18"/>
    </row>
    <row r="7639">
      <c r="C7639" s="18"/>
      <c r="D7639" s="19"/>
      <c r="E7639" s="57"/>
      <c r="H7639" s="18"/>
    </row>
    <row r="7640">
      <c r="C7640" s="18"/>
      <c r="D7640" s="19"/>
      <c r="E7640" s="57"/>
      <c r="H7640" s="18"/>
    </row>
    <row r="7641">
      <c r="C7641" s="18"/>
      <c r="D7641" s="19"/>
      <c r="E7641" s="57"/>
      <c r="H7641" s="18"/>
    </row>
    <row r="7642">
      <c r="C7642" s="18"/>
      <c r="D7642" s="19"/>
      <c r="E7642" s="57"/>
      <c r="H7642" s="18"/>
    </row>
    <row r="7643">
      <c r="C7643" s="18"/>
      <c r="D7643" s="19"/>
      <c r="E7643" s="57"/>
      <c r="H7643" s="18"/>
    </row>
    <row r="7644">
      <c r="C7644" s="18"/>
      <c r="D7644" s="19"/>
      <c r="E7644" s="57"/>
      <c r="H7644" s="18"/>
    </row>
    <row r="7645">
      <c r="C7645" s="18"/>
      <c r="D7645" s="19"/>
      <c r="E7645" s="57"/>
      <c r="H7645" s="18"/>
    </row>
    <row r="7646">
      <c r="C7646" s="18"/>
      <c r="D7646" s="19"/>
      <c r="E7646" s="57"/>
      <c r="H7646" s="18"/>
    </row>
    <row r="7647">
      <c r="C7647" s="18"/>
      <c r="D7647" s="19"/>
      <c r="E7647" s="57"/>
      <c r="H7647" s="18"/>
    </row>
    <row r="7648">
      <c r="C7648" s="18"/>
      <c r="D7648" s="19"/>
      <c r="E7648" s="57"/>
      <c r="H7648" s="18"/>
    </row>
    <row r="7649">
      <c r="C7649" s="18"/>
      <c r="D7649" s="19"/>
      <c r="E7649" s="57"/>
      <c r="H7649" s="18"/>
    </row>
    <row r="7650">
      <c r="C7650" s="18"/>
      <c r="D7650" s="19"/>
      <c r="E7650" s="57"/>
      <c r="H7650" s="18"/>
    </row>
    <row r="7651">
      <c r="C7651" s="18"/>
      <c r="D7651" s="19"/>
      <c r="E7651" s="57"/>
      <c r="H7651" s="18"/>
    </row>
    <row r="7652">
      <c r="C7652" s="18"/>
      <c r="D7652" s="19"/>
      <c r="E7652" s="57"/>
      <c r="H7652" s="18"/>
    </row>
    <row r="7653">
      <c r="C7653" s="18"/>
      <c r="D7653" s="19"/>
      <c r="E7653" s="57"/>
      <c r="H7653" s="18"/>
    </row>
    <row r="7654">
      <c r="C7654" s="18"/>
      <c r="D7654" s="19"/>
      <c r="E7654" s="57"/>
      <c r="H7654" s="18"/>
    </row>
    <row r="7655">
      <c r="C7655" s="18"/>
      <c r="D7655" s="19"/>
      <c r="E7655" s="57"/>
      <c r="H7655" s="18"/>
    </row>
    <row r="7656">
      <c r="C7656" s="18"/>
      <c r="D7656" s="19"/>
      <c r="E7656" s="57"/>
      <c r="H7656" s="18"/>
    </row>
    <row r="7657">
      <c r="C7657" s="18"/>
      <c r="D7657" s="19"/>
      <c r="E7657" s="57"/>
      <c r="H7657" s="18"/>
    </row>
    <row r="7658">
      <c r="C7658" s="18"/>
      <c r="D7658" s="19"/>
      <c r="E7658" s="57"/>
      <c r="H7658" s="18"/>
    </row>
    <row r="7659">
      <c r="C7659" s="18"/>
      <c r="D7659" s="19"/>
      <c r="E7659" s="57"/>
      <c r="H7659" s="18"/>
    </row>
    <row r="7660">
      <c r="C7660" s="18"/>
      <c r="D7660" s="19"/>
      <c r="E7660" s="57"/>
      <c r="H7660" s="18"/>
    </row>
    <row r="7661">
      <c r="C7661" s="18"/>
      <c r="D7661" s="19"/>
      <c r="E7661" s="57"/>
      <c r="H7661" s="18"/>
    </row>
    <row r="7662">
      <c r="C7662" s="18"/>
      <c r="D7662" s="19"/>
      <c r="E7662" s="57"/>
      <c r="H7662" s="18"/>
    </row>
    <row r="7663">
      <c r="C7663" s="18"/>
      <c r="D7663" s="19"/>
      <c r="E7663" s="57"/>
      <c r="H7663" s="18"/>
    </row>
    <row r="7664">
      <c r="C7664" s="18"/>
      <c r="D7664" s="19"/>
      <c r="E7664" s="57"/>
      <c r="H7664" s="18"/>
    </row>
    <row r="7665">
      <c r="C7665" s="18"/>
      <c r="D7665" s="19"/>
      <c r="E7665" s="57"/>
      <c r="H7665" s="18"/>
    </row>
    <row r="7666">
      <c r="C7666" s="18"/>
      <c r="D7666" s="19"/>
      <c r="E7666" s="57"/>
      <c r="H7666" s="18"/>
    </row>
    <row r="7667">
      <c r="C7667" s="18"/>
      <c r="D7667" s="19"/>
      <c r="E7667" s="57"/>
      <c r="H7667" s="18"/>
    </row>
    <row r="7668">
      <c r="C7668" s="18"/>
      <c r="D7668" s="19"/>
      <c r="E7668" s="57"/>
      <c r="H7668" s="18"/>
    </row>
    <row r="7669">
      <c r="C7669" s="18"/>
      <c r="D7669" s="19"/>
      <c r="E7669" s="57"/>
      <c r="H7669" s="18"/>
    </row>
    <row r="7670">
      <c r="C7670" s="18"/>
      <c r="D7670" s="19"/>
      <c r="E7670" s="57"/>
      <c r="H7670" s="18"/>
    </row>
    <row r="7671">
      <c r="C7671" s="18"/>
      <c r="D7671" s="19"/>
      <c r="E7671" s="57"/>
      <c r="H7671" s="18"/>
    </row>
    <row r="7672">
      <c r="C7672" s="18"/>
      <c r="D7672" s="19"/>
      <c r="E7672" s="57"/>
      <c r="H7672" s="18"/>
    </row>
    <row r="7673">
      <c r="C7673" s="18"/>
      <c r="D7673" s="19"/>
      <c r="E7673" s="57"/>
      <c r="H7673" s="18"/>
    </row>
    <row r="7674">
      <c r="C7674" s="18"/>
      <c r="D7674" s="19"/>
      <c r="E7674" s="57"/>
      <c r="H7674" s="18"/>
    </row>
    <row r="7675">
      <c r="C7675" s="18"/>
      <c r="D7675" s="19"/>
      <c r="E7675" s="57"/>
      <c r="H7675" s="18"/>
    </row>
    <row r="7676">
      <c r="C7676" s="18"/>
      <c r="D7676" s="19"/>
      <c r="E7676" s="57"/>
      <c r="H7676" s="18"/>
    </row>
    <row r="7677">
      <c r="C7677" s="18"/>
      <c r="D7677" s="19"/>
      <c r="E7677" s="57"/>
      <c r="H7677" s="18"/>
    </row>
    <row r="7678">
      <c r="C7678" s="18"/>
      <c r="D7678" s="19"/>
      <c r="E7678" s="57"/>
      <c r="H7678" s="18"/>
    </row>
    <row r="7679">
      <c r="C7679" s="18"/>
      <c r="D7679" s="19"/>
      <c r="E7679" s="57"/>
      <c r="H7679" s="18"/>
    </row>
    <row r="7680">
      <c r="C7680" s="18"/>
      <c r="D7680" s="19"/>
      <c r="E7680" s="57"/>
      <c r="H7680" s="18"/>
    </row>
    <row r="7681">
      <c r="C7681" s="18"/>
      <c r="D7681" s="19"/>
      <c r="E7681" s="57"/>
      <c r="H7681" s="18"/>
    </row>
    <row r="7682">
      <c r="C7682" s="18"/>
      <c r="D7682" s="19"/>
      <c r="E7682" s="57"/>
      <c r="H7682" s="18"/>
    </row>
    <row r="7683">
      <c r="C7683" s="18"/>
      <c r="D7683" s="19"/>
      <c r="E7683" s="57"/>
      <c r="H7683" s="18"/>
    </row>
    <row r="7684">
      <c r="C7684" s="18"/>
      <c r="D7684" s="19"/>
      <c r="E7684" s="57"/>
      <c r="H7684" s="18"/>
    </row>
    <row r="7685">
      <c r="C7685" s="18"/>
      <c r="D7685" s="19"/>
      <c r="E7685" s="57"/>
      <c r="H7685" s="18"/>
    </row>
    <row r="7686">
      <c r="C7686" s="18"/>
      <c r="D7686" s="19"/>
      <c r="E7686" s="57"/>
      <c r="H7686" s="18"/>
    </row>
    <row r="7687">
      <c r="C7687" s="18"/>
      <c r="D7687" s="19"/>
      <c r="E7687" s="57"/>
      <c r="H7687" s="18"/>
    </row>
    <row r="7688">
      <c r="C7688" s="18"/>
      <c r="D7688" s="19"/>
      <c r="E7688" s="57"/>
      <c r="H7688" s="18"/>
    </row>
    <row r="7689">
      <c r="C7689" s="18"/>
      <c r="D7689" s="19"/>
      <c r="E7689" s="57"/>
      <c r="H7689" s="18"/>
    </row>
    <row r="7690">
      <c r="C7690" s="18"/>
      <c r="D7690" s="19"/>
      <c r="E7690" s="57"/>
      <c r="H7690" s="18"/>
    </row>
    <row r="7691">
      <c r="C7691" s="18"/>
      <c r="D7691" s="19"/>
      <c r="E7691" s="57"/>
      <c r="H7691" s="18"/>
    </row>
    <row r="7692">
      <c r="C7692" s="18"/>
      <c r="D7692" s="19"/>
      <c r="E7692" s="57"/>
      <c r="H7692" s="18"/>
    </row>
    <row r="7693">
      <c r="C7693" s="18"/>
      <c r="D7693" s="19"/>
      <c r="E7693" s="57"/>
      <c r="H7693" s="18"/>
    </row>
    <row r="7694">
      <c r="C7694" s="18"/>
      <c r="D7694" s="19"/>
      <c r="E7694" s="57"/>
      <c r="H7694" s="18"/>
    </row>
    <row r="7695">
      <c r="C7695" s="18"/>
      <c r="D7695" s="19"/>
      <c r="E7695" s="57"/>
      <c r="H7695" s="18"/>
    </row>
    <row r="7696">
      <c r="C7696" s="18"/>
      <c r="D7696" s="19"/>
      <c r="E7696" s="57"/>
      <c r="H7696" s="18"/>
    </row>
    <row r="7697">
      <c r="C7697" s="18"/>
      <c r="D7697" s="19"/>
      <c r="E7697" s="57"/>
      <c r="H7697" s="18"/>
    </row>
    <row r="7698">
      <c r="C7698" s="18"/>
      <c r="D7698" s="19"/>
      <c r="E7698" s="57"/>
      <c r="H7698" s="18"/>
    </row>
    <row r="7699">
      <c r="C7699" s="18"/>
      <c r="D7699" s="19"/>
      <c r="E7699" s="57"/>
      <c r="H7699" s="18"/>
    </row>
    <row r="7700">
      <c r="C7700" s="18"/>
      <c r="D7700" s="19"/>
      <c r="E7700" s="57"/>
      <c r="H7700" s="18"/>
    </row>
    <row r="7701">
      <c r="C7701" s="18"/>
      <c r="D7701" s="19"/>
      <c r="E7701" s="57"/>
      <c r="H7701" s="18"/>
    </row>
    <row r="7702">
      <c r="C7702" s="18"/>
      <c r="D7702" s="19"/>
      <c r="E7702" s="57"/>
      <c r="H7702" s="18"/>
    </row>
    <row r="7703">
      <c r="C7703" s="18"/>
      <c r="D7703" s="19"/>
      <c r="E7703" s="57"/>
      <c r="H7703" s="18"/>
    </row>
    <row r="7704">
      <c r="C7704" s="18"/>
      <c r="D7704" s="19"/>
      <c r="E7704" s="57"/>
      <c r="H7704" s="18"/>
    </row>
    <row r="7705">
      <c r="C7705" s="18"/>
      <c r="D7705" s="19"/>
      <c r="E7705" s="57"/>
      <c r="H7705" s="18"/>
    </row>
    <row r="7706">
      <c r="C7706" s="18"/>
      <c r="D7706" s="19"/>
      <c r="E7706" s="57"/>
      <c r="H7706" s="18"/>
    </row>
    <row r="7707">
      <c r="C7707" s="18"/>
      <c r="D7707" s="19"/>
      <c r="E7707" s="57"/>
      <c r="H7707" s="18"/>
    </row>
    <row r="7708">
      <c r="C7708" s="18"/>
      <c r="D7708" s="19"/>
      <c r="E7708" s="57"/>
      <c r="H7708" s="18"/>
    </row>
    <row r="7709">
      <c r="C7709" s="18"/>
      <c r="D7709" s="19"/>
      <c r="E7709" s="57"/>
      <c r="H7709" s="18"/>
    </row>
    <row r="7710">
      <c r="C7710" s="18"/>
      <c r="D7710" s="19"/>
      <c r="E7710" s="57"/>
      <c r="H7710" s="18"/>
    </row>
    <row r="7711">
      <c r="C7711" s="18"/>
      <c r="D7711" s="19"/>
      <c r="E7711" s="57"/>
      <c r="H7711" s="18"/>
    </row>
    <row r="7712">
      <c r="C7712" s="18"/>
      <c r="D7712" s="19"/>
      <c r="E7712" s="57"/>
      <c r="H7712" s="18"/>
    </row>
    <row r="7713">
      <c r="C7713" s="18"/>
      <c r="D7713" s="19"/>
      <c r="E7713" s="57"/>
      <c r="H7713" s="18"/>
    </row>
    <row r="7714">
      <c r="C7714" s="18"/>
      <c r="D7714" s="19"/>
      <c r="E7714" s="57"/>
      <c r="H7714" s="18"/>
    </row>
    <row r="7715">
      <c r="C7715" s="18"/>
      <c r="D7715" s="19"/>
      <c r="E7715" s="57"/>
      <c r="H7715" s="18"/>
    </row>
    <row r="7716">
      <c r="C7716" s="18"/>
      <c r="D7716" s="19"/>
      <c r="E7716" s="57"/>
      <c r="H7716" s="18"/>
    </row>
    <row r="7717">
      <c r="C7717" s="18"/>
      <c r="D7717" s="19"/>
      <c r="E7717" s="57"/>
      <c r="H7717" s="18"/>
    </row>
    <row r="7718">
      <c r="C7718" s="18"/>
      <c r="D7718" s="19"/>
      <c r="E7718" s="57"/>
      <c r="H7718" s="18"/>
    </row>
    <row r="7719">
      <c r="C7719" s="18"/>
      <c r="D7719" s="19"/>
      <c r="E7719" s="57"/>
      <c r="H7719" s="18"/>
    </row>
    <row r="7720">
      <c r="C7720" s="18"/>
      <c r="D7720" s="19"/>
      <c r="E7720" s="57"/>
      <c r="H7720" s="18"/>
    </row>
    <row r="7721">
      <c r="C7721" s="18"/>
      <c r="D7721" s="19"/>
      <c r="E7721" s="57"/>
      <c r="H7721" s="18"/>
    </row>
    <row r="7722">
      <c r="C7722" s="18"/>
      <c r="D7722" s="19"/>
      <c r="E7722" s="57"/>
      <c r="H7722" s="18"/>
    </row>
    <row r="7723">
      <c r="C7723" s="18"/>
      <c r="D7723" s="19"/>
      <c r="E7723" s="57"/>
      <c r="H7723" s="18"/>
    </row>
    <row r="7724">
      <c r="C7724" s="18"/>
      <c r="D7724" s="19"/>
      <c r="E7724" s="57"/>
      <c r="H7724" s="18"/>
    </row>
    <row r="7725">
      <c r="C7725" s="18"/>
      <c r="D7725" s="19"/>
      <c r="E7725" s="57"/>
      <c r="H7725" s="18"/>
    </row>
    <row r="7726">
      <c r="C7726" s="18"/>
      <c r="D7726" s="19"/>
      <c r="E7726" s="57"/>
      <c r="H7726" s="18"/>
    </row>
    <row r="7727">
      <c r="C7727" s="18"/>
      <c r="D7727" s="19"/>
      <c r="E7727" s="57"/>
      <c r="H7727" s="18"/>
    </row>
    <row r="7728">
      <c r="C7728" s="18"/>
      <c r="D7728" s="19"/>
      <c r="E7728" s="57"/>
      <c r="H7728" s="18"/>
    </row>
    <row r="7729">
      <c r="C7729" s="18"/>
      <c r="D7729" s="19"/>
      <c r="E7729" s="57"/>
      <c r="H7729" s="18"/>
    </row>
    <row r="7730">
      <c r="C7730" s="18"/>
      <c r="D7730" s="19"/>
      <c r="E7730" s="57"/>
      <c r="H7730" s="18"/>
    </row>
    <row r="7731">
      <c r="C7731" s="18"/>
      <c r="D7731" s="19"/>
      <c r="E7731" s="57"/>
      <c r="H7731" s="18"/>
    </row>
    <row r="7732">
      <c r="C7732" s="18"/>
      <c r="D7732" s="19"/>
      <c r="E7732" s="57"/>
      <c r="H7732" s="18"/>
    </row>
    <row r="7733">
      <c r="C7733" s="18"/>
      <c r="D7733" s="19"/>
      <c r="E7733" s="57"/>
      <c r="H7733" s="18"/>
    </row>
    <row r="7734">
      <c r="C7734" s="18"/>
      <c r="D7734" s="19"/>
      <c r="E7734" s="57"/>
      <c r="H7734" s="18"/>
    </row>
    <row r="7735">
      <c r="C7735" s="18"/>
      <c r="D7735" s="19"/>
      <c r="E7735" s="57"/>
      <c r="H7735" s="18"/>
    </row>
    <row r="7736">
      <c r="C7736" s="18"/>
      <c r="D7736" s="19"/>
      <c r="E7736" s="57"/>
      <c r="H7736" s="18"/>
    </row>
    <row r="7737">
      <c r="C7737" s="18"/>
      <c r="D7737" s="19"/>
      <c r="E7737" s="57"/>
      <c r="H7737" s="18"/>
    </row>
    <row r="7738">
      <c r="C7738" s="18"/>
      <c r="D7738" s="19"/>
      <c r="E7738" s="57"/>
      <c r="H7738" s="18"/>
    </row>
    <row r="7739">
      <c r="C7739" s="18"/>
      <c r="D7739" s="19"/>
      <c r="E7739" s="57"/>
      <c r="H7739" s="18"/>
    </row>
    <row r="7740">
      <c r="C7740" s="18"/>
      <c r="D7740" s="19"/>
      <c r="E7740" s="57"/>
      <c r="H7740" s="18"/>
    </row>
    <row r="7741">
      <c r="C7741" s="18"/>
      <c r="D7741" s="19"/>
      <c r="E7741" s="57"/>
      <c r="H7741" s="18"/>
    </row>
    <row r="7742">
      <c r="C7742" s="18"/>
      <c r="D7742" s="19"/>
      <c r="E7742" s="57"/>
      <c r="H7742" s="18"/>
    </row>
    <row r="7743">
      <c r="C7743" s="18"/>
      <c r="D7743" s="19"/>
      <c r="E7743" s="57"/>
      <c r="H7743" s="18"/>
    </row>
    <row r="7744">
      <c r="C7744" s="18"/>
      <c r="D7744" s="19"/>
      <c r="E7744" s="57"/>
      <c r="H7744" s="18"/>
    </row>
    <row r="7745">
      <c r="C7745" s="18"/>
      <c r="D7745" s="19"/>
      <c r="E7745" s="57"/>
      <c r="H7745" s="18"/>
    </row>
    <row r="7746">
      <c r="C7746" s="18"/>
      <c r="D7746" s="19"/>
      <c r="E7746" s="57"/>
      <c r="H7746" s="18"/>
    </row>
    <row r="7747">
      <c r="C7747" s="18"/>
      <c r="D7747" s="19"/>
      <c r="E7747" s="57"/>
      <c r="H7747" s="18"/>
    </row>
    <row r="7748">
      <c r="C7748" s="18"/>
      <c r="D7748" s="19"/>
      <c r="E7748" s="57"/>
      <c r="H7748" s="18"/>
    </row>
    <row r="7749">
      <c r="C7749" s="18"/>
      <c r="D7749" s="19"/>
      <c r="E7749" s="57"/>
      <c r="H7749" s="18"/>
    </row>
    <row r="7750">
      <c r="C7750" s="18"/>
      <c r="D7750" s="19"/>
      <c r="E7750" s="57"/>
      <c r="H7750" s="18"/>
    </row>
    <row r="7751">
      <c r="C7751" s="18"/>
      <c r="D7751" s="19"/>
      <c r="E7751" s="57"/>
      <c r="H7751" s="18"/>
    </row>
    <row r="7752">
      <c r="C7752" s="18"/>
      <c r="D7752" s="19"/>
      <c r="E7752" s="57"/>
      <c r="H7752" s="18"/>
    </row>
    <row r="7753">
      <c r="C7753" s="18"/>
      <c r="D7753" s="19"/>
      <c r="E7753" s="57"/>
      <c r="H7753" s="18"/>
    </row>
    <row r="7754">
      <c r="C7754" s="18"/>
      <c r="D7754" s="19"/>
      <c r="E7754" s="57"/>
      <c r="H7754" s="18"/>
    </row>
    <row r="7755">
      <c r="C7755" s="18"/>
      <c r="D7755" s="19"/>
      <c r="E7755" s="57"/>
      <c r="H7755" s="18"/>
    </row>
    <row r="7756">
      <c r="C7756" s="18"/>
      <c r="D7756" s="19"/>
      <c r="E7756" s="57"/>
      <c r="H7756" s="18"/>
    </row>
    <row r="7757">
      <c r="C7757" s="18"/>
      <c r="D7757" s="19"/>
      <c r="E7757" s="57"/>
      <c r="H7757" s="18"/>
    </row>
    <row r="7758">
      <c r="C7758" s="18"/>
      <c r="D7758" s="19"/>
      <c r="E7758" s="57"/>
      <c r="H7758" s="18"/>
    </row>
    <row r="7759">
      <c r="C7759" s="18"/>
      <c r="D7759" s="19"/>
      <c r="E7759" s="57"/>
      <c r="H7759" s="18"/>
    </row>
    <row r="7760">
      <c r="C7760" s="18"/>
      <c r="D7760" s="19"/>
      <c r="E7760" s="57"/>
      <c r="H7760" s="18"/>
    </row>
    <row r="7761">
      <c r="C7761" s="18"/>
      <c r="D7761" s="19"/>
      <c r="E7761" s="57"/>
      <c r="H7761" s="18"/>
    </row>
    <row r="7762">
      <c r="C7762" s="18"/>
      <c r="D7762" s="19"/>
      <c r="E7762" s="57"/>
      <c r="H7762" s="18"/>
    </row>
    <row r="7763">
      <c r="C7763" s="18"/>
      <c r="D7763" s="19"/>
      <c r="E7763" s="57"/>
      <c r="H7763" s="18"/>
    </row>
    <row r="7764">
      <c r="C7764" s="18"/>
      <c r="D7764" s="19"/>
      <c r="E7764" s="57"/>
      <c r="H7764" s="18"/>
    </row>
    <row r="7765">
      <c r="C7765" s="18"/>
      <c r="D7765" s="19"/>
      <c r="E7765" s="57"/>
      <c r="H7765" s="18"/>
    </row>
    <row r="7766">
      <c r="C7766" s="18"/>
      <c r="D7766" s="19"/>
      <c r="E7766" s="57"/>
      <c r="H7766" s="18"/>
    </row>
    <row r="7767">
      <c r="C7767" s="18"/>
      <c r="D7767" s="19"/>
      <c r="E7767" s="57"/>
      <c r="H7767" s="18"/>
    </row>
    <row r="7768">
      <c r="C7768" s="18"/>
      <c r="D7768" s="19"/>
      <c r="E7768" s="57"/>
      <c r="H7768" s="18"/>
    </row>
    <row r="7769">
      <c r="C7769" s="18"/>
      <c r="D7769" s="19"/>
      <c r="E7769" s="57"/>
      <c r="H7769" s="18"/>
    </row>
    <row r="7770">
      <c r="C7770" s="18"/>
      <c r="D7770" s="19"/>
      <c r="E7770" s="57"/>
      <c r="H7770" s="18"/>
    </row>
    <row r="7771">
      <c r="C7771" s="18"/>
      <c r="D7771" s="19"/>
      <c r="E7771" s="57"/>
      <c r="H7771" s="18"/>
    </row>
    <row r="7772">
      <c r="C7772" s="18"/>
      <c r="D7772" s="19"/>
      <c r="E7772" s="57"/>
      <c r="H7772" s="18"/>
    </row>
    <row r="7773">
      <c r="C7773" s="18"/>
      <c r="D7773" s="19"/>
      <c r="E7773" s="57"/>
      <c r="H7773" s="18"/>
    </row>
    <row r="7774">
      <c r="C7774" s="18"/>
      <c r="D7774" s="19"/>
      <c r="E7774" s="57"/>
      <c r="H7774" s="18"/>
    </row>
    <row r="7775">
      <c r="C7775" s="18"/>
      <c r="D7775" s="19"/>
      <c r="E7775" s="57"/>
      <c r="H7775" s="18"/>
    </row>
    <row r="7776">
      <c r="C7776" s="18"/>
      <c r="D7776" s="19"/>
      <c r="E7776" s="57"/>
      <c r="H7776" s="18"/>
    </row>
    <row r="7777">
      <c r="C7777" s="18"/>
      <c r="D7777" s="19"/>
      <c r="E7777" s="57"/>
      <c r="H7777" s="18"/>
    </row>
    <row r="7778">
      <c r="C7778" s="18"/>
      <c r="D7778" s="19"/>
      <c r="E7778" s="57"/>
      <c r="H7778" s="18"/>
    </row>
    <row r="7779">
      <c r="C7779" s="18"/>
      <c r="D7779" s="19"/>
      <c r="E7779" s="57"/>
      <c r="H7779" s="18"/>
    </row>
    <row r="7780">
      <c r="C7780" s="18"/>
      <c r="D7780" s="19"/>
      <c r="E7780" s="57"/>
      <c r="H7780" s="18"/>
    </row>
    <row r="7781">
      <c r="C7781" s="18"/>
      <c r="D7781" s="19"/>
      <c r="E7781" s="57"/>
      <c r="H7781" s="18"/>
    </row>
    <row r="7782">
      <c r="C7782" s="18"/>
      <c r="D7782" s="19"/>
      <c r="E7782" s="57"/>
      <c r="H7782" s="18"/>
    </row>
    <row r="7783">
      <c r="C7783" s="18"/>
      <c r="D7783" s="19"/>
      <c r="E7783" s="57"/>
      <c r="H7783" s="18"/>
    </row>
    <row r="7784">
      <c r="C7784" s="18"/>
      <c r="D7784" s="19"/>
      <c r="E7784" s="57"/>
      <c r="H7784" s="18"/>
    </row>
    <row r="7785">
      <c r="C7785" s="18"/>
      <c r="D7785" s="19"/>
      <c r="E7785" s="57"/>
      <c r="H7785" s="18"/>
    </row>
    <row r="7786">
      <c r="C7786" s="18"/>
      <c r="D7786" s="19"/>
      <c r="E7786" s="57"/>
      <c r="H7786" s="18"/>
    </row>
    <row r="7787">
      <c r="C7787" s="18"/>
      <c r="D7787" s="19"/>
      <c r="E7787" s="57"/>
      <c r="H7787" s="18"/>
    </row>
    <row r="7788">
      <c r="C7788" s="18"/>
      <c r="D7788" s="19"/>
      <c r="E7788" s="57"/>
      <c r="H7788" s="18"/>
    </row>
    <row r="7789">
      <c r="C7789" s="18"/>
      <c r="D7789" s="19"/>
      <c r="E7789" s="57"/>
      <c r="H7789" s="18"/>
    </row>
    <row r="7790">
      <c r="C7790" s="18"/>
      <c r="D7790" s="19"/>
      <c r="E7790" s="57"/>
      <c r="H7790" s="18"/>
    </row>
    <row r="7791">
      <c r="C7791" s="18"/>
      <c r="D7791" s="19"/>
      <c r="E7791" s="57"/>
      <c r="H7791" s="18"/>
    </row>
    <row r="7792">
      <c r="C7792" s="18"/>
      <c r="D7792" s="19"/>
      <c r="E7792" s="57"/>
      <c r="H7792" s="18"/>
    </row>
    <row r="7793">
      <c r="C7793" s="18"/>
      <c r="D7793" s="19"/>
      <c r="E7793" s="57"/>
      <c r="H7793" s="18"/>
    </row>
    <row r="7794">
      <c r="C7794" s="18"/>
      <c r="D7794" s="19"/>
      <c r="E7794" s="57"/>
      <c r="H7794" s="18"/>
    </row>
    <row r="7795">
      <c r="C7795" s="18"/>
      <c r="D7795" s="19"/>
      <c r="E7795" s="57"/>
      <c r="H7795" s="18"/>
    </row>
    <row r="7796">
      <c r="C7796" s="18"/>
      <c r="D7796" s="19"/>
      <c r="E7796" s="57"/>
      <c r="H7796" s="18"/>
    </row>
    <row r="7797">
      <c r="C7797" s="18"/>
      <c r="D7797" s="19"/>
      <c r="E7797" s="57"/>
      <c r="H7797" s="18"/>
    </row>
    <row r="7798">
      <c r="C7798" s="18"/>
      <c r="D7798" s="19"/>
      <c r="E7798" s="57"/>
      <c r="H7798" s="18"/>
    </row>
    <row r="7799">
      <c r="C7799" s="18"/>
      <c r="D7799" s="19"/>
      <c r="E7799" s="57"/>
      <c r="H7799" s="18"/>
    </row>
    <row r="7800">
      <c r="C7800" s="18"/>
      <c r="D7800" s="19"/>
      <c r="E7800" s="57"/>
      <c r="H7800" s="18"/>
    </row>
    <row r="7801">
      <c r="C7801" s="18"/>
      <c r="D7801" s="19"/>
      <c r="E7801" s="57"/>
      <c r="H7801" s="18"/>
    </row>
    <row r="7802">
      <c r="C7802" s="18"/>
      <c r="D7802" s="19"/>
      <c r="E7802" s="57"/>
      <c r="H7802" s="18"/>
    </row>
    <row r="7803">
      <c r="C7803" s="18"/>
      <c r="D7803" s="19"/>
      <c r="E7803" s="57"/>
      <c r="H7803" s="18"/>
    </row>
    <row r="7804">
      <c r="C7804" s="18"/>
      <c r="D7804" s="19"/>
      <c r="E7804" s="57"/>
      <c r="H7804" s="18"/>
    </row>
    <row r="7805">
      <c r="C7805" s="18"/>
      <c r="D7805" s="19"/>
      <c r="E7805" s="57"/>
      <c r="H7805" s="18"/>
    </row>
    <row r="7806">
      <c r="C7806" s="18"/>
      <c r="D7806" s="19"/>
      <c r="E7806" s="57"/>
      <c r="H7806" s="18"/>
    </row>
    <row r="7807">
      <c r="C7807" s="18"/>
      <c r="D7807" s="19"/>
      <c r="E7807" s="57"/>
      <c r="H7807" s="18"/>
    </row>
    <row r="7808">
      <c r="C7808" s="18"/>
      <c r="D7808" s="19"/>
      <c r="E7808" s="57"/>
      <c r="H7808" s="18"/>
    </row>
    <row r="7809">
      <c r="C7809" s="18"/>
      <c r="D7809" s="19"/>
      <c r="E7809" s="57"/>
      <c r="H7809" s="18"/>
    </row>
    <row r="7810">
      <c r="C7810" s="18"/>
      <c r="D7810" s="19"/>
      <c r="E7810" s="57"/>
      <c r="H7810" s="18"/>
    </row>
    <row r="7811">
      <c r="C7811" s="18"/>
      <c r="D7811" s="19"/>
      <c r="E7811" s="57"/>
      <c r="H7811" s="18"/>
    </row>
    <row r="7812">
      <c r="C7812" s="18"/>
      <c r="D7812" s="19"/>
      <c r="E7812" s="57"/>
      <c r="H7812" s="18"/>
    </row>
    <row r="7813">
      <c r="C7813" s="18"/>
      <c r="D7813" s="19"/>
      <c r="E7813" s="57"/>
      <c r="H7813" s="18"/>
    </row>
    <row r="7814">
      <c r="C7814" s="18"/>
      <c r="D7814" s="19"/>
      <c r="E7814" s="57"/>
      <c r="H7814" s="18"/>
    </row>
    <row r="7815">
      <c r="C7815" s="18"/>
      <c r="D7815" s="19"/>
      <c r="E7815" s="57"/>
      <c r="H7815" s="18"/>
    </row>
    <row r="7816">
      <c r="C7816" s="18"/>
      <c r="D7816" s="19"/>
      <c r="E7816" s="57"/>
      <c r="H7816" s="18"/>
    </row>
    <row r="7817">
      <c r="C7817" s="18"/>
      <c r="D7817" s="19"/>
      <c r="E7817" s="57"/>
      <c r="H7817" s="18"/>
    </row>
    <row r="7818">
      <c r="C7818" s="18"/>
      <c r="D7818" s="19"/>
      <c r="E7818" s="57"/>
      <c r="H7818" s="18"/>
    </row>
    <row r="7819">
      <c r="C7819" s="18"/>
      <c r="D7819" s="19"/>
      <c r="E7819" s="57"/>
      <c r="H7819" s="18"/>
    </row>
    <row r="7820">
      <c r="C7820" s="18"/>
      <c r="D7820" s="19"/>
      <c r="E7820" s="57"/>
      <c r="H7820" s="18"/>
    </row>
    <row r="7821">
      <c r="C7821" s="18"/>
      <c r="D7821" s="19"/>
      <c r="E7821" s="57"/>
      <c r="H7821" s="18"/>
    </row>
    <row r="7822">
      <c r="C7822" s="18"/>
      <c r="D7822" s="19"/>
      <c r="E7822" s="57"/>
      <c r="H7822" s="18"/>
    </row>
    <row r="7823">
      <c r="C7823" s="18"/>
      <c r="D7823" s="19"/>
      <c r="E7823" s="57"/>
      <c r="H7823" s="18"/>
    </row>
    <row r="7824">
      <c r="C7824" s="18"/>
      <c r="D7824" s="19"/>
      <c r="E7824" s="57"/>
      <c r="H7824" s="18"/>
    </row>
    <row r="7825">
      <c r="C7825" s="18"/>
      <c r="D7825" s="19"/>
      <c r="E7825" s="57"/>
      <c r="H7825" s="18"/>
    </row>
    <row r="7826">
      <c r="C7826" s="18"/>
      <c r="D7826" s="19"/>
      <c r="E7826" s="57"/>
      <c r="H7826" s="18"/>
    </row>
    <row r="7827">
      <c r="C7827" s="18"/>
      <c r="D7827" s="19"/>
      <c r="E7827" s="57"/>
      <c r="H7827" s="18"/>
    </row>
    <row r="7828">
      <c r="C7828" s="18"/>
      <c r="D7828" s="19"/>
      <c r="E7828" s="57"/>
      <c r="H7828" s="18"/>
    </row>
    <row r="7829">
      <c r="C7829" s="18"/>
      <c r="D7829" s="19"/>
      <c r="E7829" s="57"/>
      <c r="H7829" s="18"/>
    </row>
    <row r="7830">
      <c r="C7830" s="18"/>
      <c r="D7830" s="19"/>
      <c r="E7830" s="57"/>
      <c r="H7830" s="18"/>
    </row>
    <row r="7831">
      <c r="C7831" s="18"/>
      <c r="D7831" s="19"/>
      <c r="E7831" s="57"/>
      <c r="H7831" s="18"/>
    </row>
    <row r="7832">
      <c r="C7832" s="18"/>
      <c r="D7832" s="19"/>
      <c r="E7832" s="57"/>
      <c r="H7832" s="18"/>
    </row>
    <row r="7833">
      <c r="C7833" s="18"/>
      <c r="D7833" s="19"/>
      <c r="E7833" s="57"/>
      <c r="H7833" s="18"/>
    </row>
    <row r="7834">
      <c r="C7834" s="18"/>
      <c r="D7834" s="19"/>
      <c r="E7834" s="57"/>
      <c r="H7834" s="18"/>
    </row>
    <row r="7835">
      <c r="C7835" s="18"/>
      <c r="D7835" s="19"/>
      <c r="E7835" s="57"/>
      <c r="H7835" s="18"/>
    </row>
    <row r="7836">
      <c r="C7836" s="18"/>
      <c r="D7836" s="19"/>
      <c r="E7836" s="57"/>
      <c r="H7836" s="18"/>
    </row>
    <row r="7837">
      <c r="C7837" s="18"/>
      <c r="D7837" s="19"/>
      <c r="E7837" s="57"/>
      <c r="H7837" s="18"/>
    </row>
    <row r="7838">
      <c r="C7838" s="18"/>
      <c r="D7838" s="19"/>
      <c r="E7838" s="57"/>
      <c r="H7838" s="18"/>
    </row>
    <row r="7839">
      <c r="C7839" s="18"/>
      <c r="D7839" s="19"/>
      <c r="E7839" s="57"/>
      <c r="H7839" s="18"/>
    </row>
    <row r="7840">
      <c r="C7840" s="18"/>
      <c r="D7840" s="19"/>
      <c r="E7840" s="57"/>
      <c r="H7840" s="18"/>
    </row>
    <row r="7841">
      <c r="C7841" s="18"/>
      <c r="D7841" s="19"/>
      <c r="E7841" s="57"/>
      <c r="H7841" s="18"/>
    </row>
    <row r="7842">
      <c r="C7842" s="18"/>
      <c r="D7842" s="19"/>
      <c r="E7842" s="57"/>
      <c r="H7842" s="18"/>
    </row>
    <row r="7843">
      <c r="C7843" s="18"/>
      <c r="D7843" s="19"/>
      <c r="E7843" s="57"/>
      <c r="H7843" s="18"/>
    </row>
    <row r="7844">
      <c r="C7844" s="18"/>
      <c r="D7844" s="19"/>
      <c r="E7844" s="57"/>
      <c r="H7844" s="18"/>
    </row>
    <row r="7845">
      <c r="C7845" s="18"/>
      <c r="D7845" s="19"/>
      <c r="E7845" s="57"/>
      <c r="H7845" s="18"/>
    </row>
    <row r="7846">
      <c r="C7846" s="18"/>
      <c r="D7846" s="19"/>
      <c r="E7846" s="57"/>
      <c r="H7846" s="18"/>
    </row>
    <row r="7847">
      <c r="C7847" s="18"/>
      <c r="D7847" s="19"/>
      <c r="E7847" s="57"/>
      <c r="H7847" s="18"/>
    </row>
    <row r="7848">
      <c r="C7848" s="18"/>
      <c r="D7848" s="19"/>
      <c r="E7848" s="57"/>
      <c r="H7848" s="18"/>
    </row>
    <row r="7849">
      <c r="C7849" s="18"/>
      <c r="D7849" s="19"/>
      <c r="E7849" s="57"/>
      <c r="H7849" s="18"/>
    </row>
    <row r="7850">
      <c r="C7850" s="18"/>
      <c r="D7850" s="19"/>
      <c r="E7850" s="57"/>
      <c r="H7850" s="18"/>
    </row>
    <row r="7851">
      <c r="C7851" s="18"/>
      <c r="D7851" s="19"/>
      <c r="E7851" s="57"/>
      <c r="H7851" s="18"/>
    </row>
    <row r="7852">
      <c r="C7852" s="18"/>
      <c r="D7852" s="19"/>
      <c r="E7852" s="57"/>
      <c r="H7852" s="18"/>
    </row>
    <row r="7853">
      <c r="C7853" s="18"/>
      <c r="D7853" s="19"/>
      <c r="E7853" s="57"/>
      <c r="H7853" s="18"/>
    </row>
    <row r="7854">
      <c r="C7854" s="18"/>
      <c r="D7854" s="19"/>
      <c r="E7854" s="57"/>
      <c r="H7854" s="18"/>
    </row>
    <row r="7855">
      <c r="C7855" s="18"/>
      <c r="D7855" s="19"/>
      <c r="E7855" s="57"/>
      <c r="H7855" s="18"/>
    </row>
    <row r="7856">
      <c r="C7856" s="18"/>
      <c r="D7856" s="19"/>
      <c r="E7856" s="57"/>
      <c r="H7856" s="18"/>
    </row>
    <row r="7857">
      <c r="C7857" s="18"/>
      <c r="D7857" s="19"/>
      <c r="E7857" s="57"/>
      <c r="H7857" s="18"/>
    </row>
    <row r="7858">
      <c r="C7858" s="18"/>
      <c r="D7858" s="19"/>
      <c r="E7858" s="57"/>
      <c r="H7858" s="18"/>
    </row>
    <row r="7859">
      <c r="C7859" s="18"/>
      <c r="D7859" s="19"/>
      <c r="E7859" s="57"/>
      <c r="H7859" s="18"/>
    </row>
    <row r="7860">
      <c r="C7860" s="18"/>
      <c r="D7860" s="19"/>
      <c r="E7860" s="57"/>
      <c r="H7860" s="18"/>
    </row>
    <row r="7861">
      <c r="C7861" s="18"/>
      <c r="D7861" s="19"/>
      <c r="E7861" s="57"/>
      <c r="H7861" s="18"/>
    </row>
    <row r="7862">
      <c r="C7862" s="18"/>
      <c r="D7862" s="19"/>
      <c r="E7862" s="57"/>
      <c r="H7862" s="18"/>
    </row>
    <row r="7863">
      <c r="C7863" s="18"/>
      <c r="D7863" s="19"/>
      <c r="E7863" s="57"/>
      <c r="H7863" s="18"/>
    </row>
    <row r="7864">
      <c r="C7864" s="18"/>
      <c r="D7864" s="19"/>
      <c r="E7864" s="57"/>
      <c r="H7864" s="18"/>
    </row>
    <row r="7865">
      <c r="C7865" s="18"/>
      <c r="D7865" s="19"/>
      <c r="E7865" s="57"/>
      <c r="H7865" s="18"/>
    </row>
    <row r="7866">
      <c r="C7866" s="18"/>
      <c r="D7866" s="19"/>
      <c r="E7866" s="57"/>
      <c r="H7866" s="18"/>
    </row>
    <row r="7867">
      <c r="C7867" s="18"/>
      <c r="D7867" s="19"/>
      <c r="E7867" s="57"/>
      <c r="H7867" s="18"/>
    </row>
    <row r="7868">
      <c r="C7868" s="18"/>
      <c r="D7868" s="19"/>
      <c r="E7868" s="57"/>
      <c r="H7868" s="18"/>
    </row>
    <row r="7869">
      <c r="C7869" s="18"/>
      <c r="D7869" s="19"/>
      <c r="E7869" s="57"/>
      <c r="H7869" s="18"/>
    </row>
    <row r="7870">
      <c r="C7870" s="18"/>
      <c r="D7870" s="19"/>
      <c r="E7870" s="57"/>
      <c r="H7870" s="18"/>
    </row>
    <row r="7871">
      <c r="C7871" s="18"/>
      <c r="D7871" s="19"/>
      <c r="E7871" s="57"/>
      <c r="H7871" s="18"/>
    </row>
    <row r="7872">
      <c r="C7872" s="18"/>
      <c r="D7872" s="19"/>
      <c r="E7872" s="57"/>
      <c r="H7872" s="18"/>
    </row>
    <row r="7873">
      <c r="C7873" s="18"/>
      <c r="D7873" s="19"/>
      <c r="E7873" s="57"/>
      <c r="H7873" s="18"/>
    </row>
    <row r="7874">
      <c r="C7874" s="18"/>
      <c r="D7874" s="19"/>
      <c r="E7874" s="57"/>
      <c r="H7874" s="18"/>
    </row>
    <row r="7875">
      <c r="C7875" s="18"/>
      <c r="D7875" s="19"/>
      <c r="E7875" s="57"/>
      <c r="H7875" s="18"/>
    </row>
    <row r="7876">
      <c r="C7876" s="18"/>
      <c r="D7876" s="19"/>
      <c r="E7876" s="57"/>
      <c r="H7876" s="18"/>
    </row>
    <row r="7877">
      <c r="C7877" s="18"/>
      <c r="D7877" s="19"/>
      <c r="E7877" s="57"/>
      <c r="H7877" s="18"/>
    </row>
    <row r="7878">
      <c r="C7878" s="18"/>
      <c r="D7878" s="19"/>
      <c r="E7878" s="57"/>
      <c r="H7878" s="18"/>
    </row>
    <row r="7879">
      <c r="C7879" s="18"/>
      <c r="D7879" s="19"/>
      <c r="E7879" s="57"/>
      <c r="H7879" s="18"/>
    </row>
    <row r="7880">
      <c r="C7880" s="18"/>
      <c r="D7880" s="19"/>
      <c r="E7880" s="57"/>
      <c r="H7880" s="18"/>
    </row>
    <row r="7881">
      <c r="C7881" s="18"/>
      <c r="D7881" s="19"/>
      <c r="E7881" s="57"/>
      <c r="H7881" s="18"/>
    </row>
    <row r="7882">
      <c r="C7882" s="18"/>
      <c r="D7882" s="19"/>
      <c r="E7882" s="57"/>
      <c r="H7882" s="18"/>
    </row>
    <row r="7883">
      <c r="C7883" s="18"/>
      <c r="D7883" s="19"/>
      <c r="E7883" s="57"/>
      <c r="H7883" s="18"/>
    </row>
    <row r="7884">
      <c r="C7884" s="18"/>
      <c r="D7884" s="19"/>
      <c r="E7884" s="57"/>
      <c r="H7884" s="18"/>
    </row>
    <row r="7885">
      <c r="C7885" s="18"/>
      <c r="D7885" s="19"/>
      <c r="E7885" s="57"/>
      <c r="H7885" s="18"/>
    </row>
    <row r="7886">
      <c r="C7886" s="18"/>
      <c r="D7886" s="19"/>
      <c r="E7886" s="57"/>
      <c r="H7886" s="18"/>
    </row>
    <row r="7887">
      <c r="C7887" s="18"/>
      <c r="D7887" s="19"/>
      <c r="E7887" s="57"/>
      <c r="H7887" s="18"/>
    </row>
    <row r="7888">
      <c r="C7888" s="18"/>
      <c r="D7888" s="19"/>
      <c r="E7888" s="57"/>
      <c r="H7888" s="18"/>
    </row>
    <row r="7889">
      <c r="C7889" s="18"/>
      <c r="D7889" s="19"/>
      <c r="E7889" s="57"/>
      <c r="H7889" s="18"/>
    </row>
    <row r="7890">
      <c r="C7890" s="18"/>
      <c r="D7890" s="19"/>
      <c r="E7890" s="57"/>
      <c r="H7890" s="18"/>
    </row>
    <row r="7891">
      <c r="C7891" s="18"/>
      <c r="D7891" s="19"/>
      <c r="E7891" s="57"/>
      <c r="H7891" s="18"/>
    </row>
    <row r="7892">
      <c r="C7892" s="18"/>
      <c r="D7892" s="19"/>
      <c r="E7892" s="57"/>
      <c r="H7892" s="18"/>
    </row>
    <row r="7893">
      <c r="C7893" s="18"/>
      <c r="D7893" s="19"/>
      <c r="E7893" s="57"/>
      <c r="H7893" s="18"/>
    </row>
    <row r="7894">
      <c r="C7894" s="18"/>
      <c r="D7894" s="19"/>
      <c r="E7894" s="57"/>
      <c r="H7894" s="18"/>
    </row>
    <row r="7895">
      <c r="C7895" s="18"/>
      <c r="D7895" s="19"/>
      <c r="E7895" s="57"/>
      <c r="H7895" s="18"/>
    </row>
    <row r="7896">
      <c r="C7896" s="18"/>
      <c r="D7896" s="19"/>
      <c r="E7896" s="57"/>
      <c r="H7896" s="18"/>
    </row>
    <row r="7897">
      <c r="C7897" s="18"/>
      <c r="D7897" s="19"/>
      <c r="E7897" s="57"/>
      <c r="H7897" s="18"/>
    </row>
    <row r="7898">
      <c r="C7898" s="18"/>
      <c r="D7898" s="19"/>
      <c r="E7898" s="57"/>
      <c r="H7898" s="18"/>
    </row>
    <row r="7899">
      <c r="C7899" s="18"/>
      <c r="D7899" s="19"/>
      <c r="E7899" s="57"/>
      <c r="H7899" s="18"/>
    </row>
    <row r="7900">
      <c r="C7900" s="18"/>
      <c r="D7900" s="19"/>
      <c r="E7900" s="57"/>
      <c r="H7900" s="18"/>
    </row>
    <row r="7901">
      <c r="C7901" s="18"/>
      <c r="D7901" s="19"/>
      <c r="E7901" s="57"/>
      <c r="H7901" s="18"/>
    </row>
    <row r="7902">
      <c r="C7902" s="18"/>
      <c r="D7902" s="19"/>
      <c r="E7902" s="57"/>
      <c r="H7902" s="18"/>
    </row>
    <row r="7903">
      <c r="C7903" s="18"/>
      <c r="D7903" s="19"/>
      <c r="E7903" s="57"/>
      <c r="H7903" s="18"/>
    </row>
    <row r="7904">
      <c r="C7904" s="18"/>
      <c r="D7904" s="19"/>
      <c r="E7904" s="57"/>
      <c r="H7904" s="18"/>
    </row>
    <row r="7905">
      <c r="C7905" s="18"/>
      <c r="D7905" s="19"/>
      <c r="E7905" s="57"/>
      <c r="H7905" s="18"/>
    </row>
    <row r="7906">
      <c r="C7906" s="18"/>
      <c r="D7906" s="19"/>
      <c r="E7906" s="57"/>
      <c r="H7906" s="18"/>
    </row>
    <row r="7907">
      <c r="C7907" s="18"/>
      <c r="D7907" s="19"/>
      <c r="E7907" s="57"/>
      <c r="H7907" s="18"/>
    </row>
    <row r="7908">
      <c r="C7908" s="18"/>
      <c r="D7908" s="19"/>
      <c r="E7908" s="57"/>
      <c r="H7908" s="18"/>
    </row>
    <row r="7909">
      <c r="C7909" s="18"/>
      <c r="D7909" s="19"/>
      <c r="E7909" s="57"/>
      <c r="H7909" s="18"/>
    </row>
    <row r="7910">
      <c r="C7910" s="18"/>
      <c r="D7910" s="19"/>
      <c r="E7910" s="57"/>
      <c r="H7910" s="18"/>
    </row>
    <row r="7911">
      <c r="C7911" s="18"/>
      <c r="D7911" s="19"/>
      <c r="E7911" s="57"/>
      <c r="H7911" s="18"/>
    </row>
    <row r="7912">
      <c r="C7912" s="18"/>
      <c r="D7912" s="19"/>
      <c r="E7912" s="57"/>
      <c r="H7912" s="18"/>
    </row>
    <row r="7913">
      <c r="C7913" s="18"/>
      <c r="D7913" s="19"/>
      <c r="E7913" s="57"/>
      <c r="H7913" s="18"/>
    </row>
    <row r="7914">
      <c r="C7914" s="18"/>
      <c r="D7914" s="19"/>
      <c r="E7914" s="57"/>
      <c r="H7914" s="18"/>
    </row>
    <row r="7915">
      <c r="C7915" s="18"/>
      <c r="D7915" s="19"/>
      <c r="E7915" s="57"/>
      <c r="H7915" s="18"/>
    </row>
    <row r="7916">
      <c r="C7916" s="18"/>
      <c r="D7916" s="19"/>
      <c r="E7916" s="57"/>
      <c r="H7916" s="18"/>
    </row>
    <row r="7917">
      <c r="C7917" s="18"/>
      <c r="D7917" s="19"/>
      <c r="E7917" s="57"/>
      <c r="H7917" s="18"/>
    </row>
    <row r="7918">
      <c r="C7918" s="18"/>
      <c r="D7918" s="19"/>
      <c r="E7918" s="57"/>
      <c r="H7918" s="18"/>
    </row>
    <row r="7919">
      <c r="C7919" s="18"/>
      <c r="D7919" s="19"/>
      <c r="E7919" s="57"/>
      <c r="H7919" s="18"/>
    </row>
    <row r="7920">
      <c r="C7920" s="18"/>
      <c r="D7920" s="19"/>
      <c r="E7920" s="57"/>
      <c r="H7920" s="18"/>
    </row>
    <row r="7921">
      <c r="C7921" s="18"/>
      <c r="D7921" s="19"/>
      <c r="E7921" s="57"/>
      <c r="H7921" s="18"/>
    </row>
    <row r="7922">
      <c r="C7922" s="18"/>
      <c r="D7922" s="19"/>
      <c r="E7922" s="57"/>
      <c r="H7922" s="18"/>
    </row>
    <row r="7923">
      <c r="C7923" s="18"/>
      <c r="D7923" s="19"/>
      <c r="E7923" s="57"/>
      <c r="H7923" s="18"/>
    </row>
    <row r="7924">
      <c r="C7924" s="18"/>
      <c r="D7924" s="19"/>
      <c r="E7924" s="57"/>
      <c r="H7924" s="18"/>
    </row>
    <row r="7925">
      <c r="C7925" s="18"/>
      <c r="D7925" s="19"/>
      <c r="E7925" s="57"/>
      <c r="H7925" s="18"/>
    </row>
    <row r="7926">
      <c r="C7926" s="18"/>
      <c r="D7926" s="19"/>
      <c r="E7926" s="57"/>
      <c r="H7926" s="18"/>
    </row>
    <row r="7927">
      <c r="C7927" s="18"/>
      <c r="D7927" s="19"/>
      <c r="E7927" s="57"/>
      <c r="H7927" s="18"/>
    </row>
    <row r="7928">
      <c r="C7928" s="18"/>
      <c r="D7928" s="19"/>
      <c r="E7928" s="57"/>
      <c r="H7928" s="18"/>
    </row>
    <row r="7929">
      <c r="C7929" s="18"/>
      <c r="D7929" s="19"/>
      <c r="E7929" s="57"/>
      <c r="H7929" s="18"/>
    </row>
    <row r="7930">
      <c r="C7930" s="18"/>
      <c r="D7930" s="19"/>
      <c r="E7930" s="57"/>
      <c r="H7930" s="18"/>
    </row>
    <row r="7931">
      <c r="C7931" s="18"/>
      <c r="D7931" s="19"/>
      <c r="E7931" s="57"/>
      <c r="H7931" s="18"/>
    </row>
    <row r="7932">
      <c r="C7932" s="18"/>
      <c r="D7932" s="19"/>
      <c r="E7932" s="57"/>
      <c r="H7932" s="18"/>
    </row>
    <row r="7933">
      <c r="C7933" s="18"/>
      <c r="D7933" s="19"/>
      <c r="E7933" s="57"/>
      <c r="H7933" s="18"/>
    </row>
    <row r="7934">
      <c r="C7934" s="18"/>
      <c r="D7934" s="19"/>
      <c r="E7934" s="57"/>
      <c r="H7934" s="18"/>
    </row>
    <row r="7935">
      <c r="C7935" s="18"/>
      <c r="D7935" s="19"/>
      <c r="E7935" s="57"/>
      <c r="H7935" s="18"/>
    </row>
    <row r="7936">
      <c r="C7936" s="18"/>
      <c r="D7936" s="19"/>
      <c r="E7936" s="57"/>
      <c r="H7936" s="18"/>
    </row>
    <row r="7937">
      <c r="C7937" s="18"/>
      <c r="D7937" s="19"/>
      <c r="E7937" s="57"/>
      <c r="H7937" s="18"/>
    </row>
    <row r="7938">
      <c r="C7938" s="18"/>
      <c r="D7938" s="19"/>
      <c r="E7938" s="57"/>
      <c r="H7938" s="18"/>
    </row>
    <row r="7939">
      <c r="C7939" s="18"/>
      <c r="D7939" s="19"/>
      <c r="E7939" s="57"/>
      <c r="H7939" s="18"/>
    </row>
    <row r="7940">
      <c r="C7940" s="18"/>
      <c r="D7940" s="19"/>
      <c r="E7940" s="57"/>
      <c r="H7940" s="18"/>
    </row>
    <row r="7941">
      <c r="C7941" s="18"/>
      <c r="D7941" s="19"/>
      <c r="E7941" s="57"/>
      <c r="H7941" s="18"/>
    </row>
    <row r="7942">
      <c r="C7942" s="18"/>
      <c r="D7942" s="19"/>
      <c r="E7942" s="57"/>
      <c r="H7942" s="18"/>
    </row>
    <row r="7943">
      <c r="C7943" s="18"/>
      <c r="D7943" s="19"/>
      <c r="E7943" s="57"/>
      <c r="H7943" s="18"/>
    </row>
    <row r="7944">
      <c r="C7944" s="18"/>
      <c r="D7944" s="19"/>
      <c r="E7944" s="57"/>
      <c r="H7944" s="18"/>
    </row>
    <row r="7945">
      <c r="C7945" s="18"/>
      <c r="D7945" s="19"/>
      <c r="E7945" s="57"/>
      <c r="H7945" s="18"/>
    </row>
    <row r="7946">
      <c r="C7946" s="18"/>
      <c r="D7946" s="19"/>
      <c r="E7946" s="57"/>
      <c r="H7946" s="18"/>
    </row>
    <row r="7947">
      <c r="C7947" s="18"/>
      <c r="D7947" s="19"/>
      <c r="E7947" s="57"/>
      <c r="H7947" s="18"/>
    </row>
    <row r="7948">
      <c r="C7948" s="18"/>
      <c r="D7948" s="19"/>
      <c r="E7948" s="57"/>
      <c r="H7948" s="18"/>
    </row>
    <row r="7949">
      <c r="C7949" s="18"/>
      <c r="D7949" s="19"/>
      <c r="E7949" s="57"/>
      <c r="H7949" s="18"/>
    </row>
    <row r="7950">
      <c r="C7950" s="18"/>
      <c r="D7950" s="19"/>
      <c r="E7950" s="57"/>
      <c r="H7950" s="18"/>
    </row>
    <row r="7951">
      <c r="C7951" s="18"/>
      <c r="D7951" s="19"/>
      <c r="E7951" s="57"/>
      <c r="H7951" s="18"/>
    </row>
    <row r="7952">
      <c r="C7952" s="18"/>
      <c r="D7952" s="19"/>
      <c r="E7952" s="57"/>
      <c r="H7952" s="18"/>
    </row>
    <row r="7953">
      <c r="C7953" s="18"/>
      <c r="D7953" s="19"/>
      <c r="E7953" s="57"/>
      <c r="H7953" s="18"/>
    </row>
    <row r="7954">
      <c r="C7954" s="18"/>
      <c r="D7954" s="19"/>
      <c r="E7954" s="57"/>
      <c r="H7954" s="18"/>
    </row>
    <row r="7955">
      <c r="C7955" s="18"/>
      <c r="D7955" s="19"/>
      <c r="E7955" s="57"/>
      <c r="H7955" s="18"/>
    </row>
    <row r="7956">
      <c r="C7956" s="18"/>
      <c r="D7956" s="19"/>
      <c r="E7956" s="57"/>
      <c r="H7956" s="18"/>
    </row>
    <row r="7957">
      <c r="C7957" s="18"/>
      <c r="D7957" s="19"/>
      <c r="E7957" s="57"/>
      <c r="H7957" s="18"/>
    </row>
    <row r="7958">
      <c r="C7958" s="18"/>
      <c r="D7958" s="19"/>
      <c r="E7958" s="57"/>
      <c r="H7958" s="18"/>
    </row>
    <row r="7959">
      <c r="C7959" s="18"/>
      <c r="D7959" s="19"/>
      <c r="E7959" s="57"/>
      <c r="H7959" s="18"/>
    </row>
    <row r="7960">
      <c r="C7960" s="18"/>
      <c r="D7960" s="19"/>
      <c r="E7960" s="57"/>
      <c r="H7960" s="18"/>
    </row>
    <row r="7961">
      <c r="C7961" s="18"/>
      <c r="D7961" s="19"/>
      <c r="E7961" s="57"/>
      <c r="H7961" s="18"/>
    </row>
    <row r="7962">
      <c r="C7962" s="18"/>
      <c r="D7962" s="19"/>
      <c r="E7962" s="57"/>
      <c r="H7962" s="18"/>
    </row>
    <row r="7963">
      <c r="C7963" s="18"/>
      <c r="D7963" s="19"/>
      <c r="E7963" s="57"/>
      <c r="H7963" s="18"/>
    </row>
    <row r="7964">
      <c r="C7964" s="18"/>
      <c r="D7964" s="19"/>
      <c r="E7964" s="57"/>
      <c r="H7964" s="18"/>
    </row>
    <row r="7965">
      <c r="C7965" s="18"/>
      <c r="D7965" s="19"/>
      <c r="E7965" s="57"/>
      <c r="H7965" s="18"/>
    </row>
    <row r="7966">
      <c r="C7966" s="18"/>
      <c r="D7966" s="19"/>
      <c r="E7966" s="57"/>
      <c r="H7966" s="18"/>
    </row>
    <row r="7967">
      <c r="C7967" s="18"/>
      <c r="D7967" s="19"/>
      <c r="E7967" s="57"/>
      <c r="H7967" s="18"/>
    </row>
    <row r="7968">
      <c r="C7968" s="18"/>
      <c r="D7968" s="19"/>
      <c r="E7968" s="57"/>
      <c r="H7968" s="18"/>
    </row>
    <row r="7969">
      <c r="C7969" s="18"/>
      <c r="D7969" s="19"/>
      <c r="E7969" s="57"/>
      <c r="H7969" s="18"/>
    </row>
    <row r="7970">
      <c r="C7970" s="18"/>
      <c r="D7970" s="19"/>
      <c r="E7970" s="57"/>
      <c r="H7970" s="18"/>
    </row>
    <row r="7971">
      <c r="C7971" s="18"/>
      <c r="D7971" s="19"/>
      <c r="E7971" s="57"/>
      <c r="H7971" s="18"/>
    </row>
    <row r="7972">
      <c r="C7972" s="18"/>
      <c r="D7972" s="19"/>
      <c r="E7972" s="57"/>
      <c r="H7972" s="18"/>
    </row>
    <row r="7973">
      <c r="C7973" s="18"/>
      <c r="D7973" s="19"/>
      <c r="E7973" s="57"/>
      <c r="H7973" s="18"/>
    </row>
    <row r="7974">
      <c r="C7974" s="18"/>
      <c r="D7974" s="19"/>
      <c r="E7974" s="57"/>
      <c r="H7974" s="18"/>
    </row>
    <row r="7975">
      <c r="C7975" s="18"/>
      <c r="D7975" s="19"/>
      <c r="E7975" s="57"/>
      <c r="H7975" s="18"/>
    </row>
    <row r="7976">
      <c r="C7976" s="18"/>
      <c r="D7976" s="19"/>
      <c r="E7976" s="57"/>
      <c r="H7976" s="18"/>
    </row>
    <row r="7977">
      <c r="C7977" s="18"/>
      <c r="D7977" s="19"/>
      <c r="E7977" s="57"/>
      <c r="H7977" s="18"/>
    </row>
    <row r="7978">
      <c r="C7978" s="18"/>
      <c r="D7978" s="19"/>
      <c r="E7978" s="57"/>
      <c r="H7978" s="18"/>
    </row>
    <row r="7979">
      <c r="C7979" s="18"/>
      <c r="D7979" s="19"/>
      <c r="E7979" s="57"/>
      <c r="H7979" s="18"/>
    </row>
    <row r="7980">
      <c r="C7980" s="18"/>
      <c r="D7980" s="19"/>
      <c r="E7980" s="57"/>
      <c r="H7980" s="18"/>
    </row>
    <row r="7981">
      <c r="C7981" s="18"/>
      <c r="D7981" s="19"/>
      <c r="E7981" s="57"/>
      <c r="H7981" s="18"/>
    </row>
    <row r="7982">
      <c r="C7982" s="18"/>
      <c r="D7982" s="19"/>
      <c r="E7982" s="57"/>
      <c r="H7982" s="18"/>
    </row>
    <row r="7983">
      <c r="C7983" s="18"/>
      <c r="D7983" s="19"/>
      <c r="E7983" s="57"/>
      <c r="H7983" s="18"/>
    </row>
    <row r="7984">
      <c r="C7984" s="18"/>
      <c r="D7984" s="19"/>
      <c r="E7984" s="57"/>
      <c r="H7984" s="18"/>
    </row>
    <row r="7985">
      <c r="C7985" s="18"/>
      <c r="D7985" s="19"/>
      <c r="E7985" s="57"/>
      <c r="H7985" s="18"/>
    </row>
    <row r="7986">
      <c r="C7986" s="18"/>
      <c r="D7986" s="19"/>
      <c r="E7986" s="57"/>
      <c r="H7986" s="18"/>
    </row>
    <row r="7987">
      <c r="C7987" s="18"/>
      <c r="D7987" s="19"/>
      <c r="E7987" s="57"/>
      <c r="H7987" s="18"/>
    </row>
    <row r="7988">
      <c r="C7988" s="18"/>
      <c r="D7988" s="19"/>
      <c r="E7988" s="57"/>
      <c r="H7988" s="18"/>
    </row>
    <row r="7989">
      <c r="C7989" s="18"/>
      <c r="D7989" s="19"/>
      <c r="E7989" s="57"/>
      <c r="H7989" s="18"/>
    </row>
    <row r="7990">
      <c r="C7990" s="18"/>
      <c r="D7990" s="19"/>
      <c r="E7990" s="57"/>
      <c r="H7990" s="18"/>
    </row>
    <row r="7991">
      <c r="C7991" s="18"/>
      <c r="D7991" s="19"/>
      <c r="E7991" s="57"/>
      <c r="H7991" s="18"/>
    </row>
    <row r="7992">
      <c r="C7992" s="18"/>
      <c r="D7992" s="19"/>
      <c r="E7992" s="57"/>
      <c r="H7992" s="18"/>
    </row>
    <row r="7993">
      <c r="C7993" s="18"/>
      <c r="D7993" s="19"/>
      <c r="E7993" s="57"/>
      <c r="H7993" s="18"/>
    </row>
    <row r="7994">
      <c r="C7994" s="18"/>
      <c r="D7994" s="19"/>
      <c r="E7994" s="57"/>
      <c r="H7994" s="18"/>
    </row>
    <row r="7995">
      <c r="C7995" s="18"/>
      <c r="D7995" s="19"/>
      <c r="E7995" s="57"/>
      <c r="H7995" s="18"/>
    </row>
    <row r="7996">
      <c r="C7996" s="18"/>
      <c r="D7996" s="19"/>
      <c r="E7996" s="57"/>
      <c r="H7996" s="18"/>
    </row>
    <row r="7997">
      <c r="C7997" s="18"/>
      <c r="D7997" s="19"/>
      <c r="E7997" s="57"/>
      <c r="H7997" s="18"/>
    </row>
    <row r="7998">
      <c r="C7998" s="18"/>
      <c r="D7998" s="19"/>
      <c r="E7998" s="57"/>
      <c r="H7998" s="18"/>
    </row>
    <row r="7999">
      <c r="C7999" s="18"/>
      <c r="D7999" s="19"/>
      <c r="E7999" s="57"/>
      <c r="H7999" s="18"/>
    </row>
    <row r="8000">
      <c r="C8000" s="18"/>
      <c r="D8000" s="19"/>
      <c r="E8000" s="57"/>
      <c r="H8000" s="18"/>
    </row>
    <row r="8001">
      <c r="C8001" s="18"/>
      <c r="D8001" s="19"/>
      <c r="E8001" s="57"/>
      <c r="H8001" s="18"/>
    </row>
    <row r="8002">
      <c r="C8002" s="18"/>
      <c r="D8002" s="19"/>
      <c r="E8002" s="57"/>
      <c r="H8002" s="18"/>
    </row>
    <row r="8003">
      <c r="C8003" s="18"/>
      <c r="D8003" s="19"/>
      <c r="E8003" s="57"/>
      <c r="H8003" s="18"/>
    </row>
    <row r="8004">
      <c r="C8004" s="18"/>
      <c r="D8004" s="19"/>
      <c r="E8004" s="57"/>
      <c r="H8004" s="18"/>
    </row>
    <row r="8005">
      <c r="C8005" s="18"/>
      <c r="D8005" s="19"/>
      <c r="E8005" s="57"/>
      <c r="H8005" s="18"/>
    </row>
    <row r="8006">
      <c r="C8006" s="18"/>
      <c r="D8006" s="19"/>
      <c r="E8006" s="57"/>
      <c r="H8006" s="18"/>
    </row>
    <row r="8007">
      <c r="C8007" s="18"/>
      <c r="D8007" s="19"/>
      <c r="E8007" s="57"/>
      <c r="H8007" s="18"/>
    </row>
    <row r="8008">
      <c r="C8008" s="18"/>
      <c r="D8008" s="19"/>
      <c r="E8008" s="57"/>
      <c r="H8008" s="18"/>
    </row>
    <row r="8009">
      <c r="C8009" s="18"/>
      <c r="D8009" s="19"/>
      <c r="E8009" s="57"/>
      <c r="H8009" s="18"/>
    </row>
    <row r="8010">
      <c r="C8010" s="18"/>
      <c r="D8010" s="19"/>
      <c r="E8010" s="57"/>
      <c r="H8010" s="18"/>
    </row>
    <row r="8011">
      <c r="C8011" s="18"/>
      <c r="D8011" s="19"/>
      <c r="E8011" s="57"/>
      <c r="H8011" s="18"/>
    </row>
    <row r="8012">
      <c r="C8012" s="18"/>
      <c r="D8012" s="19"/>
      <c r="E8012" s="57"/>
      <c r="H8012" s="18"/>
    </row>
    <row r="8013">
      <c r="C8013" s="18"/>
      <c r="D8013" s="19"/>
      <c r="E8013" s="57"/>
      <c r="H8013" s="18"/>
    </row>
    <row r="8014">
      <c r="C8014" s="18"/>
      <c r="D8014" s="19"/>
      <c r="E8014" s="57"/>
      <c r="H8014" s="18"/>
    </row>
    <row r="8015">
      <c r="C8015" s="18"/>
      <c r="D8015" s="19"/>
      <c r="E8015" s="57"/>
      <c r="H8015" s="18"/>
    </row>
    <row r="8016">
      <c r="C8016" s="18"/>
      <c r="D8016" s="19"/>
      <c r="E8016" s="57"/>
      <c r="H8016" s="18"/>
    </row>
    <row r="8017">
      <c r="C8017" s="18"/>
      <c r="D8017" s="19"/>
      <c r="E8017" s="57"/>
      <c r="H8017" s="18"/>
    </row>
    <row r="8018">
      <c r="C8018" s="18"/>
      <c r="D8018" s="19"/>
      <c r="E8018" s="57"/>
      <c r="H8018" s="18"/>
    </row>
    <row r="8019">
      <c r="C8019" s="18"/>
      <c r="D8019" s="19"/>
      <c r="E8019" s="57"/>
      <c r="H8019" s="18"/>
    </row>
    <row r="8020">
      <c r="C8020" s="18"/>
      <c r="D8020" s="19"/>
      <c r="E8020" s="57"/>
      <c r="H8020" s="18"/>
    </row>
    <row r="8021">
      <c r="C8021" s="18"/>
      <c r="D8021" s="19"/>
      <c r="E8021" s="57"/>
      <c r="H8021" s="18"/>
    </row>
    <row r="8022">
      <c r="C8022" s="18"/>
      <c r="D8022" s="19"/>
      <c r="E8022" s="57"/>
      <c r="H8022" s="18"/>
    </row>
    <row r="8023">
      <c r="C8023" s="18"/>
      <c r="D8023" s="19"/>
      <c r="E8023" s="57"/>
      <c r="H8023" s="18"/>
    </row>
    <row r="8024">
      <c r="C8024" s="18"/>
      <c r="D8024" s="19"/>
      <c r="E8024" s="57"/>
      <c r="H8024" s="18"/>
    </row>
    <row r="8025">
      <c r="C8025" s="18"/>
      <c r="D8025" s="19"/>
      <c r="E8025" s="57"/>
      <c r="H8025" s="18"/>
    </row>
    <row r="8026">
      <c r="C8026" s="18"/>
      <c r="D8026" s="19"/>
      <c r="E8026" s="57"/>
      <c r="H8026" s="18"/>
    </row>
    <row r="8027">
      <c r="C8027" s="18"/>
      <c r="D8027" s="19"/>
      <c r="E8027" s="57"/>
      <c r="H8027" s="18"/>
    </row>
    <row r="8028">
      <c r="C8028" s="18"/>
      <c r="D8028" s="19"/>
      <c r="E8028" s="57"/>
      <c r="H8028" s="18"/>
    </row>
    <row r="8029">
      <c r="C8029" s="18"/>
      <c r="D8029" s="19"/>
      <c r="E8029" s="57"/>
      <c r="H8029" s="18"/>
    </row>
    <row r="8030">
      <c r="C8030" s="18"/>
      <c r="D8030" s="19"/>
      <c r="E8030" s="57"/>
      <c r="H8030" s="18"/>
    </row>
    <row r="8031">
      <c r="C8031" s="18"/>
      <c r="D8031" s="19"/>
      <c r="E8031" s="57"/>
      <c r="H8031" s="18"/>
    </row>
    <row r="8032">
      <c r="C8032" s="18"/>
      <c r="D8032" s="19"/>
      <c r="E8032" s="57"/>
      <c r="H8032" s="18"/>
    </row>
    <row r="8033">
      <c r="C8033" s="18"/>
      <c r="D8033" s="19"/>
      <c r="E8033" s="57"/>
      <c r="H8033" s="18"/>
    </row>
    <row r="8034">
      <c r="C8034" s="18"/>
      <c r="D8034" s="19"/>
      <c r="E8034" s="57"/>
      <c r="H8034" s="18"/>
    </row>
    <row r="8035">
      <c r="C8035" s="18"/>
      <c r="D8035" s="19"/>
      <c r="E8035" s="57"/>
      <c r="H8035" s="18"/>
    </row>
    <row r="8036">
      <c r="C8036" s="18"/>
      <c r="D8036" s="19"/>
      <c r="E8036" s="57"/>
      <c r="H8036" s="18"/>
    </row>
    <row r="8037">
      <c r="C8037" s="18"/>
      <c r="D8037" s="19"/>
      <c r="E8037" s="57"/>
      <c r="H8037" s="18"/>
    </row>
    <row r="8038">
      <c r="C8038" s="18"/>
      <c r="D8038" s="19"/>
      <c r="E8038" s="57"/>
      <c r="H8038" s="18"/>
    </row>
    <row r="8039">
      <c r="C8039" s="18"/>
      <c r="D8039" s="19"/>
      <c r="E8039" s="57"/>
      <c r="H8039" s="18"/>
    </row>
    <row r="8040">
      <c r="C8040" s="18"/>
      <c r="D8040" s="19"/>
      <c r="E8040" s="57"/>
      <c r="H8040" s="18"/>
    </row>
    <row r="8041">
      <c r="C8041" s="18"/>
      <c r="D8041" s="19"/>
      <c r="E8041" s="57"/>
      <c r="H8041" s="18"/>
    </row>
    <row r="8042">
      <c r="C8042" s="18"/>
      <c r="D8042" s="19"/>
      <c r="E8042" s="57"/>
      <c r="H8042" s="18"/>
    </row>
    <row r="8043">
      <c r="C8043" s="18"/>
      <c r="D8043" s="19"/>
      <c r="E8043" s="57"/>
      <c r="H8043" s="18"/>
    </row>
    <row r="8044">
      <c r="C8044" s="18"/>
      <c r="D8044" s="19"/>
      <c r="E8044" s="57"/>
      <c r="H8044" s="18"/>
    </row>
    <row r="8045">
      <c r="C8045" s="18"/>
      <c r="D8045" s="19"/>
      <c r="E8045" s="57"/>
      <c r="H8045" s="18"/>
    </row>
    <row r="8046">
      <c r="C8046" s="18"/>
      <c r="D8046" s="19"/>
      <c r="E8046" s="57"/>
      <c r="H8046" s="18"/>
    </row>
    <row r="8047">
      <c r="C8047" s="18"/>
      <c r="D8047" s="19"/>
      <c r="E8047" s="57"/>
      <c r="H8047" s="18"/>
    </row>
    <row r="8048">
      <c r="C8048" s="18"/>
      <c r="D8048" s="19"/>
      <c r="E8048" s="57"/>
      <c r="H8048" s="18"/>
    </row>
    <row r="8049">
      <c r="C8049" s="18"/>
      <c r="D8049" s="19"/>
      <c r="E8049" s="57"/>
      <c r="H8049" s="18"/>
    </row>
    <row r="8050">
      <c r="C8050" s="18"/>
      <c r="D8050" s="19"/>
      <c r="E8050" s="57"/>
      <c r="H8050" s="18"/>
    </row>
    <row r="8051">
      <c r="C8051" s="18"/>
      <c r="D8051" s="19"/>
      <c r="E8051" s="57"/>
      <c r="H8051" s="18"/>
    </row>
    <row r="8052">
      <c r="C8052" s="18"/>
      <c r="D8052" s="19"/>
      <c r="E8052" s="57"/>
      <c r="H8052" s="18"/>
    </row>
    <row r="8053">
      <c r="C8053" s="18"/>
      <c r="D8053" s="19"/>
      <c r="E8053" s="57"/>
      <c r="H8053" s="18"/>
    </row>
    <row r="8054">
      <c r="C8054" s="18"/>
      <c r="D8054" s="19"/>
      <c r="E8054" s="57"/>
      <c r="H8054" s="18"/>
    </row>
    <row r="8055">
      <c r="C8055" s="18"/>
      <c r="D8055" s="19"/>
      <c r="E8055" s="57"/>
      <c r="H8055" s="18"/>
    </row>
    <row r="8056">
      <c r="C8056" s="18"/>
      <c r="D8056" s="19"/>
      <c r="E8056" s="57"/>
      <c r="H8056" s="18"/>
    </row>
    <row r="8057">
      <c r="C8057" s="18"/>
      <c r="D8057" s="19"/>
      <c r="E8057" s="57"/>
      <c r="H8057" s="18"/>
    </row>
    <row r="8058">
      <c r="C8058" s="18"/>
      <c r="D8058" s="19"/>
      <c r="E8058" s="57"/>
      <c r="H8058" s="18"/>
    </row>
    <row r="8059">
      <c r="C8059" s="18"/>
      <c r="D8059" s="19"/>
      <c r="E8059" s="57"/>
      <c r="H8059" s="18"/>
    </row>
    <row r="8060">
      <c r="C8060" s="18"/>
      <c r="D8060" s="19"/>
      <c r="E8060" s="57"/>
      <c r="H8060" s="18"/>
    </row>
    <row r="8061">
      <c r="C8061" s="18"/>
      <c r="D8061" s="19"/>
      <c r="E8061" s="57"/>
      <c r="H8061" s="18"/>
    </row>
    <row r="8062">
      <c r="C8062" s="18"/>
      <c r="D8062" s="19"/>
      <c r="E8062" s="57"/>
      <c r="H8062" s="18"/>
    </row>
    <row r="8063">
      <c r="C8063" s="18"/>
      <c r="D8063" s="19"/>
      <c r="E8063" s="57"/>
      <c r="H8063" s="18"/>
    </row>
    <row r="8064">
      <c r="C8064" s="18"/>
      <c r="D8064" s="19"/>
      <c r="E8064" s="57"/>
      <c r="H8064" s="18"/>
    </row>
    <row r="8065">
      <c r="C8065" s="18"/>
      <c r="D8065" s="19"/>
      <c r="E8065" s="57"/>
      <c r="H8065" s="18"/>
    </row>
    <row r="8066">
      <c r="C8066" s="18"/>
      <c r="D8066" s="19"/>
      <c r="E8066" s="57"/>
      <c r="H8066" s="18"/>
    </row>
    <row r="8067">
      <c r="C8067" s="18"/>
      <c r="D8067" s="19"/>
      <c r="E8067" s="57"/>
      <c r="H8067" s="18"/>
    </row>
    <row r="8068">
      <c r="C8068" s="18"/>
      <c r="D8068" s="19"/>
      <c r="E8068" s="57"/>
      <c r="H8068" s="18"/>
    </row>
    <row r="8069">
      <c r="C8069" s="18"/>
      <c r="D8069" s="19"/>
      <c r="E8069" s="57"/>
      <c r="H8069" s="18"/>
    </row>
    <row r="8070">
      <c r="C8070" s="18"/>
      <c r="D8070" s="19"/>
      <c r="E8070" s="57"/>
      <c r="H8070" s="18"/>
    </row>
    <row r="8071">
      <c r="C8071" s="18"/>
      <c r="D8071" s="19"/>
      <c r="E8071" s="57"/>
      <c r="H8071" s="18"/>
    </row>
    <row r="8072">
      <c r="C8072" s="18"/>
      <c r="D8072" s="19"/>
      <c r="E8072" s="57"/>
      <c r="H8072" s="18"/>
    </row>
    <row r="8073">
      <c r="C8073" s="18"/>
      <c r="D8073" s="19"/>
      <c r="E8073" s="57"/>
      <c r="H8073" s="18"/>
    </row>
    <row r="8074">
      <c r="C8074" s="18"/>
      <c r="D8074" s="19"/>
      <c r="E8074" s="57"/>
      <c r="H8074" s="18"/>
    </row>
    <row r="8075">
      <c r="C8075" s="18"/>
      <c r="D8075" s="19"/>
      <c r="E8075" s="57"/>
      <c r="H8075" s="18"/>
    </row>
    <row r="8076">
      <c r="C8076" s="18"/>
      <c r="D8076" s="19"/>
      <c r="E8076" s="57"/>
      <c r="H8076" s="18"/>
    </row>
    <row r="8077">
      <c r="C8077" s="18"/>
      <c r="D8077" s="19"/>
      <c r="E8077" s="57"/>
      <c r="H8077" s="18"/>
    </row>
    <row r="8078">
      <c r="C8078" s="18"/>
      <c r="D8078" s="19"/>
      <c r="E8078" s="57"/>
      <c r="H8078" s="18"/>
    </row>
    <row r="8079">
      <c r="C8079" s="18"/>
      <c r="D8079" s="19"/>
      <c r="E8079" s="57"/>
      <c r="H8079" s="18"/>
    </row>
    <row r="8080">
      <c r="C8080" s="18"/>
      <c r="D8080" s="19"/>
      <c r="E8080" s="57"/>
      <c r="H8080" s="18"/>
    </row>
    <row r="8081">
      <c r="C8081" s="18"/>
      <c r="D8081" s="19"/>
      <c r="E8081" s="57"/>
      <c r="H8081" s="18"/>
    </row>
    <row r="8082">
      <c r="C8082" s="18"/>
      <c r="D8082" s="19"/>
      <c r="E8082" s="57"/>
      <c r="H8082" s="18"/>
    </row>
    <row r="8083">
      <c r="C8083" s="18"/>
      <c r="D8083" s="19"/>
      <c r="E8083" s="57"/>
      <c r="H8083" s="18"/>
    </row>
    <row r="8084">
      <c r="C8084" s="18"/>
      <c r="D8084" s="19"/>
      <c r="E8084" s="57"/>
      <c r="H8084" s="18"/>
    </row>
    <row r="8085">
      <c r="C8085" s="18"/>
      <c r="D8085" s="19"/>
      <c r="E8085" s="57"/>
      <c r="H8085" s="18"/>
    </row>
    <row r="8086">
      <c r="C8086" s="18"/>
      <c r="D8086" s="19"/>
      <c r="E8086" s="57"/>
      <c r="H8086" s="18"/>
    </row>
    <row r="8087">
      <c r="C8087" s="18"/>
      <c r="D8087" s="19"/>
      <c r="E8087" s="57"/>
      <c r="H8087" s="18"/>
    </row>
    <row r="8088">
      <c r="C8088" s="18"/>
      <c r="D8088" s="19"/>
      <c r="E8088" s="57"/>
      <c r="H8088" s="18"/>
    </row>
    <row r="8089">
      <c r="C8089" s="18"/>
      <c r="D8089" s="19"/>
      <c r="E8089" s="57"/>
      <c r="H8089" s="18"/>
    </row>
    <row r="8090">
      <c r="C8090" s="18"/>
      <c r="D8090" s="19"/>
      <c r="E8090" s="57"/>
      <c r="H8090" s="18"/>
    </row>
    <row r="8091">
      <c r="C8091" s="18"/>
      <c r="D8091" s="19"/>
      <c r="E8091" s="57"/>
      <c r="H8091" s="18"/>
    </row>
    <row r="8092">
      <c r="C8092" s="18"/>
      <c r="D8092" s="19"/>
      <c r="E8092" s="57"/>
      <c r="H8092" s="18"/>
    </row>
    <row r="8093">
      <c r="C8093" s="18"/>
      <c r="D8093" s="19"/>
      <c r="E8093" s="57"/>
      <c r="H8093" s="18"/>
    </row>
    <row r="8094">
      <c r="C8094" s="18"/>
      <c r="D8094" s="19"/>
      <c r="E8094" s="57"/>
      <c r="H8094" s="18"/>
    </row>
    <row r="8095">
      <c r="C8095" s="18"/>
      <c r="D8095" s="19"/>
      <c r="E8095" s="57"/>
      <c r="H8095" s="18"/>
    </row>
    <row r="8096">
      <c r="C8096" s="18"/>
      <c r="D8096" s="19"/>
      <c r="E8096" s="57"/>
      <c r="H8096" s="18"/>
    </row>
    <row r="8097">
      <c r="C8097" s="18"/>
      <c r="D8097" s="19"/>
      <c r="E8097" s="57"/>
      <c r="H8097" s="18"/>
    </row>
    <row r="8098">
      <c r="C8098" s="18"/>
      <c r="D8098" s="19"/>
      <c r="E8098" s="57"/>
      <c r="H8098" s="18"/>
    </row>
    <row r="8099">
      <c r="C8099" s="18"/>
      <c r="D8099" s="19"/>
      <c r="E8099" s="57"/>
      <c r="H8099" s="18"/>
    </row>
    <row r="8100">
      <c r="C8100" s="18"/>
      <c r="D8100" s="19"/>
      <c r="E8100" s="57"/>
      <c r="H8100" s="18"/>
    </row>
    <row r="8101">
      <c r="C8101" s="18"/>
      <c r="D8101" s="19"/>
      <c r="E8101" s="57"/>
      <c r="H8101" s="18"/>
    </row>
    <row r="8102">
      <c r="C8102" s="18"/>
      <c r="D8102" s="19"/>
      <c r="E8102" s="57"/>
      <c r="H8102" s="18"/>
    </row>
    <row r="8103">
      <c r="C8103" s="18"/>
      <c r="D8103" s="19"/>
      <c r="E8103" s="57"/>
      <c r="H8103" s="18"/>
    </row>
    <row r="8104">
      <c r="C8104" s="18"/>
      <c r="D8104" s="19"/>
      <c r="E8104" s="57"/>
      <c r="H8104" s="18"/>
    </row>
    <row r="8105">
      <c r="C8105" s="18"/>
      <c r="D8105" s="19"/>
      <c r="E8105" s="57"/>
      <c r="H8105" s="18"/>
    </row>
    <row r="8106">
      <c r="C8106" s="18"/>
      <c r="D8106" s="19"/>
      <c r="E8106" s="57"/>
      <c r="H8106" s="18"/>
    </row>
    <row r="8107">
      <c r="C8107" s="18"/>
      <c r="D8107" s="19"/>
      <c r="E8107" s="57"/>
      <c r="H8107" s="18"/>
    </row>
    <row r="8108">
      <c r="C8108" s="18"/>
      <c r="D8108" s="19"/>
      <c r="E8108" s="57"/>
      <c r="H8108" s="18"/>
    </row>
    <row r="8109">
      <c r="C8109" s="18"/>
      <c r="D8109" s="19"/>
      <c r="E8109" s="57"/>
      <c r="H8109" s="18"/>
    </row>
    <row r="8110">
      <c r="C8110" s="18"/>
      <c r="D8110" s="19"/>
      <c r="E8110" s="57"/>
      <c r="H8110" s="18"/>
    </row>
    <row r="8111">
      <c r="C8111" s="18"/>
      <c r="D8111" s="19"/>
      <c r="E8111" s="57"/>
      <c r="H8111" s="18"/>
    </row>
    <row r="8112">
      <c r="C8112" s="18"/>
      <c r="D8112" s="19"/>
      <c r="E8112" s="57"/>
      <c r="H8112" s="18"/>
    </row>
    <row r="8113">
      <c r="C8113" s="18"/>
      <c r="D8113" s="19"/>
      <c r="E8113" s="57"/>
      <c r="H8113" s="18"/>
    </row>
    <row r="8114">
      <c r="C8114" s="18"/>
      <c r="D8114" s="19"/>
      <c r="E8114" s="57"/>
      <c r="H8114" s="18"/>
    </row>
    <row r="8115">
      <c r="C8115" s="18"/>
      <c r="D8115" s="19"/>
      <c r="E8115" s="57"/>
      <c r="H8115" s="18"/>
    </row>
    <row r="8116">
      <c r="C8116" s="18"/>
      <c r="D8116" s="19"/>
      <c r="E8116" s="57"/>
      <c r="H8116" s="18"/>
    </row>
    <row r="8117">
      <c r="C8117" s="18"/>
      <c r="D8117" s="19"/>
      <c r="E8117" s="57"/>
      <c r="H8117" s="18"/>
    </row>
    <row r="8118">
      <c r="C8118" s="18"/>
      <c r="D8118" s="19"/>
      <c r="E8118" s="57"/>
      <c r="H8118" s="18"/>
    </row>
    <row r="8119">
      <c r="C8119" s="18"/>
      <c r="D8119" s="19"/>
      <c r="E8119" s="57"/>
      <c r="H8119" s="18"/>
    </row>
    <row r="8120">
      <c r="C8120" s="18"/>
      <c r="D8120" s="19"/>
      <c r="E8120" s="57"/>
      <c r="H8120" s="18"/>
    </row>
    <row r="8121">
      <c r="C8121" s="18"/>
      <c r="D8121" s="19"/>
      <c r="E8121" s="57"/>
      <c r="H8121" s="18"/>
    </row>
    <row r="8122">
      <c r="C8122" s="18"/>
      <c r="D8122" s="19"/>
      <c r="E8122" s="57"/>
      <c r="H8122" s="18"/>
    </row>
    <row r="8123">
      <c r="C8123" s="18"/>
      <c r="D8123" s="19"/>
      <c r="E8123" s="57"/>
      <c r="H8123" s="18"/>
    </row>
    <row r="8124">
      <c r="C8124" s="18"/>
      <c r="D8124" s="19"/>
      <c r="E8124" s="57"/>
      <c r="H8124" s="18"/>
    </row>
    <row r="8125">
      <c r="C8125" s="18"/>
      <c r="D8125" s="19"/>
      <c r="E8125" s="57"/>
      <c r="H8125" s="18"/>
    </row>
    <row r="8126">
      <c r="C8126" s="18"/>
      <c r="D8126" s="19"/>
      <c r="E8126" s="57"/>
      <c r="H8126" s="18"/>
    </row>
    <row r="8127">
      <c r="C8127" s="18"/>
      <c r="D8127" s="19"/>
      <c r="E8127" s="57"/>
      <c r="H8127" s="18"/>
    </row>
    <row r="8128">
      <c r="C8128" s="18"/>
      <c r="D8128" s="19"/>
      <c r="E8128" s="57"/>
      <c r="H8128" s="18"/>
    </row>
    <row r="8129">
      <c r="C8129" s="18"/>
      <c r="D8129" s="19"/>
      <c r="E8129" s="57"/>
      <c r="H8129" s="18"/>
    </row>
    <row r="8130">
      <c r="C8130" s="18"/>
      <c r="D8130" s="19"/>
      <c r="E8130" s="57"/>
      <c r="H8130" s="18"/>
    </row>
    <row r="8131">
      <c r="C8131" s="18"/>
      <c r="D8131" s="19"/>
      <c r="E8131" s="57"/>
      <c r="H8131" s="18"/>
    </row>
    <row r="8132">
      <c r="C8132" s="18"/>
      <c r="D8132" s="19"/>
      <c r="E8132" s="57"/>
      <c r="H8132" s="18"/>
    </row>
    <row r="8133">
      <c r="C8133" s="18"/>
      <c r="D8133" s="19"/>
      <c r="E8133" s="57"/>
      <c r="H8133" s="18"/>
    </row>
    <row r="8134">
      <c r="C8134" s="18"/>
      <c r="D8134" s="19"/>
      <c r="E8134" s="57"/>
      <c r="H8134" s="18"/>
    </row>
    <row r="8135">
      <c r="C8135" s="18"/>
      <c r="D8135" s="19"/>
      <c r="E8135" s="57"/>
      <c r="H8135" s="18"/>
    </row>
    <row r="8136">
      <c r="C8136" s="18"/>
      <c r="D8136" s="19"/>
      <c r="E8136" s="57"/>
      <c r="H8136" s="18"/>
    </row>
    <row r="8137">
      <c r="C8137" s="18"/>
      <c r="D8137" s="19"/>
      <c r="E8137" s="57"/>
      <c r="H8137" s="18"/>
    </row>
    <row r="8138">
      <c r="C8138" s="18"/>
      <c r="D8138" s="19"/>
      <c r="E8138" s="57"/>
      <c r="H8138" s="18"/>
    </row>
    <row r="8139">
      <c r="C8139" s="18"/>
      <c r="D8139" s="19"/>
      <c r="E8139" s="57"/>
      <c r="H8139" s="18"/>
    </row>
    <row r="8140">
      <c r="C8140" s="18"/>
      <c r="D8140" s="19"/>
      <c r="E8140" s="57"/>
      <c r="H8140" s="18"/>
    </row>
    <row r="8141">
      <c r="C8141" s="18"/>
      <c r="D8141" s="19"/>
      <c r="E8141" s="57"/>
      <c r="H8141" s="18"/>
    </row>
    <row r="8142">
      <c r="C8142" s="18"/>
      <c r="D8142" s="19"/>
      <c r="E8142" s="57"/>
      <c r="H8142" s="18"/>
    </row>
    <row r="8143">
      <c r="C8143" s="18"/>
      <c r="D8143" s="19"/>
      <c r="E8143" s="57"/>
      <c r="H8143" s="18"/>
    </row>
    <row r="8144">
      <c r="C8144" s="18"/>
      <c r="D8144" s="19"/>
      <c r="E8144" s="57"/>
      <c r="H8144" s="18"/>
    </row>
    <row r="8145">
      <c r="C8145" s="18"/>
      <c r="D8145" s="19"/>
      <c r="E8145" s="57"/>
      <c r="H8145" s="18"/>
    </row>
    <row r="8146">
      <c r="C8146" s="18"/>
      <c r="D8146" s="19"/>
      <c r="E8146" s="57"/>
      <c r="H8146" s="18"/>
    </row>
    <row r="8147">
      <c r="C8147" s="18"/>
      <c r="D8147" s="19"/>
      <c r="E8147" s="57"/>
      <c r="H8147" s="18"/>
    </row>
    <row r="8148">
      <c r="C8148" s="18"/>
      <c r="D8148" s="19"/>
      <c r="E8148" s="57"/>
      <c r="H8148" s="18"/>
    </row>
    <row r="8149">
      <c r="C8149" s="18"/>
      <c r="D8149" s="19"/>
      <c r="E8149" s="57"/>
      <c r="H8149" s="18"/>
    </row>
    <row r="8150">
      <c r="C8150" s="18"/>
      <c r="D8150" s="19"/>
      <c r="E8150" s="57"/>
      <c r="H8150" s="18"/>
    </row>
    <row r="8151">
      <c r="C8151" s="18"/>
      <c r="D8151" s="19"/>
      <c r="E8151" s="57"/>
      <c r="H8151" s="18"/>
    </row>
    <row r="8152">
      <c r="C8152" s="18"/>
      <c r="D8152" s="19"/>
      <c r="E8152" s="57"/>
      <c r="H8152" s="18"/>
    </row>
    <row r="8153">
      <c r="C8153" s="18"/>
      <c r="D8153" s="19"/>
      <c r="E8153" s="57"/>
      <c r="H8153" s="18"/>
    </row>
    <row r="8154">
      <c r="C8154" s="18"/>
      <c r="D8154" s="19"/>
      <c r="E8154" s="57"/>
      <c r="H8154" s="18"/>
    </row>
    <row r="8155">
      <c r="C8155" s="18"/>
      <c r="D8155" s="19"/>
      <c r="E8155" s="57"/>
      <c r="H8155" s="18"/>
    </row>
    <row r="8156">
      <c r="C8156" s="18"/>
      <c r="D8156" s="19"/>
      <c r="E8156" s="57"/>
      <c r="H8156" s="18"/>
    </row>
    <row r="8157">
      <c r="C8157" s="18"/>
      <c r="D8157" s="19"/>
      <c r="E8157" s="57"/>
      <c r="H8157" s="18"/>
    </row>
    <row r="8158">
      <c r="C8158" s="18"/>
      <c r="D8158" s="19"/>
      <c r="E8158" s="57"/>
      <c r="H8158" s="18"/>
    </row>
    <row r="8159">
      <c r="C8159" s="18"/>
      <c r="D8159" s="19"/>
      <c r="E8159" s="57"/>
      <c r="H8159" s="18"/>
    </row>
    <row r="8160">
      <c r="C8160" s="18"/>
      <c r="D8160" s="19"/>
      <c r="E8160" s="57"/>
      <c r="H8160" s="18"/>
    </row>
    <row r="8161">
      <c r="C8161" s="18"/>
      <c r="D8161" s="19"/>
      <c r="E8161" s="57"/>
      <c r="H8161" s="18"/>
    </row>
    <row r="8162">
      <c r="C8162" s="18"/>
      <c r="D8162" s="19"/>
      <c r="E8162" s="57"/>
      <c r="H8162" s="18"/>
    </row>
    <row r="8163">
      <c r="C8163" s="18"/>
      <c r="D8163" s="19"/>
      <c r="E8163" s="57"/>
      <c r="H8163" s="18"/>
    </row>
    <row r="8164">
      <c r="C8164" s="18"/>
      <c r="D8164" s="19"/>
      <c r="E8164" s="57"/>
      <c r="H8164" s="18"/>
    </row>
    <row r="8165">
      <c r="C8165" s="18"/>
      <c r="D8165" s="19"/>
      <c r="E8165" s="57"/>
      <c r="H8165" s="18"/>
    </row>
    <row r="8166">
      <c r="C8166" s="18"/>
      <c r="D8166" s="19"/>
      <c r="E8166" s="57"/>
      <c r="H8166" s="18"/>
    </row>
    <row r="8167">
      <c r="C8167" s="18"/>
      <c r="D8167" s="19"/>
      <c r="E8167" s="57"/>
      <c r="H8167" s="18"/>
    </row>
    <row r="8168">
      <c r="C8168" s="18"/>
      <c r="D8168" s="19"/>
      <c r="E8168" s="57"/>
      <c r="H8168" s="18"/>
    </row>
    <row r="8169">
      <c r="C8169" s="18"/>
      <c r="D8169" s="19"/>
      <c r="E8169" s="57"/>
      <c r="H8169" s="18"/>
    </row>
    <row r="8170">
      <c r="C8170" s="18"/>
      <c r="D8170" s="19"/>
      <c r="E8170" s="57"/>
      <c r="H8170" s="18"/>
    </row>
    <row r="8171">
      <c r="C8171" s="18"/>
      <c r="D8171" s="19"/>
      <c r="E8171" s="57"/>
      <c r="H8171" s="18"/>
    </row>
    <row r="8172">
      <c r="C8172" s="18"/>
      <c r="D8172" s="19"/>
      <c r="E8172" s="57"/>
      <c r="H8172" s="18"/>
    </row>
    <row r="8173">
      <c r="C8173" s="18"/>
      <c r="D8173" s="19"/>
      <c r="E8173" s="57"/>
      <c r="H8173" s="18"/>
    </row>
    <row r="8174">
      <c r="C8174" s="18"/>
      <c r="D8174" s="19"/>
      <c r="E8174" s="57"/>
      <c r="H8174" s="18"/>
    </row>
    <row r="8175">
      <c r="C8175" s="18"/>
      <c r="D8175" s="19"/>
      <c r="E8175" s="57"/>
      <c r="H8175" s="18"/>
    </row>
    <row r="8176">
      <c r="C8176" s="18"/>
      <c r="D8176" s="19"/>
      <c r="E8176" s="57"/>
      <c r="H8176" s="18"/>
    </row>
    <row r="8177">
      <c r="C8177" s="18"/>
      <c r="D8177" s="19"/>
      <c r="E8177" s="57"/>
      <c r="H8177" s="18"/>
    </row>
    <row r="8178">
      <c r="C8178" s="18"/>
      <c r="D8178" s="19"/>
      <c r="E8178" s="57"/>
      <c r="H8178" s="18"/>
    </row>
    <row r="8179">
      <c r="C8179" s="18"/>
      <c r="D8179" s="19"/>
      <c r="E8179" s="57"/>
      <c r="H8179" s="18"/>
    </row>
    <row r="8180">
      <c r="C8180" s="18"/>
      <c r="D8180" s="19"/>
      <c r="E8180" s="57"/>
      <c r="H8180" s="18"/>
    </row>
    <row r="8181">
      <c r="C8181" s="18"/>
      <c r="D8181" s="19"/>
      <c r="E8181" s="57"/>
      <c r="H8181" s="18"/>
    </row>
    <row r="8182">
      <c r="C8182" s="18"/>
      <c r="D8182" s="19"/>
      <c r="E8182" s="57"/>
      <c r="H8182" s="18"/>
    </row>
    <row r="8183">
      <c r="C8183" s="18"/>
      <c r="D8183" s="19"/>
      <c r="E8183" s="57"/>
      <c r="H8183" s="18"/>
    </row>
    <row r="8184">
      <c r="C8184" s="18"/>
      <c r="D8184" s="19"/>
      <c r="E8184" s="57"/>
      <c r="H8184" s="18"/>
    </row>
    <row r="8185">
      <c r="C8185" s="18"/>
      <c r="D8185" s="19"/>
      <c r="E8185" s="57"/>
      <c r="H8185" s="18"/>
    </row>
    <row r="8186">
      <c r="C8186" s="18"/>
      <c r="D8186" s="19"/>
      <c r="E8186" s="57"/>
      <c r="H8186" s="18"/>
    </row>
    <row r="8187">
      <c r="C8187" s="18"/>
      <c r="D8187" s="19"/>
      <c r="E8187" s="57"/>
      <c r="H8187" s="18"/>
    </row>
    <row r="8188">
      <c r="C8188" s="18"/>
      <c r="D8188" s="19"/>
      <c r="E8188" s="57"/>
      <c r="H8188" s="18"/>
    </row>
    <row r="8189">
      <c r="C8189" s="18"/>
      <c r="D8189" s="19"/>
      <c r="E8189" s="57"/>
      <c r="H8189" s="18"/>
    </row>
    <row r="8190">
      <c r="C8190" s="18"/>
      <c r="D8190" s="19"/>
      <c r="E8190" s="57"/>
      <c r="H8190" s="18"/>
    </row>
    <row r="8191">
      <c r="C8191" s="18"/>
      <c r="D8191" s="19"/>
      <c r="E8191" s="57"/>
      <c r="H8191" s="18"/>
    </row>
    <row r="8192">
      <c r="C8192" s="18"/>
      <c r="D8192" s="19"/>
      <c r="E8192" s="57"/>
      <c r="H8192" s="18"/>
    </row>
    <row r="8193">
      <c r="C8193" s="18"/>
      <c r="D8193" s="19"/>
      <c r="E8193" s="57"/>
      <c r="H8193" s="18"/>
    </row>
    <row r="8194">
      <c r="C8194" s="18"/>
      <c r="D8194" s="19"/>
      <c r="E8194" s="57"/>
      <c r="H8194" s="18"/>
    </row>
    <row r="8195">
      <c r="C8195" s="18"/>
      <c r="D8195" s="19"/>
      <c r="E8195" s="57"/>
      <c r="H8195" s="18"/>
    </row>
    <row r="8196">
      <c r="C8196" s="18"/>
      <c r="D8196" s="19"/>
      <c r="E8196" s="57"/>
      <c r="H8196" s="18"/>
    </row>
    <row r="8197">
      <c r="C8197" s="18"/>
      <c r="D8197" s="19"/>
      <c r="E8197" s="57"/>
      <c r="H8197" s="18"/>
    </row>
    <row r="8198">
      <c r="C8198" s="18"/>
      <c r="D8198" s="19"/>
      <c r="E8198" s="57"/>
      <c r="H8198" s="18"/>
    </row>
    <row r="8199">
      <c r="C8199" s="18"/>
      <c r="D8199" s="19"/>
      <c r="E8199" s="57"/>
      <c r="H8199" s="18"/>
    </row>
    <row r="8200">
      <c r="C8200" s="18"/>
      <c r="D8200" s="19"/>
      <c r="E8200" s="57"/>
      <c r="H8200" s="18"/>
    </row>
    <row r="8201">
      <c r="C8201" s="18"/>
      <c r="D8201" s="19"/>
      <c r="E8201" s="57"/>
      <c r="H8201" s="18"/>
    </row>
    <row r="8202">
      <c r="C8202" s="18"/>
      <c r="D8202" s="19"/>
      <c r="E8202" s="57"/>
      <c r="H8202" s="18"/>
    </row>
    <row r="8203">
      <c r="C8203" s="18"/>
      <c r="D8203" s="19"/>
      <c r="E8203" s="57"/>
      <c r="H8203" s="18"/>
    </row>
    <row r="8204">
      <c r="C8204" s="18"/>
      <c r="D8204" s="19"/>
      <c r="E8204" s="57"/>
      <c r="H8204" s="18"/>
    </row>
    <row r="8205">
      <c r="C8205" s="18"/>
      <c r="D8205" s="19"/>
      <c r="E8205" s="57"/>
      <c r="H8205" s="18"/>
    </row>
    <row r="8206">
      <c r="C8206" s="18"/>
      <c r="D8206" s="19"/>
      <c r="E8206" s="57"/>
      <c r="H8206" s="18"/>
    </row>
    <row r="8207">
      <c r="C8207" s="18"/>
      <c r="D8207" s="19"/>
      <c r="E8207" s="57"/>
      <c r="H8207" s="18"/>
    </row>
    <row r="8208">
      <c r="C8208" s="18"/>
      <c r="D8208" s="19"/>
      <c r="E8208" s="57"/>
      <c r="H8208" s="18"/>
    </row>
    <row r="8209">
      <c r="C8209" s="18"/>
      <c r="D8209" s="19"/>
      <c r="E8209" s="57"/>
      <c r="H8209" s="18"/>
    </row>
    <row r="8210">
      <c r="C8210" s="18"/>
      <c r="D8210" s="19"/>
      <c r="E8210" s="57"/>
      <c r="H8210" s="18"/>
    </row>
    <row r="8211">
      <c r="C8211" s="18"/>
      <c r="D8211" s="19"/>
      <c r="E8211" s="57"/>
      <c r="H8211" s="18"/>
    </row>
    <row r="8212">
      <c r="C8212" s="18"/>
      <c r="D8212" s="19"/>
      <c r="E8212" s="57"/>
      <c r="H8212" s="18"/>
    </row>
    <row r="8213">
      <c r="C8213" s="18"/>
      <c r="D8213" s="19"/>
      <c r="E8213" s="57"/>
      <c r="H8213" s="18"/>
    </row>
    <row r="8214">
      <c r="C8214" s="18"/>
      <c r="D8214" s="19"/>
      <c r="E8214" s="57"/>
      <c r="H8214" s="18"/>
    </row>
    <row r="8215">
      <c r="C8215" s="18"/>
      <c r="D8215" s="19"/>
      <c r="E8215" s="57"/>
      <c r="H8215" s="18"/>
    </row>
    <row r="8216">
      <c r="C8216" s="18"/>
      <c r="D8216" s="19"/>
      <c r="E8216" s="57"/>
      <c r="H8216" s="18"/>
    </row>
    <row r="8217">
      <c r="C8217" s="18"/>
      <c r="D8217" s="19"/>
      <c r="E8217" s="57"/>
      <c r="H8217" s="18"/>
    </row>
    <row r="8218">
      <c r="C8218" s="18"/>
      <c r="D8218" s="19"/>
      <c r="E8218" s="57"/>
      <c r="H8218" s="18"/>
    </row>
    <row r="8219">
      <c r="C8219" s="18"/>
      <c r="D8219" s="19"/>
      <c r="E8219" s="57"/>
      <c r="H8219" s="18"/>
    </row>
    <row r="8220">
      <c r="C8220" s="18"/>
      <c r="D8220" s="19"/>
      <c r="E8220" s="57"/>
      <c r="H8220" s="18"/>
    </row>
    <row r="8221">
      <c r="C8221" s="18"/>
      <c r="D8221" s="19"/>
      <c r="E8221" s="57"/>
      <c r="H8221" s="18"/>
    </row>
    <row r="8222">
      <c r="C8222" s="18"/>
      <c r="D8222" s="19"/>
      <c r="E8222" s="57"/>
      <c r="H8222" s="18"/>
    </row>
    <row r="8223">
      <c r="C8223" s="18"/>
      <c r="D8223" s="19"/>
      <c r="E8223" s="57"/>
      <c r="H8223" s="18"/>
    </row>
    <row r="8224">
      <c r="C8224" s="18"/>
      <c r="D8224" s="19"/>
      <c r="E8224" s="57"/>
      <c r="H8224" s="18"/>
    </row>
    <row r="8225">
      <c r="C8225" s="18"/>
      <c r="D8225" s="19"/>
      <c r="E8225" s="57"/>
      <c r="H8225" s="18"/>
    </row>
    <row r="8226">
      <c r="C8226" s="18"/>
      <c r="D8226" s="19"/>
      <c r="E8226" s="57"/>
      <c r="H8226" s="18"/>
    </row>
    <row r="8227">
      <c r="C8227" s="18"/>
      <c r="D8227" s="19"/>
      <c r="E8227" s="57"/>
      <c r="H8227" s="18"/>
    </row>
    <row r="8228">
      <c r="C8228" s="18"/>
      <c r="D8228" s="19"/>
      <c r="E8228" s="57"/>
      <c r="H8228" s="18"/>
    </row>
    <row r="8229">
      <c r="C8229" s="18"/>
      <c r="D8229" s="19"/>
      <c r="E8229" s="57"/>
      <c r="H8229" s="18"/>
    </row>
    <row r="8230">
      <c r="C8230" s="18"/>
      <c r="D8230" s="19"/>
      <c r="E8230" s="57"/>
      <c r="H8230" s="18"/>
    </row>
    <row r="8231">
      <c r="C8231" s="18"/>
      <c r="D8231" s="19"/>
      <c r="E8231" s="57"/>
      <c r="H8231" s="18"/>
    </row>
    <row r="8232">
      <c r="C8232" s="18"/>
      <c r="D8232" s="19"/>
      <c r="E8232" s="57"/>
      <c r="H8232" s="18"/>
    </row>
    <row r="8233">
      <c r="C8233" s="18"/>
      <c r="D8233" s="19"/>
      <c r="E8233" s="57"/>
      <c r="H8233" s="18"/>
    </row>
    <row r="8234">
      <c r="C8234" s="18"/>
      <c r="D8234" s="19"/>
      <c r="E8234" s="57"/>
      <c r="H8234" s="18"/>
    </row>
    <row r="8235">
      <c r="C8235" s="18"/>
      <c r="D8235" s="19"/>
      <c r="E8235" s="57"/>
      <c r="H8235" s="18"/>
    </row>
    <row r="8236">
      <c r="C8236" s="18"/>
      <c r="D8236" s="19"/>
      <c r="E8236" s="57"/>
      <c r="H8236" s="18"/>
    </row>
    <row r="8237">
      <c r="C8237" s="18"/>
      <c r="D8237" s="19"/>
      <c r="E8237" s="57"/>
      <c r="H8237" s="18"/>
    </row>
    <row r="8238">
      <c r="C8238" s="18"/>
      <c r="D8238" s="19"/>
      <c r="E8238" s="57"/>
      <c r="H8238" s="18"/>
    </row>
    <row r="8239">
      <c r="C8239" s="18"/>
      <c r="D8239" s="19"/>
      <c r="E8239" s="57"/>
      <c r="H8239" s="18"/>
    </row>
    <row r="8240">
      <c r="C8240" s="18"/>
      <c r="D8240" s="19"/>
      <c r="E8240" s="57"/>
      <c r="H8240" s="18"/>
    </row>
    <row r="8241">
      <c r="C8241" s="18"/>
      <c r="D8241" s="19"/>
      <c r="E8241" s="57"/>
      <c r="H8241" s="18"/>
    </row>
    <row r="8242">
      <c r="C8242" s="18"/>
      <c r="D8242" s="19"/>
      <c r="E8242" s="57"/>
      <c r="H8242" s="18"/>
    </row>
    <row r="8243">
      <c r="C8243" s="18"/>
      <c r="D8243" s="19"/>
      <c r="E8243" s="57"/>
      <c r="H8243" s="18"/>
    </row>
    <row r="8244">
      <c r="C8244" s="18"/>
      <c r="D8244" s="19"/>
      <c r="E8244" s="57"/>
      <c r="H8244" s="18"/>
    </row>
    <row r="8245">
      <c r="C8245" s="18"/>
      <c r="D8245" s="19"/>
      <c r="E8245" s="57"/>
      <c r="H8245" s="18"/>
    </row>
    <row r="8246">
      <c r="C8246" s="18"/>
      <c r="D8246" s="19"/>
      <c r="E8246" s="57"/>
      <c r="H8246" s="18"/>
    </row>
    <row r="8247">
      <c r="C8247" s="18"/>
      <c r="D8247" s="19"/>
      <c r="E8247" s="57"/>
      <c r="H8247" s="18"/>
    </row>
    <row r="8248">
      <c r="C8248" s="18"/>
      <c r="D8248" s="19"/>
      <c r="E8248" s="57"/>
      <c r="H8248" s="18"/>
    </row>
    <row r="8249">
      <c r="C8249" s="18"/>
      <c r="D8249" s="19"/>
      <c r="E8249" s="57"/>
      <c r="H8249" s="18"/>
    </row>
    <row r="8250">
      <c r="C8250" s="18"/>
      <c r="D8250" s="19"/>
      <c r="E8250" s="57"/>
      <c r="H8250" s="18"/>
    </row>
    <row r="8251">
      <c r="C8251" s="18"/>
      <c r="D8251" s="19"/>
      <c r="E8251" s="57"/>
      <c r="H8251" s="18"/>
    </row>
    <row r="8252">
      <c r="C8252" s="18"/>
      <c r="D8252" s="19"/>
      <c r="E8252" s="57"/>
      <c r="H8252" s="18"/>
    </row>
    <row r="8253">
      <c r="C8253" s="18"/>
      <c r="D8253" s="19"/>
      <c r="E8253" s="57"/>
      <c r="H8253" s="18"/>
    </row>
    <row r="8254">
      <c r="C8254" s="18"/>
      <c r="D8254" s="19"/>
      <c r="E8254" s="57"/>
      <c r="H8254" s="18"/>
    </row>
    <row r="8255">
      <c r="C8255" s="18"/>
      <c r="D8255" s="19"/>
      <c r="E8255" s="57"/>
      <c r="H8255" s="18"/>
    </row>
    <row r="8256">
      <c r="C8256" s="18"/>
      <c r="D8256" s="19"/>
      <c r="E8256" s="57"/>
      <c r="H8256" s="18"/>
    </row>
    <row r="8257">
      <c r="C8257" s="18"/>
      <c r="D8257" s="19"/>
      <c r="E8257" s="57"/>
      <c r="H8257" s="18"/>
    </row>
    <row r="8258">
      <c r="C8258" s="18"/>
      <c r="D8258" s="19"/>
      <c r="E8258" s="57"/>
      <c r="H8258" s="18"/>
    </row>
    <row r="8259">
      <c r="C8259" s="18"/>
      <c r="D8259" s="19"/>
      <c r="E8259" s="57"/>
      <c r="H8259" s="18"/>
    </row>
    <row r="8260">
      <c r="C8260" s="18"/>
      <c r="D8260" s="19"/>
      <c r="E8260" s="57"/>
      <c r="H8260" s="18"/>
    </row>
    <row r="8261">
      <c r="C8261" s="18"/>
      <c r="D8261" s="19"/>
      <c r="E8261" s="57"/>
      <c r="H8261" s="18"/>
    </row>
    <row r="8262">
      <c r="C8262" s="18"/>
      <c r="D8262" s="19"/>
      <c r="E8262" s="57"/>
      <c r="H8262" s="18"/>
    </row>
    <row r="8263">
      <c r="C8263" s="18"/>
      <c r="D8263" s="19"/>
      <c r="E8263" s="57"/>
      <c r="H8263" s="18"/>
    </row>
    <row r="8264">
      <c r="C8264" s="18"/>
      <c r="D8264" s="19"/>
      <c r="E8264" s="57"/>
      <c r="H8264" s="18"/>
    </row>
    <row r="8265">
      <c r="C8265" s="18"/>
      <c r="D8265" s="19"/>
      <c r="E8265" s="57"/>
      <c r="H8265" s="18"/>
    </row>
    <row r="8266">
      <c r="C8266" s="18"/>
      <c r="D8266" s="19"/>
      <c r="E8266" s="57"/>
      <c r="H8266" s="18"/>
    </row>
    <row r="8267">
      <c r="C8267" s="18"/>
      <c r="D8267" s="19"/>
      <c r="E8267" s="57"/>
      <c r="H8267" s="18"/>
    </row>
    <row r="8268">
      <c r="C8268" s="18"/>
      <c r="D8268" s="19"/>
      <c r="E8268" s="57"/>
      <c r="H8268" s="18"/>
    </row>
    <row r="8269">
      <c r="C8269" s="18"/>
      <c r="D8269" s="19"/>
      <c r="E8269" s="57"/>
      <c r="H8269" s="18"/>
    </row>
    <row r="8270">
      <c r="C8270" s="18"/>
      <c r="D8270" s="19"/>
      <c r="E8270" s="57"/>
      <c r="H8270" s="18"/>
    </row>
    <row r="8271">
      <c r="C8271" s="18"/>
      <c r="D8271" s="19"/>
      <c r="E8271" s="57"/>
      <c r="H8271" s="18"/>
    </row>
    <row r="8272">
      <c r="C8272" s="18"/>
      <c r="D8272" s="19"/>
      <c r="E8272" s="57"/>
      <c r="H8272" s="18"/>
    </row>
    <row r="8273">
      <c r="C8273" s="18"/>
      <c r="D8273" s="19"/>
      <c r="E8273" s="57"/>
      <c r="H8273" s="18"/>
    </row>
    <row r="8274">
      <c r="C8274" s="18"/>
      <c r="D8274" s="19"/>
      <c r="E8274" s="57"/>
      <c r="H8274" s="18"/>
    </row>
    <row r="8275">
      <c r="C8275" s="18"/>
      <c r="D8275" s="19"/>
      <c r="E8275" s="57"/>
      <c r="H8275" s="18"/>
    </row>
    <row r="8276">
      <c r="C8276" s="18"/>
      <c r="D8276" s="19"/>
      <c r="E8276" s="57"/>
      <c r="H8276" s="18"/>
    </row>
    <row r="8277">
      <c r="C8277" s="18"/>
      <c r="D8277" s="19"/>
      <c r="E8277" s="57"/>
      <c r="H8277" s="18"/>
    </row>
    <row r="8278">
      <c r="C8278" s="18"/>
      <c r="D8278" s="19"/>
      <c r="E8278" s="57"/>
      <c r="H8278" s="18"/>
    </row>
    <row r="8279">
      <c r="C8279" s="18"/>
      <c r="D8279" s="19"/>
      <c r="E8279" s="57"/>
      <c r="H8279" s="18"/>
    </row>
    <row r="8280">
      <c r="C8280" s="18"/>
      <c r="D8280" s="19"/>
      <c r="E8280" s="57"/>
      <c r="H8280" s="18"/>
    </row>
    <row r="8281">
      <c r="C8281" s="18"/>
      <c r="D8281" s="19"/>
      <c r="E8281" s="57"/>
      <c r="H8281" s="18"/>
    </row>
    <row r="8282">
      <c r="C8282" s="18"/>
      <c r="D8282" s="19"/>
      <c r="E8282" s="57"/>
      <c r="H8282" s="18"/>
    </row>
    <row r="8283">
      <c r="C8283" s="18"/>
      <c r="D8283" s="19"/>
      <c r="E8283" s="57"/>
      <c r="H8283" s="18"/>
    </row>
    <row r="8284">
      <c r="C8284" s="18"/>
      <c r="D8284" s="19"/>
      <c r="E8284" s="57"/>
      <c r="H8284" s="18"/>
    </row>
    <row r="8285">
      <c r="C8285" s="18"/>
      <c r="D8285" s="19"/>
      <c r="E8285" s="57"/>
      <c r="H8285" s="18"/>
    </row>
    <row r="8286">
      <c r="C8286" s="18"/>
      <c r="D8286" s="19"/>
      <c r="E8286" s="57"/>
      <c r="H8286" s="18"/>
    </row>
    <row r="8287">
      <c r="C8287" s="18"/>
      <c r="D8287" s="19"/>
      <c r="E8287" s="57"/>
      <c r="H8287" s="18"/>
    </row>
    <row r="8288">
      <c r="C8288" s="18"/>
      <c r="D8288" s="19"/>
      <c r="E8288" s="57"/>
      <c r="H8288" s="18"/>
    </row>
    <row r="8289">
      <c r="C8289" s="18"/>
      <c r="D8289" s="19"/>
      <c r="E8289" s="57"/>
      <c r="H8289" s="18"/>
    </row>
    <row r="8290">
      <c r="C8290" s="18"/>
      <c r="D8290" s="19"/>
      <c r="E8290" s="57"/>
      <c r="H8290" s="18"/>
    </row>
    <row r="8291">
      <c r="C8291" s="18"/>
      <c r="D8291" s="19"/>
      <c r="E8291" s="57"/>
      <c r="H8291" s="18"/>
    </row>
    <row r="8292">
      <c r="C8292" s="18"/>
      <c r="D8292" s="19"/>
      <c r="E8292" s="57"/>
      <c r="H8292" s="18"/>
    </row>
    <row r="8293">
      <c r="C8293" s="18"/>
      <c r="D8293" s="19"/>
      <c r="E8293" s="57"/>
      <c r="H8293" s="18"/>
    </row>
    <row r="8294">
      <c r="C8294" s="18"/>
      <c r="D8294" s="19"/>
      <c r="E8294" s="57"/>
      <c r="H8294" s="18"/>
    </row>
    <row r="8295">
      <c r="C8295" s="18"/>
      <c r="D8295" s="19"/>
      <c r="E8295" s="57"/>
      <c r="H8295" s="18"/>
    </row>
    <row r="8296">
      <c r="C8296" s="18"/>
      <c r="D8296" s="19"/>
      <c r="E8296" s="57"/>
      <c r="H8296" s="18"/>
    </row>
    <row r="8297">
      <c r="C8297" s="18"/>
      <c r="D8297" s="19"/>
      <c r="E8297" s="57"/>
      <c r="H8297" s="18"/>
    </row>
    <row r="8298">
      <c r="C8298" s="18"/>
      <c r="D8298" s="19"/>
      <c r="E8298" s="57"/>
      <c r="H8298" s="18"/>
    </row>
    <row r="8299">
      <c r="C8299" s="18"/>
      <c r="D8299" s="19"/>
      <c r="E8299" s="57"/>
      <c r="H8299" s="18"/>
    </row>
    <row r="8300">
      <c r="C8300" s="18"/>
      <c r="D8300" s="19"/>
      <c r="E8300" s="57"/>
      <c r="H8300" s="18"/>
    </row>
    <row r="8301">
      <c r="C8301" s="18"/>
      <c r="D8301" s="19"/>
      <c r="E8301" s="57"/>
      <c r="H8301" s="18"/>
    </row>
    <row r="8302">
      <c r="C8302" s="18"/>
      <c r="D8302" s="19"/>
      <c r="E8302" s="57"/>
      <c r="H8302" s="18"/>
    </row>
    <row r="8303">
      <c r="C8303" s="18"/>
      <c r="D8303" s="19"/>
      <c r="E8303" s="57"/>
      <c r="H8303" s="18"/>
    </row>
    <row r="8304">
      <c r="C8304" s="18"/>
      <c r="D8304" s="19"/>
      <c r="E8304" s="57"/>
      <c r="H8304" s="18"/>
    </row>
    <row r="8305">
      <c r="C8305" s="18"/>
      <c r="D8305" s="19"/>
      <c r="E8305" s="57"/>
      <c r="H8305" s="18"/>
    </row>
    <row r="8306">
      <c r="C8306" s="18"/>
      <c r="D8306" s="19"/>
      <c r="E8306" s="57"/>
      <c r="H8306" s="18"/>
    </row>
    <row r="8307">
      <c r="C8307" s="18"/>
      <c r="D8307" s="19"/>
      <c r="E8307" s="57"/>
      <c r="H8307" s="18"/>
    </row>
    <row r="8308">
      <c r="C8308" s="18"/>
      <c r="D8308" s="19"/>
      <c r="E8308" s="57"/>
      <c r="H8308" s="18"/>
    </row>
    <row r="8309">
      <c r="C8309" s="18"/>
      <c r="D8309" s="19"/>
      <c r="E8309" s="57"/>
      <c r="H8309" s="18"/>
    </row>
    <row r="8310">
      <c r="C8310" s="18"/>
      <c r="D8310" s="19"/>
      <c r="E8310" s="57"/>
      <c r="H8310" s="18"/>
    </row>
    <row r="8311">
      <c r="C8311" s="18"/>
      <c r="D8311" s="19"/>
      <c r="E8311" s="57"/>
      <c r="H8311" s="18"/>
    </row>
    <row r="8312">
      <c r="C8312" s="18"/>
      <c r="D8312" s="19"/>
      <c r="E8312" s="57"/>
      <c r="H8312" s="18"/>
    </row>
    <row r="8313">
      <c r="C8313" s="18"/>
      <c r="D8313" s="19"/>
      <c r="E8313" s="57"/>
      <c r="H8313" s="18"/>
    </row>
    <row r="8314">
      <c r="C8314" s="18"/>
      <c r="D8314" s="19"/>
      <c r="E8314" s="57"/>
      <c r="H8314" s="18"/>
    </row>
    <row r="8315">
      <c r="C8315" s="18"/>
      <c r="D8315" s="19"/>
      <c r="E8315" s="57"/>
      <c r="H8315" s="18"/>
    </row>
    <row r="8316">
      <c r="C8316" s="18"/>
      <c r="D8316" s="19"/>
      <c r="E8316" s="57"/>
      <c r="H8316" s="18"/>
    </row>
    <row r="8317">
      <c r="C8317" s="18"/>
      <c r="D8317" s="19"/>
      <c r="E8317" s="57"/>
      <c r="H8317" s="18"/>
    </row>
    <row r="8318">
      <c r="C8318" s="18"/>
      <c r="D8318" s="19"/>
      <c r="E8318" s="57"/>
      <c r="H8318" s="18"/>
    </row>
    <row r="8319">
      <c r="C8319" s="18"/>
      <c r="D8319" s="19"/>
      <c r="E8319" s="57"/>
      <c r="H8319" s="18"/>
    </row>
    <row r="8320">
      <c r="C8320" s="18"/>
      <c r="D8320" s="19"/>
      <c r="E8320" s="57"/>
      <c r="H8320" s="18"/>
    </row>
    <row r="8321">
      <c r="C8321" s="18"/>
      <c r="D8321" s="19"/>
      <c r="E8321" s="57"/>
      <c r="H8321" s="18"/>
    </row>
    <row r="8322">
      <c r="C8322" s="18"/>
      <c r="D8322" s="19"/>
      <c r="E8322" s="57"/>
      <c r="H8322" s="18"/>
    </row>
    <row r="8323">
      <c r="C8323" s="18"/>
      <c r="D8323" s="19"/>
      <c r="E8323" s="57"/>
      <c r="H8323" s="18"/>
    </row>
    <row r="8324">
      <c r="C8324" s="18"/>
      <c r="D8324" s="19"/>
      <c r="E8324" s="57"/>
      <c r="H8324" s="18"/>
    </row>
    <row r="8325">
      <c r="C8325" s="18"/>
      <c r="D8325" s="19"/>
      <c r="E8325" s="57"/>
      <c r="H8325" s="18"/>
    </row>
    <row r="8326">
      <c r="C8326" s="18"/>
      <c r="D8326" s="19"/>
      <c r="E8326" s="57"/>
      <c r="H8326" s="18"/>
    </row>
    <row r="8327">
      <c r="C8327" s="18"/>
      <c r="D8327" s="19"/>
      <c r="E8327" s="57"/>
      <c r="H8327" s="18"/>
    </row>
    <row r="8328">
      <c r="C8328" s="18"/>
      <c r="D8328" s="19"/>
      <c r="E8328" s="57"/>
      <c r="H8328" s="18"/>
    </row>
    <row r="8329">
      <c r="C8329" s="18"/>
      <c r="D8329" s="19"/>
      <c r="E8329" s="57"/>
      <c r="H8329" s="18"/>
    </row>
    <row r="8330">
      <c r="C8330" s="18"/>
      <c r="D8330" s="19"/>
      <c r="E8330" s="57"/>
      <c r="H8330" s="18"/>
    </row>
    <row r="8331">
      <c r="C8331" s="18"/>
      <c r="D8331" s="19"/>
      <c r="E8331" s="57"/>
      <c r="H8331" s="18"/>
    </row>
    <row r="8332">
      <c r="C8332" s="18"/>
      <c r="D8332" s="19"/>
      <c r="E8332" s="57"/>
      <c r="H8332" s="18"/>
    </row>
    <row r="8333">
      <c r="C8333" s="18"/>
      <c r="D8333" s="19"/>
      <c r="E8333" s="57"/>
      <c r="H8333" s="18"/>
    </row>
    <row r="8334">
      <c r="C8334" s="18"/>
      <c r="D8334" s="19"/>
      <c r="E8334" s="57"/>
      <c r="H8334" s="18"/>
    </row>
    <row r="8335">
      <c r="C8335" s="18"/>
      <c r="D8335" s="19"/>
      <c r="E8335" s="57"/>
      <c r="H8335" s="18"/>
    </row>
    <row r="8336">
      <c r="C8336" s="18"/>
      <c r="D8336" s="19"/>
      <c r="E8336" s="57"/>
      <c r="H8336" s="18"/>
    </row>
    <row r="8337">
      <c r="C8337" s="18"/>
      <c r="D8337" s="19"/>
      <c r="E8337" s="57"/>
      <c r="H8337" s="18"/>
    </row>
    <row r="8338">
      <c r="C8338" s="18"/>
      <c r="D8338" s="19"/>
      <c r="E8338" s="57"/>
      <c r="H8338" s="18"/>
    </row>
    <row r="8339">
      <c r="C8339" s="18"/>
      <c r="D8339" s="19"/>
      <c r="E8339" s="57"/>
      <c r="H8339" s="18"/>
    </row>
    <row r="8340">
      <c r="C8340" s="18"/>
      <c r="D8340" s="19"/>
      <c r="E8340" s="57"/>
      <c r="H8340" s="18"/>
    </row>
    <row r="8341">
      <c r="C8341" s="18"/>
      <c r="D8341" s="19"/>
      <c r="E8341" s="57"/>
      <c r="H8341" s="18"/>
    </row>
    <row r="8342">
      <c r="C8342" s="18"/>
      <c r="D8342" s="19"/>
      <c r="E8342" s="57"/>
      <c r="H8342" s="18"/>
    </row>
    <row r="8343">
      <c r="C8343" s="18"/>
      <c r="D8343" s="19"/>
      <c r="E8343" s="57"/>
      <c r="H8343" s="18"/>
    </row>
    <row r="8344">
      <c r="C8344" s="18"/>
      <c r="D8344" s="19"/>
      <c r="E8344" s="57"/>
      <c r="H8344" s="18"/>
    </row>
    <row r="8345">
      <c r="C8345" s="18"/>
      <c r="D8345" s="19"/>
      <c r="E8345" s="57"/>
      <c r="H8345" s="18"/>
    </row>
    <row r="8346">
      <c r="C8346" s="18"/>
      <c r="D8346" s="19"/>
      <c r="E8346" s="57"/>
      <c r="H8346" s="18"/>
    </row>
    <row r="8347">
      <c r="C8347" s="18"/>
      <c r="D8347" s="19"/>
      <c r="E8347" s="57"/>
      <c r="H8347" s="18"/>
    </row>
    <row r="8348">
      <c r="C8348" s="18"/>
      <c r="D8348" s="19"/>
      <c r="E8348" s="57"/>
      <c r="H8348" s="18"/>
    </row>
    <row r="8349">
      <c r="C8349" s="18"/>
      <c r="D8349" s="19"/>
      <c r="E8349" s="57"/>
      <c r="H8349" s="18"/>
    </row>
    <row r="8350">
      <c r="C8350" s="18"/>
      <c r="D8350" s="19"/>
      <c r="E8350" s="57"/>
      <c r="H8350" s="18"/>
    </row>
    <row r="8351">
      <c r="C8351" s="18"/>
      <c r="D8351" s="19"/>
      <c r="E8351" s="57"/>
      <c r="H8351" s="18"/>
    </row>
    <row r="8352">
      <c r="C8352" s="18"/>
      <c r="D8352" s="19"/>
      <c r="E8352" s="57"/>
      <c r="H8352" s="18"/>
    </row>
    <row r="8353">
      <c r="C8353" s="18"/>
      <c r="D8353" s="19"/>
      <c r="E8353" s="57"/>
      <c r="H8353" s="18"/>
    </row>
    <row r="8354">
      <c r="C8354" s="18"/>
      <c r="D8354" s="19"/>
      <c r="E8354" s="57"/>
      <c r="H8354" s="18"/>
    </row>
    <row r="8355">
      <c r="C8355" s="18"/>
      <c r="D8355" s="19"/>
      <c r="E8355" s="57"/>
      <c r="H8355" s="18"/>
    </row>
    <row r="8356">
      <c r="C8356" s="18"/>
      <c r="D8356" s="19"/>
      <c r="E8356" s="57"/>
      <c r="H8356" s="18"/>
    </row>
    <row r="8357">
      <c r="C8357" s="18"/>
      <c r="D8357" s="19"/>
      <c r="E8357" s="57"/>
      <c r="H8357" s="18"/>
    </row>
    <row r="8358">
      <c r="C8358" s="18"/>
      <c r="D8358" s="19"/>
      <c r="E8358" s="57"/>
      <c r="H8358" s="18"/>
    </row>
    <row r="8359">
      <c r="C8359" s="18"/>
      <c r="D8359" s="19"/>
      <c r="E8359" s="57"/>
      <c r="H8359" s="18"/>
    </row>
    <row r="8360">
      <c r="C8360" s="18"/>
      <c r="D8360" s="19"/>
      <c r="E8360" s="57"/>
      <c r="H8360" s="18"/>
    </row>
    <row r="8361">
      <c r="C8361" s="18"/>
      <c r="D8361" s="19"/>
      <c r="E8361" s="57"/>
      <c r="H8361" s="18"/>
    </row>
    <row r="8362">
      <c r="C8362" s="18"/>
      <c r="D8362" s="19"/>
      <c r="E8362" s="57"/>
      <c r="H8362" s="18"/>
    </row>
    <row r="8363">
      <c r="C8363" s="18"/>
      <c r="D8363" s="19"/>
      <c r="E8363" s="57"/>
      <c r="H8363" s="18"/>
    </row>
    <row r="8364">
      <c r="C8364" s="18"/>
      <c r="D8364" s="19"/>
      <c r="E8364" s="57"/>
      <c r="H8364" s="18"/>
    </row>
    <row r="8365">
      <c r="C8365" s="18"/>
      <c r="D8365" s="19"/>
      <c r="E8365" s="57"/>
      <c r="H8365" s="18"/>
    </row>
    <row r="8366">
      <c r="C8366" s="18"/>
      <c r="D8366" s="19"/>
      <c r="E8366" s="57"/>
      <c r="H8366" s="18"/>
    </row>
    <row r="8367">
      <c r="C8367" s="18"/>
      <c r="D8367" s="19"/>
      <c r="E8367" s="57"/>
      <c r="H8367" s="18"/>
    </row>
    <row r="8368">
      <c r="C8368" s="18"/>
      <c r="D8368" s="19"/>
      <c r="E8368" s="57"/>
      <c r="H8368" s="18"/>
    </row>
    <row r="8369">
      <c r="C8369" s="18"/>
      <c r="D8369" s="19"/>
      <c r="E8369" s="57"/>
      <c r="H8369" s="18"/>
    </row>
    <row r="8370">
      <c r="C8370" s="18"/>
      <c r="D8370" s="19"/>
      <c r="E8370" s="57"/>
      <c r="H8370" s="18"/>
    </row>
    <row r="8371">
      <c r="C8371" s="18"/>
      <c r="D8371" s="19"/>
      <c r="E8371" s="57"/>
      <c r="H8371" s="18"/>
    </row>
    <row r="8372">
      <c r="C8372" s="18"/>
      <c r="D8372" s="19"/>
      <c r="E8372" s="57"/>
      <c r="H8372" s="18"/>
    </row>
    <row r="8373">
      <c r="C8373" s="18"/>
      <c r="D8373" s="19"/>
      <c r="E8373" s="57"/>
      <c r="H8373" s="18"/>
    </row>
    <row r="8374">
      <c r="C8374" s="18"/>
      <c r="D8374" s="19"/>
      <c r="E8374" s="57"/>
      <c r="H8374" s="18"/>
    </row>
    <row r="8375">
      <c r="C8375" s="18"/>
      <c r="D8375" s="19"/>
      <c r="E8375" s="57"/>
      <c r="H8375" s="18"/>
    </row>
    <row r="8376">
      <c r="C8376" s="18"/>
      <c r="D8376" s="19"/>
      <c r="E8376" s="57"/>
      <c r="H8376" s="18"/>
    </row>
    <row r="8377">
      <c r="C8377" s="18"/>
      <c r="D8377" s="19"/>
      <c r="E8377" s="57"/>
      <c r="H8377" s="18"/>
    </row>
    <row r="8378">
      <c r="C8378" s="18"/>
      <c r="D8378" s="19"/>
      <c r="E8378" s="57"/>
      <c r="H8378" s="18"/>
    </row>
    <row r="8379">
      <c r="C8379" s="18"/>
      <c r="D8379" s="19"/>
      <c r="E8379" s="57"/>
      <c r="H8379" s="18"/>
    </row>
    <row r="8380">
      <c r="C8380" s="18"/>
      <c r="D8380" s="19"/>
      <c r="E8380" s="57"/>
      <c r="H8380" s="18"/>
    </row>
    <row r="8381">
      <c r="C8381" s="18"/>
      <c r="D8381" s="19"/>
      <c r="E8381" s="57"/>
      <c r="H8381" s="18"/>
    </row>
    <row r="8382">
      <c r="C8382" s="18"/>
      <c r="D8382" s="19"/>
      <c r="E8382" s="57"/>
      <c r="H8382" s="18"/>
    </row>
    <row r="8383">
      <c r="C8383" s="18"/>
      <c r="D8383" s="19"/>
      <c r="E8383" s="57"/>
      <c r="H8383" s="18"/>
    </row>
    <row r="8384">
      <c r="C8384" s="18"/>
      <c r="D8384" s="19"/>
      <c r="E8384" s="57"/>
      <c r="H8384" s="18"/>
    </row>
    <row r="8385">
      <c r="C8385" s="18"/>
      <c r="D8385" s="19"/>
      <c r="E8385" s="57"/>
      <c r="H8385" s="18"/>
    </row>
    <row r="8386">
      <c r="C8386" s="18"/>
      <c r="D8386" s="19"/>
      <c r="E8386" s="57"/>
      <c r="H8386" s="18"/>
    </row>
    <row r="8387">
      <c r="C8387" s="18"/>
      <c r="D8387" s="19"/>
      <c r="E8387" s="57"/>
      <c r="H8387" s="18"/>
    </row>
    <row r="8388">
      <c r="C8388" s="18"/>
      <c r="D8388" s="19"/>
      <c r="E8388" s="57"/>
      <c r="H8388" s="18"/>
    </row>
    <row r="8389">
      <c r="C8389" s="18"/>
      <c r="D8389" s="19"/>
      <c r="E8389" s="57"/>
      <c r="H8389" s="18"/>
    </row>
    <row r="8390">
      <c r="C8390" s="18"/>
      <c r="D8390" s="19"/>
      <c r="E8390" s="57"/>
      <c r="H8390" s="18"/>
    </row>
    <row r="8391">
      <c r="C8391" s="18"/>
      <c r="D8391" s="19"/>
      <c r="E8391" s="57"/>
      <c r="H8391" s="18"/>
    </row>
    <row r="8392">
      <c r="C8392" s="18"/>
      <c r="D8392" s="19"/>
      <c r="E8392" s="57"/>
      <c r="H8392" s="18"/>
    </row>
    <row r="8393">
      <c r="C8393" s="18"/>
      <c r="D8393" s="19"/>
      <c r="E8393" s="57"/>
      <c r="H8393" s="18"/>
    </row>
    <row r="8394">
      <c r="C8394" s="18"/>
      <c r="D8394" s="19"/>
      <c r="E8394" s="57"/>
      <c r="H8394" s="18"/>
    </row>
    <row r="8395">
      <c r="C8395" s="18"/>
      <c r="D8395" s="19"/>
      <c r="E8395" s="57"/>
      <c r="H8395" s="18"/>
    </row>
    <row r="8396">
      <c r="C8396" s="18"/>
      <c r="D8396" s="19"/>
      <c r="E8396" s="57"/>
      <c r="H8396" s="18"/>
    </row>
    <row r="8397">
      <c r="C8397" s="18"/>
      <c r="D8397" s="19"/>
      <c r="E8397" s="57"/>
      <c r="H8397" s="18"/>
    </row>
    <row r="8398">
      <c r="C8398" s="18"/>
      <c r="D8398" s="19"/>
      <c r="E8398" s="57"/>
      <c r="H8398" s="18"/>
    </row>
    <row r="8399">
      <c r="C8399" s="18"/>
      <c r="D8399" s="19"/>
      <c r="E8399" s="57"/>
      <c r="H8399" s="18"/>
    </row>
    <row r="8400">
      <c r="C8400" s="18"/>
      <c r="D8400" s="19"/>
      <c r="E8400" s="57"/>
      <c r="H8400" s="18"/>
    </row>
    <row r="8401">
      <c r="C8401" s="18"/>
      <c r="D8401" s="19"/>
      <c r="E8401" s="57"/>
      <c r="H8401" s="18"/>
    </row>
    <row r="8402">
      <c r="C8402" s="18"/>
      <c r="D8402" s="19"/>
      <c r="E8402" s="57"/>
      <c r="H8402" s="18"/>
    </row>
    <row r="8403">
      <c r="C8403" s="18"/>
      <c r="D8403" s="19"/>
      <c r="E8403" s="57"/>
      <c r="H8403" s="18"/>
    </row>
    <row r="8404">
      <c r="C8404" s="18"/>
      <c r="D8404" s="19"/>
      <c r="E8404" s="57"/>
      <c r="H8404" s="18"/>
    </row>
    <row r="8405">
      <c r="C8405" s="18"/>
      <c r="D8405" s="19"/>
      <c r="E8405" s="57"/>
      <c r="H8405" s="18"/>
    </row>
    <row r="8406">
      <c r="C8406" s="18"/>
      <c r="D8406" s="19"/>
      <c r="E8406" s="57"/>
      <c r="H8406" s="18"/>
    </row>
    <row r="8407">
      <c r="C8407" s="18"/>
      <c r="D8407" s="19"/>
      <c r="E8407" s="57"/>
      <c r="H8407" s="18"/>
    </row>
    <row r="8408">
      <c r="C8408" s="18"/>
      <c r="D8408" s="19"/>
      <c r="E8408" s="57"/>
      <c r="H8408" s="18"/>
    </row>
    <row r="8409">
      <c r="C8409" s="18"/>
      <c r="D8409" s="19"/>
      <c r="E8409" s="57"/>
      <c r="H8409" s="18"/>
    </row>
    <row r="8410">
      <c r="C8410" s="18"/>
      <c r="D8410" s="19"/>
      <c r="E8410" s="57"/>
      <c r="H8410" s="18"/>
    </row>
    <row r="8411">
      <c r="C8411" s="18"/>
      <c r="D8411" s="19"/>
      <c r="E8411" s="57"/>
      <c r="H8411" s="18"/>
    </row>
    <row r="8412">
      <c r="C8412" s="18"/>
      <c r="D8412" s="19"/>
      <c r="E8412" s="57"/>
      <c r="H8412" s="18"/>
    </row>
    <row r="8413">
      <c r="C8413" s="18"/>
      <c r="D8413" s="19"/>
      <c r="E8413" s="57"/>
      <c r="H8413" s="18"/>
    </row>
    <row r="8414">
      <c r="C8414" s="18"/>
      <c r="D8414" s="19"/>
      <c r="E8414" s="57"/>
      <c r="H8414" s="18"/>
    </row>
    <row r="8415">
      <c r="C8415" s="18"/>
      <c r="D8415" s="19"/>
      <c r="E8415" s="57"/>
      <c r="H8415" s="18"/>
    </row>
    <row r="8416">
      <c r="C8416" s="18"/>
      <c r="D8416" s="19"/>
      <c r="E8416" s="57"/>
      <c r="H8416" s="18"/>
    </row>
    <row r="8417">
      <c r="C8417" s="18"/>
      <c r="D8417" s="19"/>
      <c r="E8417" s="57"/>
      <c r="H8417" s="18"/>
    </row>
    <row r="8418">
      <c r="C8418" s="18"/>
      <c r="D8418" s="19"/>
      <c r="E8418" s="57"/>
      <c r="H8418" s="18"/>
    </row>
    <row r="8419">
      <c r="C8419" s="18"/>
      <c r="D8419" s="19"/>
      <c r="E8419" s="57"/>
      <c r="H8419" s="18"/>
    </row>
    <row r="8420">
      <c r="C8420" s="18"/>
      <c r="D8420" s="19"/>
      <c r="E8420" s="57"/>
      <c r="H8420" s="18"/>
    </row>
    <row r="8421">
      <c r="C8421" s="18"/>
      <c r="D8421" s="19"/>
      <c r="E8421" s="57"/>
      <c r="H8421" s="18"/>
    </row>
    <row r="8422">
      <c r="C8422" s="18"/>
      <c r="D8422" s="19"/>
      <c r="E8422" s="57"/>
      <c r="H8422" s="18"/>
    </row>
    <row r="8423">
      <c r="C8423" s="18"/>
      <c r="D8423" s="19"/>
      <c r="E8423" s="57"/>
      <c r="H8423" s="18"/>
    </row>
    <row r="8424">
      <c r="C8424" s="18"/>
      <c r="D8424" s="19"/>
      <c r="E8424" s="57"/>
      <c r="H8424" s="18"/>
    </row>
    <row r="8425">
      <c r="C8425" s="18"/>
      <c r="D8425" s="19"/>
      <c r="E8425" s="57"/>
      <c r="H8425" s="18"/>
    </row>
    <row r="8426">
      <c r="C8426" s="18"/>
      <c r="D8426" s="19"/>
      <c r="E8426" s="57"/>
      <c r="H8426" s="18"/>
    </row>
    <row r="8427">
      <c r="C8427" s="18"/>
      <c r="D8427" s="19"/>
      <c r="E8427" s="57"/>
      <c r="H8427" s="18"/>
    </row>
    <row r="8428">
      <c r="C8428" s="18"/>
      <c r="D8428" s="19"/>
      <c r="E8428" s="57"/>
      <c r="H8428" s="18"/>
    </row>
    <row r="8429">
      <c r="C8429" s="18"/>
      <c r="D8429" s="19"/>
      <c r="E8429" s="57"/>
      <c r="H8429" s="18"/>
    </row>
    <row r="8430">
      <c r="C8430" s="18"/>
      <c r="D8430" s="19"/>
      <c r="E8430" s="57"/>
      <c r="H8430" s="18"/>
    </row>
    <row r="8431">
      <c r="C8431" s="18"/>
      <c r="D8431" s="19"/>
      <c r="E8431" s="57"/>
      <c r="H8431" s="18"/>
    </row>
    <row r="8432">
      <c r="C8432" s="18"/>
      <c r="D8432" s="19"/>
      <c r="E8432" s="57"/>
      <c r="H8432" s="18"/>
    </row>
    <row r="8433">
      <c r="C8433" s="18"/>
      <c r="D8433" s="19"/>
      <c r="E8433" s="57"/>
      <c r="H8433" s="18"/>
    </row>
    <row r="8434">
      <c r="C8434" s="18"/>
      <c r="D8434" s="19"/>
      <c r="E8434" s="57"/>
      <c r="H8434" s="18"/>
    </row>
    <row r="8435">
      <c r="C8435" s="18"/>
      <c r="D8435" s="19"/>
      <c r="E8435" s="57"/>
      <c r="H8435" s="18"/>
    </row>
    <row r="8436">
      <c r="C8436" s="18"/>
      <c r="D8436" s="19"/>
      <c r="E8436" s="57"/>
      <c r="H8436" s="18"/>
    </row>
    <row r="8437">
      <c r="C8437" s="18"/>
      <c r="D8437" s="19"/>
      <c r="E8437" s="57"/>
      <c r="H8437" s="18"/>
    </row>
    <row r="8438">
      <c r="C8438" s="18"/>
      <c r="D8438" s="19"/>
      <c r="E8438" s="57"/>
      <c r="H8438" s="18"/>
    </row>
    <row r="8439">
      <c r="C8439" s="18"/>
      <c r="D8439" s="19"/>
      <c r="E8439" s="57"/>
      <c r="H8439" s="18"/>
    </row>
    <row r="8440">
      <c r="C8440" s="18"/>
      <c r="D8440" s="19"/>
      <c r="E8440" s="57"/>
      <c r="H8440" s="18"/>
    </row>
    <row r="8441">
      <c r="C8441" s="18"/>
      <c r="D8441" s="19"/>
      <c r="E8441" s="57"/>
      <c r="H8441" s="18"/>
    </row>
    <row r="8442">
      <c r="C8442" s="18"/>
      <c r="D8442" s="19"/>
      <c r="E8442" s="57"/>
      <c r="H8442" s="18"/>
    </row>
    <row r="8443">
      <c r="C8443" s="18"/>
      <c r="D8443" s="19"/>
      <c r="E8443" s="57"/>
      <c r="H8443" s="18"/>
    </row>
    <row r="8444">
      <c r="C8444" s="18"/>
      <c r="D8444" s="19"/>
      <c r="E8444" s="57"/>
      <c r="H8444" s="18"/>
    </row>
    <row r="8445">
      <c r="C8445" s="18"/>
      <c r="D8445" s="19"/>
      <c r="E8445" s="57"/>
      <c r="H8445" s="18"/>
    </row>
    <row r="8446">
      <c r="C8446" s="18"/>
      <c r="D8446" s="19"/>
      <c r="E8446" s="57"/>
      <c r="H8446" s="18"/>
    </row>
    <row r="8447">
      <c r="C8447" s="18"/>
      <c r="D8447" s="19"/>
      <c r="E8447" s="57"/>
      <c r="H8447" s="18"/>
    </row>
    <row r="8448">
      <c r="C8448" s="18"/>
      <c r="D8448" s="19"/>
      <c r="E8448" s="57"/>
      <c r="H8448" s="18"/>
    </row>
    <row r="8449">
      <c r="C8449" s="18"/>
      <c r="D8449" s="19"/>
      <c r="E8449" s="57"/>
      <c r="H8449" s="18"/>
    </row>
    <row r="8450">
      <c r="C8450" s="18"/>
      <c r="D8450" s="19"/>
      <c r="E8450" s="57"/>
      <c r="H8450" s="18"/>
    </row>
    <row r="8451">
      <c r="C8451" s="18"/>
      <c r="D8451" s="19"/>
      <c r="E8451" s="57"/>
      <c r="H8451" s="18"/>
    </row>
    <row r="8452">
      <c r="C8452" s="18"/>
      <c r="D8452" s="19"/>
      <c r="E8452" s="57"/>
      <c r="H8452" s="18"/>
    </row>
    <row r="8453">
      <c r="C8453" s="18"/>
      <c r="D8453" s="19"/>
      <c r="E8453" s="57"/>
      <c r="H8453" s="18"/>
    </row>
    <row r="8454">
      <c r="C8454" s="18"/>
      <c r="D8454" s="19"/>
      <c r="E8454" s="57"/>
      <c r="H8454" s="18"/>
    </row>
    <row r="8455">
      <c r="C8455" s="18"/>
      <c r="D8455" s="19"/>
      <c r="E8455" s="57"/>
      <c r="H8455" s="18"/>
    </row>
    <row r="8456">
      <c r="C8456" s="18"/>
      <c r="D8456" s="19"/>
      <c r="E8456" s="57"/>
      <c r="H8456" s="18"/>
    </row>
    <row r="8457">
      <c r="C8457" s="18"/>
      <c r="D8457" s="19"/>
      <c r="E8457" s="57"/>
      <c r="H8457" s="18"/>
    </row>
    <row r="8458">
      <c r="C8458" s="18"/>
      <c r="D8458" s="19"/>
      <c r="E8458" s="57"/>
      <c r="H8458" s="18"/>
    </row>
    <row r="8459">
      <c r="C8459" s="18"/>
      <c r="D8459" s="19"/>
      <c r="E8459" s="57"/>
      <c r="H8459" s="18"/>
    </row>
    <row r="8460">
      <c r="C8460" s="18"/>
      <c r="D8460" s="19"/>
      <c r="E8460" s="57"/>
      <c r="H8460" s="18"/>
    </row>
    <row r="8461">
      <c r="C8461" s="18"/>
      <c r="D8461" s="19"/>
      <c r="E8461" s="57"/>
      <c r="H8461" s="18"/>
    </row>
    <row r="8462">
      <c r="C8462" s="18"/>
      <c r="D8462" s="19"/>
      <c r="E8462" s="57"/>
      <c r="H8462" s="18"/>
    </row>
    <row r="8463">
      <c r="C8463" s="18"/>
      <c r="D8463" s="19"/>
      <c r="E8463" s="57"/>
      <c r="H8463" s="18"/>
    </row>
    <row r="8464">
      <c r="C8464" s="18"/>
      <c r="D8464" s="19"/>
      <c r="E8464" s="57"/>
      <c r="H8464" s="18"/>
    </row>
    <row r="8465">
      <c r="C8465" s="18"/>
      <c r="D8465" s="19"/>
      <c r="E8465" s="57"/>
      <c r="H8465" s="18"/>
    </row>
    <row r="8466">
      <c r="C8466" s="18"/>
      <c r="D8466" s="19"/>
      <c r="E8466" s="57"/>
      <c r="H8466" s="18"/>
    </row>
    <row r="8467">
      <c r="C8467" s="18"/>
      <c r="D8467" s="19"/>
      <c r="E8467" s="57"/>
      <c r="H8467" s="18"/>
    </row>
    <row r="8468">
      <c r="C8468" s="18"/>
      <c r="D8468" s="19"/>
      <c r="E8468" s="57"/>
      <c r="H8468" s="18"/>
    </row>
    <row r="8469">
      <c r="C8469" s="18"/>
      <c r="D8469" s="19"/>
      <c r="E8469" s="57"/>
      <c r="H8469" s="18"/>
    </row>
    <row r="8470">
      <c r="C8470" s="18"/>
      <c r="D8470" s="19"/>
      <c r="E8470" s="57"/>
      <c r="H8470" s="18"/>
    </row>
    <row r="8471">
      <c r="C8471" s="18"/>
      <c r="D8471" s="19"/>
      <c r="E8471" s="57"/>
      <c r="H8471" s="18"/>
    </row>
    <row r="8472">
      <c r="C8472" s="18"/>
      <c r="D8472" s="19"/>
      <c r="E8472" s="57"/>
      <c r="H8472" s="18"/>
    </row>
    <row r="8473">
      <c r="C8473" s="18"/>
      <c r="D8473" s="19"/>
      <c r="E8473" s="57"/>
      <c r="H8473" s="18"/>
    </row>
    <row r="8474">
      <c r="C8474" s="18"/>
      <c r="D8474" s="19"/>
      <c r="E8474" s="57"/>
      <c r="H8474" s="18"/>
    </row>
    <row r="8475">
      <c r="C8475" s="18"/>
      <c r="D8475" s="19"/>
      <c r="E8475" s="57"/>
      <c r="H8475" s="18"/>
    </row>
    <row r="8476">
      <c r="C8476" s="18"/>
      <c r="D8476" s="19"/>
      <c r="E8476" s="57"/>
      <c r="H8476" s="18"/>
    </row>
    <row r="8477">
      <c r="C8477" s="18"/>
      <c r="D8477" s="19"/>
      <c r="E8477" s="57"/>
      <c r="H8477" s="18"/>
    </row>
    <row r="8478">
      <c r="C8478" s="18"/>
      <c r="D8478" s="19"/>
      <c r="E8478" s="57"/>
      <c r="H8478" s="18"/>
    </row>
    <row r="8479">
      <c r="C8479" s="18"/>
      <c r="D8479" s="19"/>
      <c r="E8479" s="57"/>
      <c r="H8479" s="18"/>
    </row>
    <row r="8480">
      <c r="C8480" s="18"/>
      <c r="D8480" s="19"/>
      <c r="E8480" s="57"/>
      <c r="H8480" s="18"/>
    </row>
    <row r="8481">
      <c r="C8481" s="18"/>
      <c r="D8481" s="19"/>
      <c r="E8481" s="57"/>
      <c r="H8481" s="18"/>
    </row>
    <row r="8482">
      <c r="C8482" s="18"/>
      <c r="D8482" s="19"/>
      <c r="E8482" s="57"/>
      <c r="H8482" s="18"/>
    </row>
    <row r="8483">
      <c r="C8483" s="18"/>
      <c r="D8483" s="19"/>
      <c r="E8483" s="57"/>
      <c r="H8483" s="18"/>
    </row>
    <row r="8484">
      <c r="C8484" s="18"/>
      <c r="D8484" s="19"/>
      <c r="E8484" s="57"/>
      <c r="H8484" s="18"/>
    </row>
    <row r="8485">
      <c r="C8485" s="18"/>
      <c r="D8485" s="19"/>
      <c r="E8485" s="57"/>
      <c r="H8485" s="18"/>
    </row>
    <row r="8486">
      <c r="C8486" s="18"/>
      <c r="D8486" s="19"/>
      <c r="E8486" s="57"/>
      <c r="H8486" s="18"/>
    </row>
    <row r="8487">
      <c r="C8487" s="18"/>
      <c r="D8487" s="19"/>
      <c r="E8487" s="57"/>
      <c r="H8487" s="18"/>
    </row>
    <row r="8488">
      <c r="C8488" s="18"/>
      <c r="D8488" s="19"/>
      <c r="E8488" s="57"/>
      <c r="H8488" s="18"/>
    </row>
    <row r="8489">
      <c r="C8489" s="18"/>
      <c r="D8489" s="19"/>
      <c r="E8489" s="57"/>
      <c r="H8489" s="18"/>
    </row>
    <row r="8490">
      <c r="C8490" s="18"/>
      <c r="D8490" s="19"/>
      <c r="E8490" s="57"/>
      <c r="H8490" s="18"/>
    </row>
    <row r="8491">
      <c r="C8491" s="18"/>
      <c r="D8491" s="19"/>
      <c r="E8491" s="57"/>
      <c r="H8491" s="18"/>
    </row>
    <row r="8492">
      <c r="C8492" s="18"/>
      <c r="D8492" s="19"/>
      <c r="E8492" s="57"/>
      <c r="H8492" s="18"/>
    </row>
    <row r="8493">
      <c r="C8493" s="18"/>
      <c r="D8493" s="19"/>
      <c r="E8493" s="57"/>
      <c r="H8493" s="18"/>
    </row>
    <row r="8494">
      <c r="C8494" s="18"/>
      <c r="D8494" s="19"/>
      <c r="E8494" s="57"/>
      <c r="H8494" s="18"/>
    </row>
    <row r="8495">
      <c r="C8495" s="18"/>
      <c r="D8495" s="19"/>
      <c r="E8495" s="57"/>
      <c r="H8495" s="18"/>
    </row>
    <row r="8496">
      <c r="C8496" s="18"/>
      <c r="D8496" s="19"/>
      <c r="E8496" s="57"/>
      <c r="H8496" s="18"/>
    </row>
    <row r="8497">
      <c r="C8497" s="18"/>
      <c r="D8497" s="19"/>
      <c r="E8497" s="57"/>
      <c r="H8497" s="18"/>
    </row>
    <row r="8498">
      <c r="C8498" s="18"/>
      <c r="D8498" s="19"/>
      <c r="E8498" s="57"/>
      <c r="H8498" s="18"/>
    </row>
    <row r="8499">
      <c r="C8499" s="18"/>
      <c r="D8499" s="19"/>
      <c r="E8499" s="57"/>
      <c r="H8499" s="18"/>
    </row>
    <row r="8500">
      <c r="C8500" s="18"/>
      <c r="D8500" s="19"/>
      <c r="E8500" s="57"/>
      <c r="H8500" s="18"/>
    </row>
    <row r="8501">
      <c r="C8501" s="18"/>
      <c r="D8501" s="19"/>
      <c r="E8501" s="57"/>
      <c r="H8501" s="18"/>
    </row>
    <row r="8502">
      <c r="C8502" s="18"/>
      <c r="D8502" s="19"/>
      <c r="E8502" s="57"/>
      <c r="H8502" s="18"/>
    </row>
    <row r="8503">
      <c r="C8503" s="18"/>
      <c r="D8503" s="19"/>
      <c r="E8503" s="57"/>
      <c r="H8503" s="18"/>
    </row>
    <row r="8504">
      <c r="C8504" s="18"/>
      <c r="D8504" s="19"/>
      <c r="E8504" s="57"/>
      <c r="H8504" s="18"/>
    </row>
    <row r="8505">
      <c r="C8505" s="18"/>
      <c r="D8505" s="19"/>
      <c r="E8505" s="57"/>
      <c r="H8505" s="18"/>
    </row>
    <row r="8506">
      <c r="C8506" s="18"/>
      <c r="D8506" s="19"/>
      <c r="E8506" s="57"/>
      <c r="H8506" s="18"/>
    </row>
    <row r="8507">
      <c r="C8507" s="18"/>
      <c r="D8507" s="19"/>
      <c r="E8507" s="57"/>
      <c r="H8507" s="18"/>
    </row>
    <row r="8508">
      <c r="C8508" s="18"/>
      <c r="D8508" s="19"/>
      <c r="E8508" s="57"/>
      <c r="H8508" s="18"/>
    </row>
    <row r="8509">
      <c r="C8509" s="18"/>
      <c r="D8509" s="19"/>
      <c r="E8509" s="57"/>
      <c r="H8509" s="18"/>
    </row>
    <row r="8510">
      <c r="C8510" s="18"/>
      <c r="D8510" s="19"/>
      <c r="E8510" s="57"/>
      <c r="H8510" s="18"/>
    </row>
    <row r="8511">
      <c r="C8511" s="18"/>
      <c r="D8511" s="19"/>
      <c r="E8511" s="57"/>
      <c r="H8511" s="18"/>
    </row>
    <row r="8512">
      <c r="C8512" s="18"/>
      <c r="D8512" s="19"/>
      <c r="E8512" s="57"/>
      <c r="H8512" s="18"/>
    </row>
    <row r="8513">
      <c r="C8513" s="18"/>
      <c r="D8513" s="19"/>
      <c r="E8513" s="57"/>
      <c r="H8513" s="18"/>
    </row>
    <row r="8514">
      <c r="C8514" s="18"/>
      <c r="D8514" s="19"/>
      <c r="E8514" s="57"/>
      <c r="H8514" s="18"/>
    </row>
    <row r="8515">
      <c r="C8515" s="18"/>
      <c r="D8515" s="19"/>
      <c r="E8515" s="57"/>
      <c r="H8515" s="18"/>
    </row>
    <row r="8516">
      <c r="C8516" s="18"/>
      <c r="D8516" s="19"/>
      <c r="E8516" s="57"/>
      <c r="H8516" s="18"/>
    </row>
    <row r="8517">
      <c r="C8517" s="18"/>
      <c r="D8517" s="19"/>
      <c r="E8517" s="57"/>
      <c r="H8517" s="18"/>
    </row>
    <row r="8518">
      <c r="C8518" s="18"/>
      <c r="D8518" s="19"/>
      <c r="E8518" s="57"/>
      <c r="H8518" s="18"/>
    </row>
    <row r="8519">
      <c r="C8519" s="18"/>
      <c r="D8519" s="19"/>
      <c r="E8519" s="57"/>
      <c r="H8519" s="18"/>
    </row>
    <row r="8520">
      <c r="C8520" s="18"/>
      <c r="D8520" s="19"/>
      <c r="E8520" s="57"/>
      <c r="H8520" s="18"/>
    </row>
    <row r="8521">
      <c r="C8521" s="18"/>
      <c r="D8521" s="19"/>
      <c r="E8521" s="57"/>
      <c r="H8521" s="18"/>
    </row>
    <row r="8522">
      <c r="C8522" s="18"/>
      <c r="D8522" s="19"/>
      <c r="E8522" s="57"/>
      <c r="H8522" s="18"/>
    </row>
    <row r="8523">
      <c r="C8523" s="18"/>
      <c r="D8523" s="19"/>
      <c r="E8523" s="57"/>
      <c r="H8523" s="18"/>
    </row>
    <row r="8524">
      <c r="C8524" s="18"/>
      <c r="D8524" s="19"/>
      <c r="E8524" s="57"/>
      <c r="H8524" s="18"/>
    </row>
    <row r="8525">
      <c r="C8525" s="18"/>
      <c r="D8525" s="19"/>
      <c r="E8525" s="57"/>
      <c r="H8525" s="18"/>
    </row>
    <row r="8526">
      <c r="C8526" s="18"/>
      <c r="D8526" s="19"/>
      <c r="E8526" s="57"/>
      <c r="H8526" s="18"/>
    </row>
    <row r="8527">
      <c r="C8527" s="18"/>
      <c r="D8527" s="19"/>
      <c r="E8527" s="57"/>
      <c r="H8527" s="18"/>
    </row>
    <row r="8528">
      <c r="C8528" s="18"/>
      <c r="D8528" s="19"/>
      <c r="E8528" s="57"/>
      <c r="H8528" s="18"/>
    </row>
    <row r="8529">
      <c r="C8529" s="18"/>
      <c r="D8529" s="19"/>
      <c r="E8529" s="57"/>
      <c r="H8529" s="18"/>
    </row>
    <row r="8530">
      <c r="C8530" s="18"/>
      <c r="D8530" s="19"/>
      <c r="E8530" s="57"/>
      <c r="H8530" s="18"/>
    </row>
    <row r="8531">
      <c r="C8531" s="18"/>
      <c r="D8531" s="19"/>
      <c r="E8531" s="57"/>
      <c r="H8531" s="18"/>
    </row>
    <row r="8532">
      <c r="C8532" s="18"/>
      <c r="D8532" s="19"/>
      <c r="E8532" s="57"/>
      <c r="H8532" s="18"/>
    </row>
    <row r="8533">
      <c r="C8533" s="18"/>
      <c r="D8533" s="19"/>
      <c r="E8533" s="57"/>
      <c r="H8533" s="18"/>
    </row>
    <row r="8534">
      <c r="C8534" s="18"/>
      <c r="D8534" s="19"/>
      <c r="E8534" s="57"/>
      <c r="H8534" s="18"/>
    </row>
    <row r="8535">
      <c r="C8535" s="18"/>
      <c r="D8535" s="19"/>
      <c r="E8535" s="57"/>
      <c r="H8535" s="18"/>
    </row>
    <row r="8536">
      <c r="C8536" s="18"/>
      <c r="D8536" s="19"/>
      <c r="E8536" s="57"/>
      <c r="H8536" s="18"/>
    </row>
    <row r="8537">
      <c r="C8537" s="18"/>
      <c r="D8537" s="19"/>
      <c r="E8537" s="57"/>
      <c r="H8537" s="18"/>
    </row>
    <row r="8538">
      <c r="C8538" s="18"/>
      <c r="D8538" s="19"/>
      <c r="E8538" s="57"/>
      <c r="H8538" s="18"/>
    </row>
    <row r="8539">
      <c r="C8539" s="18"/>
      <c r="D8539" s="19"/>
      <c r="E8539" s="57"/>
      <c r="H8539" s="18"/>
    </row>
    <row r="8540">
      <c r="C8540" s="18"/>
      <c r="D8540" s="19"/>
      <c r="E8540" s="57"/>
      <c r="H8540" s="18"/>
    </row>
    <row r="8541">
      <c r="C8541" s="18"/>
      <c r="D8541" s="19"/>
      <c r="E8541" s="57"/>
      <c r="H8541" s="18"/>
    </row>
    <row r="8542">
      <c r="C8542" s="18"/>
      <c r="D8542" s="19"/>
      <c r="E8542" s="57"/>
      <c r="H8542" s="18"/>
    </row>
    <row r="8543">
      <c r="C8543" s="18"/>
      <c r="D8543" s="19"/>
      <c r="E8543" s="57"/>
      <c r="H8543" s="18"/>
    </row>
    <row r="8544">
      <c r="C8544" s="18"/>
      <c r="D8544" s="19"/>
      <c r="E8544" s="57"/>
      <c r="H8544" s="18"/>
    </row>
    <row r="8545">
      <c r="C8545" s="18"/>
      <c r="D8545" s="19"/>
      <c r="E8545" s="57"/>
      <c r="H8545" s="18"/>
    </row>
    <row r="8546">
      <c r="C8546" s="18"/>
      <c r="D8546" s="19"/>
      <c r="E8546" s="57"/>
      <c r="H8546" s="18"/>
    </row>
    <row r="8547">
      <c r="C8547" s="18"/>
      <c r="D8547" s="19"/>
      <c r="E8547" s="57"/>
      <c r="H8547" s="18"/>
    </row>
    <row r="8548">
      <c r="C8548" s="18"/>
      <c r="D8548" s="19"/>
      <c r="E8548" s="57"/>
      <c r="H8548" s="18"/>
    </row>
    <row r="8549">
      <c r="C8549" s="18"/>
      <c r="D8549" s="19"/>
      <c r="E8549" s="57"/>
      <c r="H8549" s="18"/>
    </row>
    <row r="8550">
      <c r="C8550" s="18"/>
      <c r="D8550" s="19"/>
      <c r="E8550" s="57"/>
      <c r="H8550" s="18"/>
    </row>
    <row r="8551">
      <c r="C8551" s="18"/>
      <c r="D8551" s="19"/>
      <c r="E8551" s="57"/>
      <c r="H8551" s="18"/>
    </row>
    <row r="8552">
      <c r="C8552" s="18"/>
      <c r="D8552" s="19"/>
      <c r="E8552" s="57"/>
      <c r="H8552" s="18"/>
    </row>
    <row r="8553">
      <c r="C8553" s="18"/>
      <c r="D8553" s="19"/>
      <c r="E8553" s="57"/>
      <c r="H8553" s="18"/>
    </row>
    <row r="8554">
      <c r="C8554" s="18"/>
      <c r="D8554" s="19"/>
      <c r="E8554" s="57"/>
      <c r="H8554" s="18"/>
    </row>
    <row r="8555">
      <c r="C8555" s="18"/>
      <c r="D8555" s="19"/>
      <c r="E8555" s="57"/>
      <c r="H8555" s="18"/>
    </row>
    <row r="8556">
      <c r="C8556" s="18"/>
      <c r="D8556" s="19"/>
      <c r="E8556" s="57"/>
      <c r="H8556" s="18"/>
    </row>
    <row r="8557">
      <c r="C8557" s="18"/>
      <c r="D8557" s="19"/>
      <c r="E8557" s="57"/>
      <c r="H8557" s="18"/>
    </row>
    <row r="8558">
      <c r="C8558" s="18"/>
      <c r="D8558" s="19"/>
      <c r="E8558" s="57"/>
      <c r="H8558" s="18"/>
    </row>
    <row r="8559">
      <c r="C8559" s="18"/>
      <c r="D8559" s="19"/>
      <c r="E8559" s="57"/>
      <c r="H8559" s="18"/>
    </row>
    <row r="8560">
      <c r="C8560" s="18"/>
      <c r="D8560" s="19"/>
      <c r="E8560" s="57"/>
      <c r="H8560" s="18"/>
    </row>
    <row r="8561">
      <c r="C8561" s="18"/>
      <c r="D8561" s="19"/>
      <c r="E8561" s="57"/>
      <c r="H8561" s="18"/>
    </row>
    <row r="8562">
      <c r="C8562" s="18"/>
      <c r="D8562" s="19"/>
      <c r="E8562" s="57"/>
      <c r="H8562" s="18"/>
    </row>
    <row r="8563">
      <c r="C8563" s="18"/>
      <c r="D8563" s="19"/>
      <c r="E8563" s="57"/>
      <c r="H8563" s="18"/>
    </row>
    <row r="8564">
      <c r="C8564" s="18"/>
      <c r="D8564" s="19"/>
      <c r="E8564" s="57"/>
      <c r="H8564" s="18"/>
    </row>
    <row r="8565">
      <c r="C8565" s="18"/>
      <c r="D8565" s="19"/>
      <c r="E8565" s="57"/>
      <c r="H8565" s="18"/>
    </row>
    <row r="8566">
      <c r="C8566" s="18"/>
      <c r="D8566" s="19"/>
      <c r="E8566" s="57"/>
      <c r="H8566" s="18"/>
    </row>
    <row r="8567">
      <c r="C8567" s="18"/>
      <c r="D8567" s="19"/>
      <c r="E8567" s="57"/>
      <c r="H8567" s="18"/>
    </row>
    <row r="8568">
      <c r="C8568" s="18"/>
      <c r="D8568" s="19"/>
      <c r="E8568" s="57"/>
      <c r="H8568" s="18"/>
    </row>
    <row r="8569">
      <c r="C8569" s="18"/>
      <c r="D8569" s="19"/>
      <c r="E8569" s="57"/>
      <c r="H8569" s="18"/>
    </row>
    <row r="8570">
      <c r="C8570" s="18"/>
      <c r="D8570" s="19"/>
      <c r="E8570" s="57"/>
      <c r="H8570" s="18"/>
    </row>
    <row r="8571">
      <c r="C8571" s="18"/>
      <c r="D8571" s="19"/>
      <c r="E8571" s="57"/>
      <c r="H8571" s="18"/>
    </row>
    <row r="8572">
      <c r="C8572" s="18"/>
      <c r="D8572" s="19"/>
      <c r="E8572" s="57"/>
      <c r="H8572" s="18"/>
    </row>
    <row r="8573">
      <c r="C8573" s="18"/>
      <c r="D8573" s="19"/>
      <c r="E8573" s="57"/>
      <c r="H8573" s="18"/>
    </row>
    <row r="8574">
      <c r="C8574" s="18"/>
      <c r="D8574" s="19"/>
      <c r="E8574" s="57"/>
      <c r="H8574" s="18"/>
    </row>
    <row r="8575">
      <c r="C8575" s="18"/>
      <c r="D8575" s="19"/>
      <c r="E8575" s="57"/>
      <c r="H8575" s="18"/>
    </row>
    <row r="8576">
      <c r="C8576" s="18"/>
      <c r="D8576" s="19"/>
      <c r="E8576" s="57"/>
      <c r="H8576" s="18"/>
    </row>
    <row r="8577">
      <c r="C8577" s="18"/>
      <c r="D8577" s="19"/>
      <c r="E8577" s="57"/>
      <c r="H8577" s="18"/>
    </row>
    <row r="8578">
      <c r="C8578" s="18"/>
      <c r="D8578" s="19"/>
      <c r="E8578" s="57"/>
      <c r="H8578" s="18"/>
    </row>
    <row r="8579">
      <c r="C8579" s="18"/>
      <c r="D8579" s="19"/>
      <c r="E8579" s="57"/>
      <c r="H8579" s="18"/>
    </row>
    <row r="8580">
      <c r="C8580" s="18"/>
      <c r="D8580" s="19"/>
      <c r="E8580" s="57"/>
      <c r="H8580" s="18"/>
    </row>
    <row r="8581">
      <c r="C8581" s="18"/>
      <c r="D8581" s="19"/>
      <c r="E8581" s="57"/>
      <c r="H8581" s="18"/>
    </row>
    <row r="8582">
      <c r="C8582" s="18"/>
      <c r="D8582" s="19"/>
      <c r="E8582" s="57"/>
      <c r="H8582" s="18"/>
    </row>
    <row r="8583">
      <c r="C8583" s="18"/>
      <c r="D8583" s="19"/>
      <c r="E8583" s="57"/>
      <c r="H8583" s="18"/>
    </row>
    <row r="8584">
      <c r="C8584" s="18"/>
      <c r="D8584" s="19"/>
      <c r="E8584" s="57"/>
      <c r="H8584" s="18"/>
    </row>
    <row r="8585">
      <c r="C8585" s="18"/>
      <c r="D8585" s="19"/>
      <c r="E8585" s="57"/>
      <c r="H8585" s="18"/>
    </row>
    <row r="8586">
      <c r="C8586" s="18"/>
      <c r="D8586" s="19"/>
      <c r="E8586" s="57"/>
      <c r="H8586" s="18"/>
    </row>
    <row r="8587">
      <c r="C8587" s="18"/>
      <c r="D8587" s="19"/>
      <c r="E8587" s="57"/>
      <c r="H8587" s="18"/>
    </row>
    <row r="8588">
      <c r="C8588" s="18"/>
      <c r="D8588" s="19"/>
      <c r="E8588" s="57"/>
      <c r="H8588" s="18"/>
    </row>
    <row r="8589">
      <c r="C8589" s="18"/>
      <c r="D8589" s="19"/>
      <c r="E8589" s="57"/>
      <c r="H8589" s="18"/>
    </row>
    <row r="8590">
      <c r="C8590" s="18"/>
      <c r="D8590" s="19"/>
      <c r="E8590" s="57"/>
      <c r="H8590" s="18"/>
    </row>
    <row r="8591">
      <c r="C8591" s="18"/>
      <c r="D8591" s="19"/>
      <c r="E8591" s="57"/>
      <c r="H8591" s="18"/>
    </row>
    <row r="8592">
      <c r="C8592" s="18"/>
      <c r="D8592" s="19"/>
      <c r="E8592" s="57"/>
      <c r="H8592" s="18"/>
    </row>
    <row r="8593">
      <c r="C8593" s="18"/>
      <c r="D8593" s="19"/>
      <c r="E8593" s="57"/>
      <c r="H8593" s="18"/>
    </row>
    <row r="8594">
      <c r="C8594" s="18"/>
      <c r="D8594" s="19"/>
      <c r="E8594" s="57"/>
      <c r="H8594" s="18"/>
    </row>
    <row r="8595">
      <c r="C8595" s="18"/>
      <c r="D8595" s="19"/>
      <c r="E8595" s="57"/>
      <c r="H8595" s="18"/>
    </row>
    <row r="8596">
      <c r="C8596" s="18"/>
      <c r="D8596" s="19"/>
      <c r="E8596" s="57"/>
      <c r="H8596" s="18"/>
    </row>
    <row r="8597">
      <c r="C8597" s="18"/>
      <c r="D8597" s="19"/>
      <c r="E8597" s="57"/>
      <c r="H8597" s="18"/>
    </row>
    <row r="8598">
      <c r="C8598" s="18"/>
      <c r="D8598" s="19"/>
      <c r="E8598" s="57"/>
      <c r="H8598" s="18"/>
    </row>
    <row r="8599">
      <c r="C8599" s="18"/>
      <c r="D8599" s="19"/>
      <c r="E8599" s="57"/>
      <c r="H8599" s="18"/>
    </row>
    <row r="8600">
      <c r="C8600" s="18"/>
      <c r="D8600" s="19"/>
      <c r="E8600" s="57"/>
      <c r="H8600" s="18"/>
    </row>
    <row r="8601">
      <c r="C8601" s="18"/>
      <c r="D8601" s="19"/>
      <c r="E8601" s="57"/>
      <c r="H8601" s="18"/>
    </row>
    <row r="8602">
      <c r="C8602" s="18"/>
      <c r="D8602" s="19"/>
      <c r="E8602" s="57"/>
      <c r="H8602" s="18"/>
    </row>
    <row r="8603">
      <c r="C8603" s="18"/>
      <c r="D8603" s="19"/>
      <c r="E8603" s="57"/>
      <c r="H8603" s="18"/>
    </row>
    <row r="8604">
      <c r="C8604" s="18"/>
      <c r="D8604" s="19"/>
      <c r="E8604" s="57"/>
      <c r="H8604" s="18"/>
    </row>
    <row r="8605">
      <c r="C8605" s="18"/>
      <c r="D8605" s="19"/>
      <c r="E8605" s="57"/>
      <c r="H8605" s="18"/>
    </row>
    <row r="8606">
      <c r="C8606" s="18"/>
      <c r="D8606" s="19"/>
      <c r="E8606" s="57"/>
      <c r="H8606" s="18"/>
    </row>
    <row r="8607">
      <c r="C8607" s="18"/>
      <c r="D8607" s="19"/>
      <c r="E8607" s="57"/>
      <c r="H8607" s="18"/>
    </row>
    <row r="8608">
      <c r="C8608" s="18"/>
      <c r="D8608" s="19"/>
      <c r="E8608" s="57"/>
      <c r="H8608" s="18"/>
    </row>
    <row r="8609">
      <c r="C8609" s="18"/>
      <c r="D8609" s="19"/>
      <c r="E8609" s="57"/>
      <c r="H8609" s="18"/>
    </row>
    <row r="8610">
      <c r="C8610" s="18"/>
      <c r="D8610" s="19"/>
      <c r="E8610" s="57"/>
      <c r="H8610" s="18"/>
    </row>
    <row r="8611">
      <c r="C8611" s="18"/>
      <c r="D8611" s="19"/>
      <c r="E8611" s="57"/>
      <c r="H8611" s="18"/>
    </row>
    <row r="8612">
      <c r="C8612" s="18"/>
      <c r="D8612" s="19"/>
      <c r="E8612" s="57"/>
      <c r="H8612" s="18"/>
    </row>
    <row r="8613">
      <c r="C8613" s="18"/>
      <c r="D8613" s="19"/>
      <c r="E8613" s="57"/>
      <c r="H8613" s="18"/>
    </row>
    <row r="8614">
      <c r="C8614" s="18"/>
      <c r="D8614" s="19"/>
      <c r="E8614" s="57"/>
      <c r="H8614" s="18"/>
    </row>
    <row r="8615">
      <c r="C8615" s="18"/>
      <c r="D8615" s="19"/>
      <c r="E8615" s="57"/>
      <c r="H8615" s="18"/>
    </row>
    <row r="8616">
      <c r="C8616" s="18"/>
      <c r="D8616" s="19"/>
      <c r="E8616" s="57"/>
      <c r="H8616" s="18"/>
    </row>
    <row r="8617">
      <c r="C8617" s="18"/>
      <c r="D8617" s="19"/>
      <c r="E8617" s="57"/>
      <c r="H8617" s="18"/>
    </row>
    <row r="8618">
      <c r="C8618" s="18"/>
      <c r="D8618" s="19"/>
      <c r="E8618" s="57"/>
      <c r="H8618" s="18"/>
    </row>
    <row r="8619">
      <c r="C8619" s="18"/>
      <c r="D8619" s="19"/>
      <c r="E8619" s="57"/>
      <c r="H8619" s="18"/>
    </row>
    <row r="8620">
      <c r="C8620" s="18"/>
      <c r="D8620" s="19"/>
      <c r="E8620" s="57"/>
      <c r="H8620" s="18"/>
    </row>
    <row r="8621">
      <c r="C8621" s="18"/>
      <c r="D8621" s="19"/>
      <c r="E8621" s="57"/>
      <c r="H8621" s="18"/>
    </row>
    <row r="8622">
      <c r="C8622" s="18"/>
      <c r="D8622" s="19"/>
      <c r="E8622" s="57"/>
      <c r="H8622" s="18"/>
    </row>
    <row r="8623">
      <c r="C8623" s="18"/>
      <c r="D8623" s="19"/>
      <c r="E8623" s="57"/>
      <c r="H8623" s="18"/>
    </row>
    <row r="8624">
      <c r="C8624" s="18"/>
      <c r="D8624" s="19"/>
      <c r="E8624" s="57"/>
      <c r="H8624" s="18"/>
    </row>
    <row r="8625">
      <c r="C8625" s="18"/>
      <c r="D8625" s="19"/>
      <c r="E8625" s="57"/>
      <c r="H8625" s="18"/>
    </row>
    <row r="8626">
      <c r="C8626" s="18"/>
      <c r="D8626" s="19"/>
      <c r="E8626" s="57"/>
      <c r="H8626" s="18"/>
    </row>
    <row r="8627">
      <c r="C8627" s="18"/>
      <c r="D8627" s="19"/>
      <c r="E8627" s="57"/>
      <c r="H8627" s="18"/>
    </row>
    <row r="8628">
      <c r="C8628" s="18"/>
      <c r="D8628" s="19"/>
      <c r="E8628" s="57"/>
      <c r="H8628" s="18"/>
    </row>
    <row r="8629">
      <c r="C8629" s="18"/>
      <c r="D8629" s="19"/>
      <c r="E8629" s="57"/>
      <c r="H8629" s="18"/>
    </row>
    <row r="8630">
      <c r="C8630" s="18"/>
      <c r="D8630" s="19"/>
      <c r="E8630" s="57"/>
      <c r="H8630" s="18"/>
    </row>
    <row r="8631">
      <c r="C8631" s="18"/>
      <c r="D8631" s="19"/>
      <c r="E8631" s="57"/>
      <c r="H8631" s="18"/>
    </row>
    <row r="8632">
      <c r="C8632" s="18"/>
      <c r="D8632" s="19"/>
      <c r="E8632" s="57"/>
      <c r="H8632" s="18"/>
    </row>
    <row r="8633">
      <c r="C8633" s="18"/>
      <c r="D8633" s="19"/>
      <c r="E8633" s="57"/>
      <c r="H8633" s="18"/>
    </row>
    <row r="8634">
      <c r="C8634" s="18"/>
      <c r="D8634" s="19"/>
      <c r="E8634" s="57"/>
      <c r="H8634" s="18"/>
    </row>
    <row r="8635">
      <c r="C8635" s="18"/>
      <c r="D8635" s="19"/>
      <c r="E8635" s="57"/>
      <c r="H8635" s="18"/>
    </row>
    <row r="8636">
      <c r="C8636" s="18"/>
      <c r="D8636" s="19"/>
      <c r="E8636" s="57"/>
      <c r="H8636" s="18"/>
    </row>
    <row r="8637">
      <c r="C8637" s="18"/>
      <c r="D8637" s="19"/>
      <c r="E8637" s="57"/>
      <c r="H8637" s="18"/>
    </row>
    <row r="8638">
      <c r="C8638" s="18"/>
      <c r="D8638" s="19"/>
      <c r="E8638" s="57"/>
      <c r="H8638" s="18"/>
    </row>
    <row r="8639">
      <c r="C8639" s="18"/>
      <c r="D8639" s="19"/>
      <c r="E8639" s="57"/>
      <c r="H8639" s="18"/>
    </row>
    <row r="8640">
      <c r="C8640" s="18"/>
      <c r="D8640" s="19"/>
      <c r="E8640" s="57"/>
      <c r="H8640" s="18"/>
    </row>
    <row r="8641">
      <c r="C8641" s="18"/>
      <c r="D8641" s="19"/>
      <c r="E8641" s="57"/>
      <c r="H8641" s="18"/>
    </row>
    <row r="8642">
      <c r="C8642" s="18"/>
      <c r="D8642" s="19"/>
      <c r="E8642" s="57"/>
      <c r="H8642" s="18"/>
    </row>
    <row r="8643">
      <c r="C8643" s="18"/>
      <c r="D8643" s="19"/>
      <c r="E8643" s="57"/>
      <c r="H8643" s="18"/>
    </row>
    <row r="8644">
      <c r="C8644" s="18"/>
      <c r="D8644" s="19"/>
      <c r="E8644" s="57"/>
      <c r="H8644" s="18"/>
    </row>
    <row r="8645">
      <c r="C8645" s="18"/>
      <c r="D8645" s="19"/>
      <c r="E8645" s="57"/>
      <c r="H8645" s="18"/>
    </row>
    <row r="8646">
      <c r="C8646" s="18"/>
      <c r="D8646" s="19"/>
      <c r="E8646" s="57"/>
      <c r="H8646" s="18"/>
    </row>
    <row r="8647">
      <c r="C8647" s="18"/>
      <c r="D8647" s="19"/>
      <c r="E8647" s="57"/>
      <c r="H8647" s="18"/>
    </row>
    <row r="8648">
      <c r="C8648" s="18"/>
      <c r="D8648" s="19"/>
      <c r="E8648" s="57"/>
      <c r="H8648" s="18"/>
    </row>
    <row r="8649">
      <c r="C8649" s="18"/>
      <c r="D8649" s="19"/>
      <c r="E8649" s="57"/>
      <c r="H8649" s="18"/>
    </row>
    <row r="8650">
      <c r="C8650" s="18"/>
      <c r="D8650" s="19"/>
      <c r="E8650" s="57"/>
      <c r="H8650" s="18"/>
    </row>
    <row r="8651">
      <c r="C8651" s="18"/>
      <c r="D8651" s="19"/>
      <c r="E8651" s="57"/>
      <c r="H8651" s="18"/>
    </row>
    <row r="8652">
      <c r="C8652" s="18"/>
      <c r="D8652" s="19"/>
      <c r="E8652" s="57"/>
      <c r="H8652" s="18"/>
    </row>
    <row r="8653">
      <c r="C8653" s="18"/>
      <c r="D8653" s="19"/>
      <c r="E8653" s="57"/>
      <c r="H8653" s="18"/>
    </row>
    <row r="8654">
      <c r="C8654" s="18"/>
      <c r="D8654" s="19"/>
      <c r="E8654" s="57"/>
      <c r="H8654" s="18"/>
    </row>
    <row r="8655">
      <c r="C8655" s="18"/>
      <c r="D8655" s="19"/>
      <c r="E8655" s="57"/>
      <c r="H8655" s="18"/>
    </row>
    <row r="8656">
      <c r="C8656" s="18"/>
      <c r="D8656" s="19"/>
      <c r="E8656" s="57"/>
      <c r="H8656" s="18"/>
    </row>
    <row r="8657">
      <c r="C8657" s="18"/>
      <c r="D8657" s="19"/>
      <c r="E8657" s="57"/>
      <c r="H8657" s="18"/>
    </row>
    <row r="8658">
      <c r="C8658" s="18"/>
      <c r="D8658" s="19"/>
      <c r="E8658" s="57"/>
      <c r="H8658" s="18"/>
    </row>
    <row r="8659">
      <c r="C8659" s="18"/>
      <c r="D8659" s="19"/>
      <c r="E8659" s="57"/>
      <c r="H8659" s="18"/>
    </row>
    <row r="8660">
      <c r="C8660" s="18"/>
      <c r="D8660" s="19"/>
      <c r="E8660" s="57"/>
      <c r="H8660" s="18"/>
    </row>
    <row r="8661">
      <c r="C8661" s="18"/>
      <c r="D8661" s="19"/>
      <c r="E8661" s="57"/>
      <c r="H8661" s="18"/>
    </row>
    <row r="8662">
      <c r="C8662" s="18"/>
      <c r="D8662" s="19"/>
      <c r="E8662" s="57"/>
      <c r="H8662" s="18"/>
    </row>
    <row r="8663">
      <c r="C8663" s="18"/>
      <c r="D8663" s="19"/>
      <c r="E8663" s="57"/>
      <c r="H8663" s="18"/>
    </row>
    <row r="8664">
      <c r="C8664" s="18"/>
      <c r="D8664" s="19"/>
      <c r="E8664" s="57"/>
      <c r="H8664" s="18"/>
    </row>
    <row r="8665">
      <c r="C8665" s="18"/>
      <c r="D8665" s="19"/>
      <c r="E8665" s="57"/>
      <c r="H8665" s="18"/>
    </row>
    <row r="8666">
      <c r="C8666" s="18"/>
      <c r="D8666" s="19"/>
      <c r="E8666" s="57"/>
      <c r="H8666" s="18"/>
    </row>
    <row r="8667">
      <c r="C8667" s="18"/>
      <c r="D8667" s="19"/>
      <c r="E8667" s="57"/>
      <c r="H8667" s="18"/>
    </row>
    <row r="8668">
      <c r="C8668" s="18"/>
      <c r="D8668" s="19"/>
      <c r="E8668" s="57"/>
      <c r="H8668" s="18"/>
    </row>
    <row r="8669">
      <c r="C8669" s="18"/>
      <c r="D8669" s="19"/>
      <c r="E8669" s="57"/>
      <c r="H8669" s="18"/>
    </row>
    <row r="8670">
      <c r="C8670" s="18"/>
      <c r="D8670" s="19"/>
      <c r="E8670" s="57"/>
      <c r="H8670" s="18"/>
    </row>
    <row r="8671">
      <c r="C8671" s="18"/>
      <c r="D8671" s="19"/>
      <c r="E8671" s="57"/>
      <c r="H8671" s="18"/>
    </row>
    <row r="8672">
      <c r="C8672" s="18"/>
      <c r="D8672" s="19"/>
      <c r="E8672" s="57"/>
      <c r="H8672" s="18"/>
    </row>
    <row r="8673">
      <c r="C8673" s="18"/>
      <c r="D8673" s="19"/>
      <c r="E8673" s="57"/>
      <c r="H8673" s="18"/>
    </row>
    <row r="8674">
      <c r="C8674" s="18"/>
      <c r="D8674" s="19"/>
      <c r="E8674" s="57"/>
      <c r="H8674" s="18"/>
    </row>
    <row r="8675">
      <c r="C8675" s="18"/>
      <c r="D8675" s="19"/>
      <c r="E8675" s="57"/>
      <c r="H8675" s="18"/>
    </row>
    <row r="8676">
      <c r="C8676" s="18"/>
      <c r="D8676" s="19"/>
      <c r="E8676" s="57"/>
      <c r="H8676" s="18"/>
    </row>
    <row r="8677">
      <c r="C8677" s="18"/>
      <c r="D8677" s="19"/>
      <c r="E8677" s="57"/>
      <c r="H8677" s="18"/>
    </row>
    <row r="8678">
      <c r="C8678" s="18"/>
      <c r="D8678" s="19"/>
      <c r="E8678" s="57"/>
      <c r="H8678" s="18"/>
    </row>
    <row r="8679">
      <c r="C8679" s="18"/>
      <c r="D8679" s="19"/>
      <c r="E8679" s="57"/>
      <c r="H8679" s="18"/>
    </row>
    <row r="8680">
      <c r="C8680" s="18"/>
      <c r="D8680" s="19"/>
      <c r="E8680" s="57"/>
      <c r="H8680" s="18"/>
    </row>
    <row r="8681">
      <c r="C8681" s="18"/>
      <c r="D8681" s="19"/>
      <c r="E8681" s="57"/>
      <c r="H8681" s="18"/>
    </row>
    <row r="8682">
      <c r="C8682" s="18"/>
      <c r="D8682" s="19"/>
      <c r="E8682" s="57"/>
      <c r="H8682" s="18"/>
    </row>
    <row r="8683">
      <c r="C8683" s="18"/>
      <c r="D8683" s="19"/>
      <c r="E8683" s="57"/>
      <c r="H8683" s="18"/>
    </row>
    <row r="8684">
      <c r="C8684" s="18"/>
      <c r="D8684" s="19"/>
      <c r="E8684" s="57"/>
      <c r="H8684" s="18"/>
    </row>
    <row r="8685">
      <c r="C8685" s="18"/>
      <c r="D8685" s="19"/>
      <c r="E8685" s="57"/>
      <c r="H8685" s="18"/>
    </row>
    <row r="8686">
      <c r="C8686" s="18"/>
      <c r="D8686" s="19"/>
      <c r="E8686" s="57"/>
      <c r="H8686" s="18"/>
    </row>
    <row r="8687">
      <c r="C8687" s="18"/>
      <c r="D8687" s="19"/>
      <c r="E8687" s="57"/>
      <c r="H8687" s="18"/>
    </row>
    <row r="8688">
      <c r="C8688" s="18"/>
      <c r="D8688" s="19"/>
      <c r="E8688" s="57"/>
      <c r="H8688" s="18"/>
    </row>
    <row r="8689">
      <c r="C8689" s="18"/>
      <c r="D8689" s="19"/>
      <c r="E8689" s="57"/>
      <c r="H8689" s="18"/>
    </row>
    <row r="8690">
      <c r="C8690" s="18"/>
      <c r="D8690" s="19"/>
      <c r="E8690" s="57"/>
      <c r="H8690" s="18"/>
    </row>
    <row r="8691">
      <c r="C8691" s="18"/>
      <c r="D8691" s="19"/>
      <c r="E8691" s="57"/>
      <c r="H8691" s="18"/>
    </row>
    <row r="8692">
      <c r="C8692" s="18"/>
      <c r="D8692" s="19"/>
      <c r="E8692" s="57"/>
      <c r="H8692" s="18"/>
    </row>
    <row r="8693">
      <c r="C8693" s="18"/>
      <c r="D8693" s="19"/>
      <c r="E8693" s="57"/>
      <c r="H8693" s="18"/>
    </row>
    <row r="8694">
      <c r="C8694" s="18"/>
      <c r="D8694" s="19"/>
      <c r="E8694" s="57"/>
      <c r="H8694" s="18"/>
    </row>
    <row r="8695">
      <c r="C8695" s="18"/>
      <c r="D8695" s="19"/>
      <c r="E8695" s="57"/>
      <c r="H8695" s="18"/>
    </row>
    <row r="8696">
      <c r="C8696" s="18"/>
      <c r="D8696" s="19"/>
      <c r="E8696" s="57"/>
      <c r="H8696" s="18"/>
    </row>
    <row r="8697">
      <c r="C8697" s="18"/>
      <c r="D8697" s="19"/>
      <c r="E8697" s="57"/>
      <c r="H8697" s="18"/>
    </row>
    <row r="8698">
      <c r="C8698" s="18"/>
      <c r="D8698" s="19"/>
      <c r="E8698" s="57"/>
      <c r="H8698" s="18"/>
    </row>
    <row r="8699">
      <c r="C8699" s="18"/>
      <c r="D8699" s="19"/>
      <c r="E8699" s="57"/>
      <c r="H8699" s="18"/>
    </row>
    <row r="8700">
      <c r="C8700" s="18"/>
      <c r="D8700" s="19"/>
      <c r="E8700" s="57"/>
      <c r="H8700" s="18"/>
    </row>
    <row r="8701">
      <c r="C8701" s="18"/>
      <c r="D8701" s="19"/>
      <c r="E8701" s="57"/>
      <c r="H8701" s="18"/>
    </row>
    <row r="8702">
      <c r="C8702" s="18"/>
      <c r="D8702" s="19"/>
      <c r="E8702" s="57"/>
      <c r="H8702" s="18"/>
    </row>
    <row r="8703">
      <c r="C8703" s="18"/>
      <c r="D8703" s="19"/>
      <c r="E8703" s="57"/>
      <c r="H8703" s="18"/>
    </row>
    <row r="8704">
      <c r="C8704" s="18"/>
      <c r="D8704" s="19"/>
      <c r="E8704" s="57"/>
      <c r="H8704" s="18"/>
    </row>
    <row r="8705">
      <c r="C8705" s="18"/>
      <c r="D8705" s="19"/>
      <c r="E8705" s="57"/>
      <c r="H8705" s="18"/>
    </row>
    <row r="8706">
      <c r="C8706" s="18"/>
      <c r="D8706" s="19"/>
      <c r="E8706" s="57"/>
      <c r="H8706" s="18"/>
    </row>
    <row r="8707">
      <c r="C8707" s="18"/>
      <c r="D8707" s="19"/>
      <c r="E8707" s="57"/>
      <c r="H8707" s="18"/>
    </row>
    <row r="8708">
      <c r="C8708" s="18"/>
      <c r="D8708" s="19"/>
      <c r="E8708" s="57"/>
      <c r="H8708" s="18"/>
    </row>
    <row r="8709">
      <c r="C8709" s="18"/>
      <c r="D8709" s="19"/>
      <c r="E8709" s="57"/>
      <c r="H8709" s="18"/>
    </row>
    <row r="8710">
      <c r="C8710" s="18"/>
      <c r="D8710" s="19"/>
      <c r="E8710" s="57"/>
      <c r="H8710" s="18"/>
    </row>
    <row r="8711">
      <c r="C8711" s="18"/>
      <c r="D8711" s="19"/>
      <c r="E8711" s="57"/>
      <c r="H8711" s="18"/>
    </row>
    <row r="8712">
      <c r="C8712" s="18"/>
      <c r="D8712" s="19"/>
      <c r="E8712" s="57"/>
      <c r="H8712" s="18"/>
    </row>
    <row r="8713">
      <c r="C8713" s="18"/>
      <c r="D8713" s="19"/>
      <c r="E8713" s="57"/>
      <c r="H8713" s="18"/>
    </row>
    <row r="8714">
      <c r="C8714" s="18"/>
      <c r="D8714" s="19"/>
      <c r="E8714" s="57"/>
      <c r="H8714" s="18"/>
    </row>
    <row r="8715">
      <c r="C8715" s="18"/>
      <c r="D8715" s="19"/>
      <c r="E8715" s="57"/>
      <c r="H8715" s="18"/>
    </row>
    <row r="8716">
      <c r="C8716" s="18"/>
      <c r="D8716" s="19"/>
      <c r="E8716" s="57"/>
      <c r="H8716" s="18"/>
    </row>
    <row r="8717">
      <c r="C8717" s="18"/>
      <c r="D8717" s="19"/>
      <c r="E8717" s="57"/>
      <c r="H8717" s="18"/>
    </row>
    <row r="8718">
      <c r="C8718" s="18"/>
      <c r="D8718" s="19"/>
      <c r="E8718" s="57"/>
      <c r="H8718" s="18"/>
    </row>
    <row r="8719">
      <c r="C8719" s="18"/>
      <c r="D8719" s="19"/>
      <c r="E8719" s="57"/>
      <c r="H8719" s="18"/>
    </row>
    <row r="8720">
      <c r="C8720" s="18"/>
      <c r="D8720" s="19"/>
      <c r="E8720" s="57"/>
      <c r="H8720" s="18"/>
    </row>
    <row r="8721">
      <c r="C8721" s="18"/>
      <c r="D8721" s="19"/>
      <c r="E8721" s="57"/>
      <c r="H8721" s="18"/>
    </row>
    <row r="8722">
      <c r="C8722" s="18"/>
      <c r="D8722" s="19"/>
      <c r="E8722" s="57"/>
      <c r="H8722" s="18"/>
    </row>
    <row r="8723">
      <c r="C8723" s="18"/>
      <c r="D8723" s="19"/>
      <c r="E8723" s="57"/>
      <c r="H8723" s="18"/>
    </row>
    <row r="8724">
      <c r="C8724" s="18"/>
      <c r="D8724" s="19"/>
      <c r="E8724" s="57"/>
      <c r="H8724" s="18"/>
    </row>
    <row r="8725">
      <c r="C8725" s="18"/>
      <c r="D8725" s="19"/>
      <c r="E8725" s="57"/>
      <c r="H8725" s="18"/>
    </row>
    <row r="8726">
      <c r="C8726" s="18"/>
      <c r="D8726" s="19"/>
      <c r="E8726" s="57"/>
      <c r="H8726" s="18"/>
    </row>
    <row r="8727">
      <c r="C8727" s="18"/>
      <c r="D8727" s="19"/>
      <c r="E8727" s="57"/>
      <c r="H8727" s="18"/>
    </row>
    <row r="8728">
      <c r="C8728" s="18"/>
      <c r="D8728" s="19"/>
      <c r="E8728" s="57"/>
      <c r="H8728" s="18"/>
    </row>
    <row r="8729">
      <c r="C8729" s="18"/>
      <c r="D8729" s="19"/>
      <c r="E8729" s="57"/>
      <c r="H8729" s="18"/>
    </row>
    <row r="8730">
      <c r="C8730" s="18"/>
      <c r="D8730" s="19"/>
      <c r="E8730" s="57"/>
      <c r="H8730" s="18"/>
    </row>
    <row r="8731">
      <c r="C8731" s="18"/>
      <c r="D8731" s="19"/>
      <c r="E8731" s="57"/>
      <c r="H8731" s="18"/>
    </row>
    <row r="8732">
      <c r="C8732" s="18"/>
      <c r="D8732" s="19"/>
      <c r="E8732" s="57"/>
      <c r="H8732" s="18"/>
    </row>
    <row r="8733">
      <c r="C8733" s="18"/>
      <c r="D8733" s="19"/>
      <c r="E8733" s="57"/>
      <c r="H8733" s="18"/>
    </row>
    <row r="8734">
      <c r="C8734" s="18"/>
      <c r="D8734" s="19"/>
      <c r="E8734" s="57"/>
      <c r="H8734" s="18"/>
    </row>
    <row r="8735">
      <c r="C8735" s="18"/>
      <c r="D8735" s="19"/>
      <c r="E8735" s="57"/>
      <c r="H8735" s="18"/>
    </row>
    <row r="8736">
      <c r="C8736" s="18"/>
      <c r="D8736" s="19"/>
      <c r="E8736" s="57"/>
      <c r="H8736" s="18"/>
    </row>
    <row r="8737">
      <c r="C8737" s="18"/>
      <c r="D8737" s="19"/>
      <c r="E8737" s="57"/>
      <c r="H8737" s="18"/>
    </row>
    <row r="8738">
      <c r="C8738" s="18"/>
      <c r="D8738" s="19"/>
      <c r="E8738" s="57"/>
      <c r="H8738" s="18"/>
    </row>
    <row r="8739">
      <c r="C8739" s="18"/>
      <c r="D8739" s="19"/>
      <c r="E8739" s="57"/>
      <c r="H8739" s="18"/>
    </row>
    <row r="8740">
      <c r="C8740" s="18"/>
      <c r="D8740" s="19"/>
      <c r="E8740" s="57"/>
      <c r="H8740" s="18"/>
    </row>
    <row r="8741">
      <c r="C8741" s="18"/>
      <c r="D8741" s="19"/>
      <c r="E8741" s="57"/>
      <c r="H8741" s="18"/>
    </row>
    <row r="8742">
      <c r="C8742" s="18"/>
      <c r="D8742" s="19"/>
      <c r="E8742" s="57"/>
      <c r="H8742" s="18"/>
    </row>
    <row r="8743">
      <c r="C8743" s="18"/>
      <c r="D8743" s="19"/>
      <c r="E8743" s="57"/>
      <c r="H8743" s="18"/>
    </row>
    <row r="8744">
      <c r="C8744" s="18"/>
      <c r="D8744" s="19"/>
      <c r="E8744" s="57"/>
      <c r="H8744" s="18"/>
    </row>
    <row r="8745">
      <c r="C8745" s="18"/>
      <c r="D8745" s="19"/>
      <c r="E8745" s="57"/>
      <c r="H8745" s="18"/>
    </row>
    <row r="8746">
      <c r="C8746" s="18"/>
      <c r="D8746" s="19"/>
      <c r="E8746" s="57"/>
      <c r="H8746" s="18"/>
    </row>
    <row r="8747">
      <c r="C8747" s="18"/>
      <c r="D8747" s="19"/>
      <c r="E8747" s="57"/>
      <c r="H8747" s="18"/>
    </row>
    <row r="8748">
      <c r="C8748" s="18"/>
      <c r="D8748" s="19"/>
      <c r="E8748" s="57"/>
      <c r="H8748" s="18"/>
    </row>
    <row r="8749">
      <c r="C8749" s="18"/>
      <c r="D8749" s="19"/>
      <c r="E8749" s="57"/>
      <c r="H8749" s="18"/>
    </row>
    <row r="8750">
      <c r="C8750" s="18"/>
      <c r="D8750" s="19"/>
      <c r="E8750" s="57"/>
      <c r="H8750" s="18"/>
    </row>
    <row r="8751">
      <c r="C8751" s="18"/>
      <c r="D8751" s="19"/>
      <c r="E8751" s="57"/>
      <c r="H8751" s="18"/>
    </row>
    <row r="8752">
      <c r="C8752" s="18"/>
      <c r="D8752" s="19"/>
      <c r="E8752" s="57"/>
      <c r="H8752" s="18"/>
    </row>
    <row r="8753">
      <c r="C8753" s="18"/>
      <c r="D8753" s="19"/>
      <c r="E8753" s="57"/>
      <c r="H8753" s="18"/>
    </row>
    <row r="8754">
      <c r="C8754" s="18"/>
      <c r="D8754" s="19"/>
      <c r="E8754" s="57"/>
      <c r="H8754" s="18"/>
    </row>
    <row r="8755">
      <c r="C8755" s="18"/>
      <c r="D8755" s="19"/>
      <c r="E8755" s="57"/>
      <c r="H8755" s="18"/>
    </row>
    <row r="8756">
      <c r="C8756" s="18"/>
      <c r="D8756" s="19"/>
      <c r="E8756" s="57"/>
      <c r="H8756" s="18"/>
    </row>
    <row r="8757">
      <c r="C8757" s="18"/>
      <c r="D8757" s="19"/>
      <c r="E8757" s="57"/>
      <c r="H8757" s="18"/>
    </row>
    <row r="8758">
      <c r="C8758" s="18"/>
      <c r="D8758" s="19"/>
      <c r="E8758" s="57"/>
      <c r="H8758" s="18"/>
    </row>
    <row r="8759">
      <c r="C8759" s="18"/>
      <c r="D8759" s="19"/>
      <c r="E8759" s="57"/>
      <c r="H8759" s="18"/>
    </row>
    <row r="8760">
      <c r="C8760" s="18"/>
      <c r="D8760" s="19"/>
      <c r="E8760" s="57"/>
      <c r="H8760" s="18"/>
    </row>
    <row r="8761">
      <c r="C8761" s="18"/>
      <c r="D8761" s="19"/>
      <c r="E8761" s="57"/>
      <c r="H8761" s="18"/>
    </row>
    <row r="8762">
      <c r="C8762" s="18"/>
      <c r="D8762" s="19"/>
      <c r="E8762" s="57"/>
      <c r="H8762" s="18"/>
    </row>
    <row r="8763">
      <c r="C8763" s="18"/>
      <c r="D8763" s="19"/>
      <c r="E8763" s="57"/>
      <c r="H8763" s="18"/>
    </row>
    <row r="8764">
      <c r="C8764" s="18"/>
      <c r="D8764" s="19"/>
      <c r="E8764" s="57"/>
      <c r="H8764" s="18"/>
    </row>
    <row r="8765">
      <c r="C8765" s="18"/>
      <c r="D8765" s="19"/>
      <c r="E8765" s="57"/>
      <c r="H8765" s="18"/>
    </row>
    <row r="8766">
      <c r="C8766" s="18"/>
      <c r="D8766" s="19"/>
      <c r="E8766" s="57"/>
      <c r="H8766" s="18"/>
    </row>
    <row r="8767">
      <c r="C8767" s="18"/>
      <c r="D8767" s="19"/>
      <c r="E8767" s="57"/>
      <c r="H8767" s="18"/>
    </row>
    <row r="8768">
      <c r="C8768" s="18"/>
      <c r="D8768" s="19"/>
      <c r="E8768" s="57"/>
      <c r="H8768" s="18"/>
    </row>
    <row r="8769">
      <c r="C8769" s="18"/>
      <c r="D8769" s="19"/>
      <c r="E8769" s="57"/>
      <c r="H8769" s="18"/>
    </row>
    <row r="8770">
      <c r="C8770" s="18"/>
      <c r="D8770" s="19"/>
      <c r="E8770" s="57"/>
      <c r="H8770" s="18"/>
    </row>
    <row r="8771">
      <c r="C8771" s="18"/>
      <c r="D8771" s="19"/>
      <c r="E8771" s="57"/>
      <c r="H8771" s="18"/>
    </row>
    <row r="8772">
      <c r="C8772" s="18"/>
      <c r="D8772" s="19"/>
      <c r="E8772" s="57"/>
      <c r="H8772" s="18"/>
    </row>
    <row r="8773">
      <c r="C8773" s="18"/>
      <c r="D8773" s="19"/>
      <c r="E8773" s="57"/>
      <c r="H8773" s="18"/>
    </row>
    <row r="8774">
      <c r="C8774" s="18"/>
      <c r="D8774" s="19"/>
      <c r="E8774" s="57"/>
      <c r="H8774" s="18"/>
    </row>
    <row r="8775">
      <c r="C8775" s="18"/>
      <c r="D8775" s="19"/>
      <c r="E8775" s="57"/>
      <c r="H8775" s="18"/>
    </row>
    <row r="8776">
      <c r="C8776" s="18"/>
      <c r="D8776" s="19"/>
      <c r="E8776" s="57"/>
      <c r="H8776" s="18"/>
    </row>
    <row r="8777">
      <c r="C8777" s="18"/>
      <c r="D8777" s="19"/>
      <c r="E8777" s="57"/>
      <c r="H8777" s="18"/>
    </row>
    <row r="8778">
      <c r="C8778" s="18"/>
      <c r="D8778" s="19"/>
      <c r="E8778" s="57"/>
      <c r="H8778" s="18"/>
    </row>
    <row r="8779">
      <c r="C8779" s="18"/>
      <c r="D8779" s="19"/>
      <c r="E8779" s="57"/>
      <c r="H8779" s="18"/>
    </row>
    <row r="8780">
      <c r="C8780" s="18"/>
      <c r="D8780" s="19"/>
      <c r="E8780" s="57"/>
      <c r="H8780" s="18"/>
    </row>
    <row r="8781">
      <c r="C8781" s="18"/>
      <c r="D8781" s="19"/>
      <c r="E8781" s="57"/>
      <c r="H8781" s="18"/>
    </row>
    <row r="8782">
      <c r="C8782" s="18"/>
      <c r="D8782" s="19"/>
      <c r="E8782" s="57"/>
      <c r="H8782" s="18"/>
    </row>
    <row r="8783">
      <c r="C8783" s="18"/>
      <c r="D8783" s="19"/>
      <c r="E8783" s="57"/>
      <c r="H8783" s="18"/>
    </row>
    <row r="8784">
      <c r="C8784" s="18"/>
      <c r="D8784" s="19"/>
      <c r="E8784" s="57"/>
      <c r="H8784" s="18"/>
    </row>
    <row r="8785">
      <c r="C8785" s="18"/>
      <c r="D8785" s="19"/>
      <c r="E8785" s="57"/>
      <c r="H8785" s="18"/>
    </row>
    <row r="8786">
      <c r="C8786" s="18"/>
      <c r="D8786" s="19"/>
      <c r="E8786" s="57"/>
      <c r="H8786" s="18"/>
    </row>
    <row r="8787">
      <c r="C8787" s="18"/>
      <c r="D8787" s="19"/>
      <c r="E8787" s="57"/>
      <c r="H8787" s="18"/>
    </row>
    <row r="8788">
      <c r="C8788" s="18"/>
      <c r="D8788" s="19"/>
      <c r="E8788" s="57"/>
      <c r="H8788" s="18"/>
    </row>
    <row r="8789">
      <c r="C8789" s="18"/>
      <c r="D8789" s="19"/>
      <c r="E8789" s="57"/>
      <c r="H8789" s="18"/>
    </row>
    <row r="8790">
      <c r="C8790" s="18"/>
      <c r="D8790" s="19"/>
      <c r="E8790" s="57"/>
      <c r="H8790" s="18"/>
    </row>
    <row r="8791">
      <c r="C8791" s="18"/>
      <c r="D8791" s="19"/>
      <c r="E8791" s="57"/>
      <c r="H8791" s="18"/>
    </row>
    <row r="8792">
      <c r="C8792" s="18"/>
      <c r="D8792" s="19"/>
      <c r="E8792" s="57"/>
      <c r="H8792" s="18"/>
    </row>
    <row r="8793">
      <c r="C8793" s="18"/>
      <c r="D8793" s="19"/>
      <c r="E8793" s="57"/>
      <c r="H8793" s="18"/>
    </row>
    <row r="8794">
      <c r="C8794" s="18"/>
      <c r="D8794" s="19"/>
      <c r="E8794" s="57"/>
      <c r="H8794" s="18"/>
    </row>
    <row r="8795">
      <c r="C8795" s="18"/>
      <c r="D8795" s="19"/>
      <c r="E8795" s="57"/>
      <c r="H8795" s="18"/>
    </row>
    <row r="8796">
      <c r="C8796" s="18"/>
      <c r="D8796" s="19"/>
      <c r="E8796" s="57"/>
      <c r="H8796" s="18"/>
    </row>
    <row r="8797">
      <c r="C8797" s="18"/>
      <c r="D8797" s="19"/>
      <c r="E8797" s="57"/>
      <c r="H8797" s="18"/>
    </row>
    <row r="8798">
      <c r="C8798" s="18"/>
      <c r="D8798" s="19"/>
      <c r="E8798" s="57"/>
      <c r="H8798" s="18"/>
    </row>
    <row r="8799">
      <c r="C8799" s="18"/>
      <c r="D8799" s="19"/>
      <c r="E8799" s="57"/>
      <c r="H8799" s="18"/>
    </row>
    <row r="8800">
      <c r="C8800" s="18"/>
      <c r="D8800" s="19"/>
      <c r="E8800" s="57"/>
      <c r="H8800" s="18"/>
    </row>
    <row r="8801">
      <c r="C8801" s="18"/>
      <c r="D8801" s="19"/>
      <c r="E8801" s="57"/>
      <c r="H8801" s="18"/>
    </row>
    <row r="8802">
      <c r="C8802" s="18"/>
      <c r="D8802" s="19"/>
      <c r="E8802" s="57"/>
      <c r="H8802" s="18"/>
    </row>
    <row r="8803">
      <c r="C8803" s="18"/>
      <c r="D8803" s="19"/>
      <c r="E8803" s="57"/>
      <c r="H8803" s="18"/>
    </row>
    <row r="8804">
      <c r="C8804" s="18"/>
      <c r="D8804" s="19"/>
      <c r="E8804" s="57"/>
      <c r="H8804" s="18"/>
    </row>
    <row r="8805">
      <c r="C8805" s="18"/>
      <c r="D8805" s="19"/>
      <c r="E8805" s="57"/>
      <c r="H8805" s="18"/>
    </row>
    <row r="8806">
      <c r="C8806" s="18"/>
      <c r="D8806" s="19"/>
      <c r="E8806" s="57"/>
      <c r="H8806" s="18"/>
    </row>
    <row r="8807">
      <c r="C8807" s="18"/>
      <c r="D8807" s="19"/>
      <c r="E8807" s="57"/>
      <c r="H8807" s="18"/>
    </row>
    <row r="8808">
      <c r="C8808" s="18"/>
      <c r="D8808" s="19"/>
      <c r="E8808" s="57"/>
      <c r="H8808" s="18"/>
    </row>
    <row r="8809">
      <c r="C8809" s="18"/>
      <c r="D8809" s="19"/>
      <c r="E8809" s="57"/>
      <c r="H8809" s="18"/>
    </row>
    <row r="8810">
      <c r="C8810" s="18"/>
      <c r="D8810" s="19"/>
      <c r="E8810" s="57"/>
      <c r="H8810" s="18"/>
    </row>
    <row r="8811">
      <c r="C8811" s="18"/>
      <c r="D8811" s="19"/>
      <c r="E8811" s="57"/>
      <c r="H8811" s="18"/>
    </row>
    <row r="8812">
      <c r="C8812" s="18"/>
      <c r="D8812" s="19"/>
      <c r="E8812" s="57"/>
      <c r="H8812" s="18"/>
    </row>
    <row r="8813">
      <c r="C8813" s="18"/>
      <c r="D8813" s="19"/>
      <c r="E8813" s="57"/>
      <c r="H8813" s="18"/>
    </row>
    <row r="8814">
      <c r="C8814" s="18"/>
      <c r="D8814" s="19"/>
      <c r="E8814" s="57"/>
      <c r="H8814" s="18"/>
    </row>
    <row r="8815">
      <c r="C8815" s="18"/>
      <c r="D8815" s="19"/>
      <c r="E8815" s="57"/>
      <c r="H8815" s="18"/>
    </row>
    <row r="8816">
      <c r="C8816" s="18"/>
      <c r="D8816" s="19"/>
      <c r="E8816" s="57"/>
      <c r="H8816" s="18"/>
    </row>
    <row r="8817">
      <c r="C8817" s="18"/>
      <c r="D8817" s="19"/>
      <c r="E8817" s="57"/>
      <c r="H8817" s="18"/>
    </row>
    <row r="8818">
      <c r="C8818" s="18"/>
      <c r="D8818" s="19"/>
      <c r="E8818" s="57"/>
      <c r="H8818" s="18"/>
    </row>
    <row r="8819">
      <c r="C8819" s="18"/>
      <c r="D8819" s="19"/>
      <c r="E8819" s="57"/>
      <c r="H8819" s="18"/>
    </row>
    <row r="8820">
      <c r="C8820" s="18"/>
      <c r="D8820" s="19"/>
      <c r="E8820" s="57"/>
      <c r="H8820" s="18"/>
    </row>
    <row r="8821">
      <c r="C8821" s="18"/>
      <c r="D8821" s="19"/>
      <c r="E8821" s="57"/>
      <c r="H8821" s="18"/>
    </row>
    <row r="8822">
      <c r="C8822" s="18"/>
      <c r="D8822" s="19"/>
      <c r="E8822" s="57"/>
      <c r="H8822" s="18"/>
    </row>
    <row r="8823">
      <c r="C8823" s="18"/>
      <c r="D8823" s="19"/>
      <c r="E8823" s="57"/>
      <c r="H8823" s="18"/>
    </row>
    <row r="8824">
      <c r="C8824" s="18"/>
      <c r="D8824" s="19"/>
      <c r="E8824" s="57"/>
      <c r="H8824" s="18"/>
    </row>
    <row r="8825">
      <c r="C8825" s="18"/>
      <c r="D8825" s="19"/>
      <c r="E8825" s="57"/>
      <c r="H8825" s="18"/>
    </row>
    <row r="8826">
      <c r="C8826" s="18"/>
      <c r="D8826" s="19"/>
      <c r="E8826" s="57"/>
      <c r="H8826" s="18"/>
    </row>
    <row r="8827">
      <c r="C8827" s="18"/>
      <c r="D8827" s="19"/>
      <c r="E8827" s="57"/>
      <c r="H8827" s="18"/>
    </row>
    <row r="8828">
      <c r="C8828" s="18"/>
      <c r="D8828" s="19"/>
      <c r="E8828" s="57"/>
      <c r="H8828" s="18"/>
    </row>
    <row r="8829">
      <c r="C8829" s="18"/>
      <c r="D8829" s="19"/>
      <c r="E8829" s="57"/>
      <c r="H8829" s="18"/>
    </row>
    <row r="8830">
      <c r="C8830" s="18"/>
      <c r="D8830" s="19"/>
      <c r="E8830" s="57"/>
      <c r="H8830" s="18"/>
    </row>
    <row r="8831">
      <c r="C8831" s="18"/>
      <c r="D8831" s="19"/>
      <c r="E8831" s="57"/>
      <c r="H8831" s="18"/>
    </row>
    <row r="8832">
      <c r="C8832" s="18"/>
      <c r="D8832" s="19"/>
      <c r="E8832" s="57"/>
      <c r="H8832" s="18"/>
    </row>
    <row r="8833">
      <c r="C8833" s="18"/>
      <c r="D8833" s="19"/>
      <c r="E8833" s="57"/>
      <c r="H8833" s="18"/>
    </row>
    <row r="8834">
      <c r="C8834" s="18"/>
      <c r="D8834" s="19"/>
      <c r="E8834" s="57"/>
      <c r="H8834" s="18"/>
    </row>
    <row r="8835">
      <c r="C8835" s="18"/>
      <c r="D8835" s="19"/>
      <c r="E8835" s="57"/>
      <c r="H8835" s="18"/>
    </row>
    <row r="8836">
      <c r="C8836" s="18"/>
      <c r="D8836" s="19"/>
      <c r="E8836" s="57"/>
      <c r="H8836" s="18"/>
    </row>
    <row r="8837">
      <c r="C8837" s="18"/>
      <c r="D8837" s="19"/>
      <c r="E8837" s="57"/>
      <c r="H8837" s="18"/>
    </row>
    <row r="8838">
      <c r="C8838" s="18"/>
      <c r="D8838" s="19"/>
      <c r="E8838" s="57"/>
      <c r="H8838" s="18"/>
    </row>
    <row r="8839">
      <c r="C8839" s="18"/>
      <c r="D8839" s="19"/>
      <c r="E8839" s="57"/>
      <c r="H8839" s="18"/>
    </row>
    <row r="8840">
      <c r="C8840" s="18"/>
      <c r="D8840" s="19"/>
      <c r="E8840" s="57"/>
      <c r="H8840" s="18"/>
    </row>
    <row r="8841">
      <c r="C8841" s="18"/>
      <c r="D8841" s="19"/>
      <c r="E8841" s="57"/>
      <c r="H8841" s="18"/>
    </row>
    <row r="8842">
      <c r="C8842" s="18"/>
      <c r="D8842" s="19"/>
      <c r="E8842" s="57"/>
      <c r="H8842" s="18"/>
    </row>
    <row r="8843">
      <c r="C8843" s="18"/>
      <c r="D8843" s="19"/>
      <c r="E8843" s="57"/>
      <c r="H8843" s="18"/>
    </row>
    <row r="8844">
      <c r="C8844" s="18"/>
      <c r="D8844" s="19"/>
      <c r="E8844" s="57"/>
      <c r="H8844" s="18"/>
    </row>
    <row r="8845">
      <c r="C8845" s="18"/>
      <c r="D8845" s="19"/>
      <c r="E8845" s="57"/>
      <c r="H8845" s="18"/>
    </row>
    <row r="8846">
      <c r="C8846" s="18"/>
      <c r="D8846" s="19"/>
      <c r="E8846" s="57"/>
      <c r="H8846" s="18"/>
    </row>
    <row r="8847">
      <c r="C8847" s="18"/>
      <c r="D8847" s="19"/>
      <c r="E8847" s="57"/>
      <c r="H8847" s="18"/>
    </row>
    <row r="8848">
      <c r="C8848" s="18"/>
      <c r="D8848" s="19"/>
      <c r="E8848" s="57"/>
      <c r="H8848" s="18"/>
    </row>
    <row r="8849">
      <c r="C8849" s="18"/>
      <c r="D8849" s="19"/>
      <c r="E8849" s="57"/>
      <c r="H8849" s="18"/>
    </row>
    <row r="8850">
      <c r="C8850" s="18"/>
      <c r="D8850" s="19"/>
      <c r="E8850" s="57"/>
      <c r="H8850" s="18"/>
    </row>
    <row r="8851">
      <c r="C8851" s="18"/>
      <c r="D8851" s="19"/>
      <c r="E8851" s="57"/>
      <c r="H8851" s="18"/>
    </row>
    <row r="8852">
      <c r="C8852" s="18"/>
      <c r="D8852" s="19"/>
      <c r="E8852" s="57"/>
      <c r="H8852" s="18"/>
    </row>
    <row r="8853">
      <c r="C8853" s="18"/>
      <c r="D8853" s="19"/>
      <c r="E8853" s="57"/>
      <c r="H8853" s="18"/>
    </row>
    <row r="8854">
      <c r="C8854" s="18"/>
      <c r="D8854" s="19"/>
      <c r="E8854" s="57"/>
      <c r="H8854" s="18"/>
    </row>
    <row r="8855">
      <c r="C8855" s="18"/>
      <c r="D8855" s="19"/>
      <c r="E8855" s="57"/>
      <c r="H8855" s="18"/>
    </row>
    <row r="8856">
      <c r="C8856" s="18"/>
      <c r="D8856" s="19"/>
      <c r="E8856" s="57"/>
      <c r="H8856" s="18"/>
    </row>
    <row r="8857">
      <c r="C8857" s="18"/>
      <c r="D8857" s="19"/>
      <c r="E8857" s="57"/>
      <c r="H8857" s="18"/>
    </row>
    <row r="8858">
      <c r="C8858" s="18"/>
      <c r="D8858" s="19"/>
      <c r="E8858" s="57"/>
      <c r="H8858" s="18"/>
    </row>
    <row r="8859">
      <c r="C8859" s="18"/>
      <c r="D8859" s="19"/>
      <c r="E8859" s="57"/>
      <c r="H8859" s="18"/>
    </row>
    <row r="8860">
      <c r="C8860" s="18"/>
      <c r="D8860" s="19"/>
      <c r="E8860" s="57"/>
      <c r="H8860" s="18"/>
    </row>
    <row r="8861">
      <c r="C8861" s="18"/>
      <c r="D8861" s="19"/>
      <c r="E8861" s="57"/>
      <c r="H8861" s="18"/>
    </row>
    <row r="8862">
      <c r="C8862" s="18"/>
      <c r="D8862" s="19"/>
      <c r="E8862" s="57"/>
      <c r="H8862" s="18"/>
    </row>
    <row r="8863">
      <c r="C8863" s="18"/>
      <c r="D8863" s="19"/>
      <c r="E8863" s="57"/>
      <c r="H8863" s="18"/>
    </row>
    <row r="8864">
      <c r="C8864" s="18"/>
      <c r="D8864" s="19"/>
      <c r="E8864" s="57"/>
      <c r="H8864" s="18"/>
    </row>
    <row r="8865">
      <c r="C8865" s="18"/>
      <c r="D8865" s="19"/>
      <c r="E8865" s="57"/>
      <c r="H8865" s="18"/>
    </row>
    <row r="8866">
      <c r="C8866" s="18"/>
      <c r="D8866" s="19"/>
      <c r="E8866" s="57"/>
      <c r="H8866" s="18"/>
    </row>
    <row r="8867">
      <c r="C8867" s="18"/>
      <c r="D8867" s="19"/>
      <c r="E8867" s="57"/>
      <c r="H8867" s="18"/>
    </row>
    <row r="8868">
      <c r="C8868" s="18"/>
      <c r="D8868" s="19"/>
      <c r="E8868" s="57"/>
      <c r="H8868" s="18"/>
    </row>
    <row r="8869">
      <c r="C8869" s="18"/>
      <c r="D8869" s="19"/>
      <c r="E8869" s="57"/>
      <c r="H8869" s="18"/>
    </row>
    <row r="8870">
      <c r="C8870" s="18"/>
      <c r="D8870" s="19"/>
      <c r="E8870" s="57"/>
      <c r="H8870" s="18"/>
    </row>
    <row r="8871">
      <c r="C8871" s="18"/>
      <c r="D8871" s="19"/>
      <c r="E8871" s="57"/>
      <c r="H8871" s="18"/>
    </row>
    <row r="8872">
      <c r="C8872" s="18"/>
      <c r="D8872" s="19"/>
      <c r="E8872" s="57"/>
      <c r="H8872" s="18"/>
    </row>
    <row r="8873">
      <c r="C8873" s="18"/>
      <c r="D8873" s="19"/>
      <c r="E8873" s="57"/>
      <c r="H8873" s="18"/>
    </row>
    <row r="8874">
      <c r="C8874" s="18"/>
      <c r="D8874" s="19"/>
      <c r="E8874" s="57"/>
      <c r="H8874" s="18"/>
    </row>
    <row r="8875">
      <c r="C8875" s="18"/>
      <c r="D8875" s="19"/>
      <c r="E8875" s="57"/>
      <c r="H8875" s="18"/>
    </row>
    <row r="8876">
      <c r="C8876" s="18"/>
      <c r="D8876" s="19"/>
      <c r="E8876" s="57"/>
      <c r="H8876" s="18"/>
    </row>
    <row r="8877">
      <c r="C8877" s="18"/>
      <c r="D8877" s="19"/>
      <c r="E8877" s="57"/>
      <c r="H8877" s="18"/>
    </row>
    <row r="8878">
      <c r="C8878" s="18"/>
      <c r="D8878" s="19"/>
      <c r="E8878" s="57"/>
      <c r="H8878" s="18"/>
    </row>
    <row r="8879">
      <c r="C8879" s="18"/>
      <c r="D8879" s="19"/>
      <c r="E8879" s="57"/>
      <c r="H8879" s="18"/>
    </row>
    <row r="8880">
      <c r="C8880" s="18"/>
      <c r="D8880" s="19"/>
      <c r="E8880" s="57"/>
      <c r="H8880" s="18"/>
    </row>
    <row r="8881">
      <c r="C8881" s="18"/>
      <c r="D8881" s="19"/>
      <c r="E8881" s="57"/>
      <c r="H8881" s="18"/>
    </row>
    <row r="8882">
      <c r="C8882" s="18"/>
      <c r="D8882" s="19"/>
      <c r="E8882" s="57"/>
      <c r="H8882" s="18"/>
    </row>
    <row r="8883">
      <c r="C8883" s="18"/>
      <c r="D8883" s="19"/>
      <c r="E8883" s="57"/>
      <c r="H8883" s="18"/>
    </row>
    <row r="8884">
      <c r="C8884" s="18"/>
      <c r="D8884" s="19"/>
      <c r="E8884" s="57"/>
      <c r="H8884" s="18"/>
    </row>
    <row r="8885">
      <c r="C8885" s="18"/>
      <c r="D8885" s="19"/>
      <c r="E8885" s="57"/>
      <c r="H8885" s="18"/>
    </row>
    <row r="8886">
      <c r="C8886" s="18"/>
      <c r="D8886" s="19"/>
      <c r="E8886" s="57"/>
      <c r="H8886" s="18"/>
    </row>
    <row r="8887">
      <c r="C8887" s="18"/>
      <c r="D8887" s="19"/>
      <c r="E8887" s="57"/>
      <c r="H8887" s="18"/>
    </row>
    <row r="8888">
      <c r="C8888" s="18"/>
      <c r="D8888" s="19"/>
      <c r="E8888" s="57"/>
      <c r="H8888" s="18"/>
    </row>
    <row r="8889">
      <c r="C8889" s="18"/>
      <c r="D8889" s="19"/>
      <c r="E8889" s="57"/>
      <c r="H8889" s="18"/>
    </row>
    <row r="8890">
      <c r="C8890" s="18"/>
      <c r="D8890" s="19"/>
      <c r="E8890" s="57"/>
      <c r="H8890" s="18"/>
    </row>
    <row r="8891">
      <c r="C8891" s="18"/>
      <c r="D8891" s="19"/>
      <c r="E8891" s="57"/>
      <c r="H8891" s="18"/>
    </row>
    <row r="8892">
      <c r="C8892" s="18"/>
      <c r="D8892" s="19"/>
      <c r="E8892" s="57"/>
      <c r="H8892" s="18"/>
    </row>
    <row r="8893">
      <c r="C8893" s="18"/>
      <c r="D8893" s="19"/>
      <c r="E8893" s="57"/>
      <c r="H8893" s="18"/>
    </row>
    <row r="8894">
      <c r="C8894" s="18"/>
      <c r="D8894" s="19"/>
      <c r="E8894" s="57"/>
      <c r="H8894" s="18"/>
    </row>
    <row r="8895">
      <c r="C8895" s="18"/>
      <c r="D8895" s="19"/>
      <c r="E8895" s="57"/>
      <c r="H8895" s="18"/>
    </row>
    <row r="8896">
      <c r="C8896" s="18"/>
      <c r="D8896" s="19"/>
      <c r="E8896" s="57"/>
      <c r="H8896" s="18"/>
    </row>
    <row r="8897">
      <c r="C8897" s="18"/>
      <c r="D8897" s="19"/>
      <c r="E8897" s="57"/>
      <c r="H8897" s="18"/>
    </row>
    <row r="8898">
      <c r="C8898" s="18"/>
      <c r="D8898" s="19"/>
      <c r="E8898" s="57"/>
      <c r="H8898" s="18"/>
    </row>
    <row r="8899">
      <c r="C8899" s="18"/>
      <c r="D8899" s="19"/>
      <c r="E8899" s="57"/>
      <c r="H8899" s="18"/>
    </row>
    <row r="8900">
      <c r="C8900" s="18"/>
      <c r="D8900" s="19"/>
      <c r="E8900" s="57"/>
      <c r="H8900" s="18"/>
    </row>
    <row r="8901">
      <c r="C8901" s="18"/>
      <c r="D8901" s="19"/>
      <c r="E8901" s="57"/>
      <c r="H8901" s="18"/>
    </row>
    <row r="8902">
      <c r="C8902" s="18"/>
      <c r="D8902" s="19"/>
      <c r="E8902" s="57"/>
      <c r="H8902" s="18"/>
    </row>
    <row r="8903">
      <c r="C8903" s="18"/>
      <c r="D8903" s="19"/>
      <c r="E8903" s="57"/>
      <c r="H8903" s="18"/>
    </row>
    <row r="8904">
      <c r="C8904" s="18"/>
      <c r="D8904" s="19"/>
      <c r="E8904" s="57"/>
      <c r="H8904" s="18"/>
    </row>
    <row r="8905">
      <c r="C8905" s="18"/>
      <c r="D8905" s="19"/>
      <c r="E8905" s="57"/>
      <c r="H8905" s="18"/>
    </row>
    <row r="8906">
      <c r="C8906" s="18"/>
      <c r="D8906" s="19"/>
      <c r="E8906" s="57"/>
      <c r="H8906" s="18"/>
    </row>
    <row r="8907">
      <c r="C8907" s="18"/>
      <c r="D8907" s="19"/>
      <c r="E8907" s="57"/>
      <c r="H8907" s="18"/>
    </row>
    <row r="8908">
      <c r="C8908" s="18"/>
      <c r="D8908" s="19"/>
      <c r="E8908" s="57"/>
      <c r="H8908" s="18"/>
    </row>
    <row r="8909">
      <c r="C8909" s="18"/>
      <c r="D8909" s="19"/>
      <c r="E8909" s="57"/>
      <c r="H8909" s="18"/>
    </row>
    <row r="8910">
      <c r="C8910" s="18"/>
      <c r="D8910" s="19"/>
      <c r="E8910" s="57"/>
      <c r="H8910" s="18"/>
    </row>
    <row r="8911">
      <c r="C8911" s="18"/>
      <c r="D8911" s="19"/>
      <c r="E8911" s="57"/>
      <c r="H8911" s="18"/>
    </row>
    <row r="8912">
      <c r="C8912" s="18"/>
      <c r="D8912" s="19"/>
      <c r="E8912" s="57"/>
      <c r="H8912" s="18"/>
    </row>
    <row r="8913">
      <c r="C8913" s="18"/>
      <c r="D8913" s="19"/>
      <c r="E8913" s="57"/>
      <c r="H8913" s="18"/>
    </row>
    <row r="8914">
      <c r="C8914" s="18"/>
      <c r="D8914" s="19"/>
      <c r="E8914" s="57"/>
      <c r="H8914" s="18"/>
    </row>
    <row r="8915">
      <c r="C8915" s="18"/>
      <c r="D8915" s="19"/>
      <c r="E8915" s="57"/>
      <c r="H8915" s="18"/>
    </row>
    <row r="8916">
      <c r="C8916" s="18"/>
      <c r="D8916" s="19"/>
      <c r="E8916" s="57"/>
      <c r="H8916" s="18"/>
    </row>
    <row r="8917">
      <c r="C8917" s="18"/>
      <c r="D8917" s="19"/>
      <c r="E8917" s="57"/>
      <c r="H8917" s="18"/>
    </row>
    <row r="8918">
      <c r="C8918" s="18"/>
      <c r="D8918" s="19"/>
      <c r="E8918" s="57"/>
      <c r="H8918" s="18"/>
    </row>
    <row r="8919">
      <c r="C8919" s="18"/>
      <c r="D8919" s="19"/>
      <c r="E8919" s="57"/>
      <c r="H8919" s="18"/>
    </row>
    <row r="8920">
      <c r="C8920" s="18"/>
      <c r="D8920" s="19"/>
      <c r="E8920" s="57"/>
      <c r="H8920" s="18"/>
    </row>
    <row r="8921">
      <c r="C8921" s="18"/>
      <c r="D8921" s="19"/>
      <c r="E8921" s="57"/>
      <c r="H8921" s="18"/>
    </row>
    <row r="8922">
      <c r="C8922" s="18"/>
      <c r="D8922" s="19"/>
      <c r="E8922" s="57"/>
      <c r="H8922" s="18"/>
    </row>
    <row r="8923">
      <c r="C8923" s="18"/>
      <c r="D8923" s="19"/>
      <c r="E8923" s="57"/>
      <c r="H8923" s="18"/>
    </row>
    <row r="8924">
      <c r="C8924" s="18"/>
      <c r="D8924" s="19"/>
      <c r="E8924" s="57"/>
      <c r="H8924" s="18"/>
    </row>
    <row r="8925">
      <c r="C8925" s="18"/>
      <c r="D8925" s="19"/>
      <c r="E8925" s="57"/>
      <c r="H8925" s="18"/>
    </row>
    <row r="8926">
      <c r="C8926" s="18"/>
      <c r="D8926" s="19"/>
      <c r="E8926" s="57"/>
      <c r="H8926" s="18"/>
    </row>
    <row r="8927">
      <c r="C8927" s="18"/>
      <c r="D8927" s="19"/>
      <c r="E8927" s="57"/>
      <c r="H8927" s="18"/>
    </row>
    <row r="8928">
      <c r="C8928" s="18"/>
      <c r="D8928" s="19"/>
      <c r="E8928" s="57"/>
      <c r="H8928" s="18"/>
    </row>
    <row r="8929">
      <c r="C8929" s="18"/>
      <c r="D8929" s="19"/>
      <c r="E8929" s="57"/>
      <c r="H8929" s="18"/>
    </row>
    <row r="8930">
      <c r="C8930" s="18"/>
      <c r="D8930" s="19"/>
      <c r="E8930" s="57"/>
      <c r="H8930" s="18"/>
    </row>
    <row r="8931">
      <c r="C8931" s="18"/>
      <c r="D8931" s="19"/>
      <c r="E8931" s="57"/>
      <c r="H8931" s="18"/>
    </row>
    <row r="8932">
      <c r="C8932" s="18"/>
      <c r="D8932" s="19"/>
      <c r="E8932" s="57"/>
      <c r="H8932" s="18"/>
    </row>
    <row r="8933">
      <c r="C8933" s="18"/>
      <c r="D8933" s="19"/>
      <c r="E8933" s="57"/>
      <c r="H8933" s="18"/>
    </row>
    <row r="8934">
      <c r="C8934" s="18"/>
      <c r="D8934" s="19"/>
      <c r="E8934" s="57"/>
      <c r="H8934" s="18"/>
    </row>
    <row r="8935">
      <c r="C8935" s="18"/>
      <c r="D8935" s="19"/>
      <c r="E8935" s="57"/>
      <c r="H8935" s="18"/>
    </row>
    <row r="8936">
      <c r="C8936" s="18"/>
      <c r="D8936" s="19"/>
      <c r="E8936" s="57"/>
      <c r="H8936" s="18"/>
    </row>
    <row r="8937">
      <c r="C8937" s="18"/>
      <c r="D8937" s="19"/>
      <c r="E8937" s="57"/>
      <c r="H8937" s="18"/>
    </row>
    <row r="8938">
      <c r="C8938" s="18"/>
      <c r="D8938" s="19"/>
      <c r="E8938" s="57"/>
      <c r="H8938" s="18"/>
    </row>
    <row r="8939">
      <c r="C8939" s="18"/>
      <c r="D8939" s="19"/>
      <c r="E8939" s="57"/>
      <c r="H8939" s="18"/>
    </row>
    <row r="8940">
      <c r="C8940" s="18"/>
      <c r="D8940" s="19"/>
      <c r="E8940" s="57"/>
      <c r="H8940" s="18"/>
    </row>
    <row r="8941">
      <c r="C8941" s="18"/>
      <c r="D8941" s="19"/>
      <c r="E8941" s="57"/>
      <c r="H8941" s="18"/>
    </row>
    <row r="8942">
      <c r="C8942" s="18"/>
      <c r="D8942" s="19"/>
      <c r="E8942" s="57"/>
      <c r="H8942" s="18"/>
    </row>
    <row r="8943">
      <c r="C8943" s="18"/>
      <c r="D8943" s="19"/>
      <c r="E8943" s="57"/>
      <c r="H8943" s="18"/>
    </row>
    <row r="8944">
      <c r="C8944" s="18"/>
      <c r="D8944" s="19"/>
      <c r="E8944" s="57"/>
      <c r="H8944" s="18"/>
    </row>
    <row r="8945">
      <c r="C8945" s="18"/>
      <c r="D8945" s="19"/>
      <c r="E8945" s="57"/>
      <c r="H8945" s="18"/>
    </row>
    <row r="8946">
      <c r="C8946" s="18"/>
      <c r="D8946" s="19"/>
      <c r="E8946" s="57"/>
      <c r="H8946" s="18"/>
    </row>
    <row r="8947">
      <c r="C8947" s="18"/>
      <c r="D8947" s="19"/>
      <c r="E8947" s="57"/>
      <c r="H8947" s="18"/>
    </row>
    <row r="8948">
      <c r="C8948" s="18"/>
      <c r="D8948" s="19"/>
      <c r="E8948" s="57"/>
      <c r="H8948" s="18"/>
    </row>
    <row r="8949">
      <c r="C8949" s="18"/>
      <c r="D8949" s="19"/>
      <c r="E8949" s="57"/>
      <c r="H8949" s="18"/>
    </row>
    <row r="8950">
      <c r="C8950" s="18"/>
      <c r="D8950" s="19"/>
      <c r="E8950" s="57"/>
      <c r="H8950" s="18"/>
    </row>
    <row r="8951">
      <c r="C8951" s="18"/>
      <c r="D8951" s="19"/>
      <c r="E8951" s="57"/>
      <c r="H8951" s="18"/>
    </row>
    <row r="8952">
      <c r="C8952" s="18"/>
      <c r="D8952" s="19"/>
      <c r="E8952" s="57"/>
      <c r="H8952" s="18"/>
    </row>
    <row r="8953">
      <c r="C8953" s="18"/>
      <c r="D8953" s="19"/>
      <c r="E8953" s="57"/>
      <c r="H8953" s="18"/>
    </row>
    <row r="8954">
      <c r="C8954" s="18"/>
      <c r="D8954" s="19"/>
      <c r="E8954" s="57"/>
      <c r="H8954" s="18"/>
    </row>
    <row r="8955">
      <c r="C8955" s="18"/>
      <c r="D8955" s="19"/>
      <c r="E8955" s="57"/>
      <c r="H8955" s="18"/>
    </row>
    <row r="8956">
      <c r="C8956" s="18"/>
      <c r="D8956" s="19"/>
      <c r="E8956" s="57"/>
      <c r="H8956" s="18"/>
    </row>
    <row r="8957">
      <c r="C8957" s="18"/>
      <c r="D8957" s="19"/>
      <c r="E8957" s="57"/>
      <c r="H8957" s="18"/>
    </row>
    <row r="8958">
      <c r="C8958" s="18"/>
      <c r="D8958" s="19"/>
      <c r="E8958" s="57"/>
      <c r="H8958" s="18"/>
    </row>
    <row r="8959">
      <c r="C8959" s="18"/>
      <c r="D8959" s="19"/>
      <c r="E8959" s="57"/>
      <c r="H8959" s="18"/>
    </row>
    <row r="8960">
      <c r="C8960" s="18"/>
      <c r="D8960" s="19"/>
      <c r="E8960" s="57"/>
      <c r="H8960" s="18"/>
    </row>
    <row r="8961">
      <c r="C8961" s="18"/>
      <c r="D8961" s="19"/>
      <c r="E8961" s="57"/>
      <c r="H8961" s="18"/>
    </row>
    <row r="8962">
      <c r="C8962" s="18"/>
      <c r="D8962" s="19"/>
      <c r="E8962" s="57"/>
      <c r="H8962" s="18"/>
    </row>
    <row r="8963">
      <c r="C8963" s="18"/>
      <c r="D8963" s="19"/>
      <c r="E8963" s="57"/>
      <c r="H8963" s="18"/>
    </row>
    <row r="8964">
      <c r="C8964" s="18"/>
      <c r="D8964" s="19"/>
      <c r="E8964" s="57"/>
      <c r="H8964" s="18"/>
    </row>
    <row r="8965">
      <c r="C8965" s="18"/>
      <c r="D8965" s="19"/>
      <c r="E8965" s="57"/>
      <c r="H8965" s="18"/>
    </row>
    <row r="8966">
      <c r="C8966" s="18"/>
      <c r="D8966" s="19"/>
      <c r="E8966" s="57"/>
      <c r="H8966" s="18"/>
    </row>
    <row r="8967">
      <c r="C8967" s="18"/>
      <c r="D8967" s="19"/>
      <c r="E8967" s="57"/>
      <c r="H8967" s="18"/>
    </row>
    <row r="8968">
      <c r="C8968" s="18"/>
      <c r="D8968" s="19"/>
      <c r="E8968" s="57"/>
      <c r="H8968" s="18"/>
    </row>
    <row r="8969">
      <c r="C8969" s="18"/>
      <c r="D8969" s="19"/>
      <c r="E8969" s="57"/>
      <c r="H8969" s="18"/>
    </row>
    <row r="8970">
      <c r="C8970" s="18"/>
      <c r="D8970" s="19"/>
      <c r="E8970" s="57"/>
      <c r="H8970" s="18"/>
    </row>
    <row r="8971">
      <c r="C8971" s="18"/>
      <c r="D8971" s="19"/>
      <c r="E8971" s="57"/>
      <c r="H8971" s="18"/>
    </row>
    <row r="8972">
      <c r="C8972" s="18"/>
      <c r="D8972" s="19"/>
      <c r="E8972" s="57"/>
      <c r="H8972" s="18"/>
    </row>
    <row r="8973">
      <c r="C8973" s="18"/>
      <c r="D8973" s="19"/>
      <c r="E8973" s="57"/>
      <c r="H8973" s="18"/>
    </row>
    <row r="8974">
      <c r="C8974" s="18"/>
      <c r="D8974" s="19"/>
      <c r="E8974" s="57"/>
      <c r="H8974" s="18"/>
    </row>
    <row r="8975">
      <c r="C8975" s="18"/>
      <c r="D8975" s="19"/>
      <c r="E8975" s="57"/>
      <c r="H8975" s="18"/>
    </row>
    <row r="8976">
      <c r="C8976" s="18"/>
      <c r="D8976" s="19"/>
      <c r="E8976" s="57"/>
      <c r="H8976" s="18"/>
    </row>
    <row r="8977">
      <c r="C8977" s="18"/>
      <c r="D8977" s="19"/>
      <c r="E8977" s="57"/>
      <c r="H8977" s="18"/>
    </row>
    <row r="8978">
      <c r="C8978" s="18"/>
      <c r="D8978" s="19"/>
      <c r="E8978" s="57"/>
      <c r="H8978" s="18"/>
    </row>
    <row r="8979">
      <c r="C8979" s="18"/>
      <c r="D8979" s="19"/>
      <c r="E8979" s="57"/>
      <c r="H8979" s="18"/>
    </row>
    <row r="8980">
      <c r="C8980" s="18"/>
      <c r="D8980" s="19"/>
      <c r="E8980" s="57"/>
      <c r="H8980" s="18"/>
    </row>
    <row r="8981">
      <c r="C8981" s="18"/>
      <c r="D8981" s="19"/>
      <c r="E8981" s="57"/>
      <c r="H8981" s="18"/>
    </row>
    <row r="8982">
      <c r="C8982" s="18"/>
      <c r="D8982" s="19"/>
      <c r="E8982" s="57"/>
      <c r="H8982" s="18"/>
    </row>
    <row r="8983">
      <c r="C8983" s="18"/>
      <c r="D8983" s="19"/>
      <c r="E8983" s="57"/>
      <c r="H8983" s="18"/>
    </row>
    <row r="8984">
      <c r="C8984" s="18"/>
      <c r="D8984" s="19"/>
      <c r="E8984" s="57"/>
      <c r="H8984" s="18"/>
    </row>
    <row r="8985">
      <c r="C8985" s="18"/>
      <c r="D8985" s="19"/>
      <c r="E8985" s="57"/>
      <c r="H8985" s="18"/>
    </row>
    <row r="8986">
      <c r="C8986" s="18"/>
      <c r="D8986" s="19"/>
      <c r="E8986" s="57"/>
      <c r="H8986" s="18"/>
    </row>
    <row r="8987">
      <c r="C8987" s="18"/>
      <c r="D8987" s="19"/>
      <c r="E8987" s="57"/>
      <c r="H8987" s="18"/>
    </row>
    <row r="8988">
      <c r="C8988" s="18"/>
      <c r="D8988" s="19"/>
      <c r="E8988" s="57"/>
      <c r="H8988" s="18"/>
    </row>
    <row r="8989">
      <c r="C8989" s="18"/>
      <c r="D8989" s="19"/>
      <c r="E8989" s="57"/>
      <c r="H8989" s="18"/>
    </row>
    <row r="8990">
      <c r="C8990" s="18"/>
      <c r="D8990" s="19"/>
      <c r="E8990" s="57"/>
      <c r="H8990" s="18"/>
    </row>
    <row r="8991">
      <c r="C8991" s="18"/>
      <c r="D8991" s="19"/>
      <c r="E8991" s="57"/>
      <c r="H8991" s="18"/>
    </row>
    <row r="8992">
      <c r="C8992" s="18"/>
      <c r="D8992" s="19"/>
      <c r="E8992" s="57"/>
      <c r="H8992" s="18"/>
    </row>
    <row r="8993">
      <c r="C8993" s="18"/>
      <c r="D8993" s="19"/>
      <c r="E8993" s="57"/>
      <c r="H8993" s="18"/>
    </row>
    <row r="8994">
      <c r="C8994" s="18"/>
      <c r="D8994" s="19"/>
      <c r="E8994" s="57"/>
      <c r="H8994" s="18"/>
    </row>
    <row r="8995">
      <c r="C8995" s="18"/>
      <c r="D8995" s="19"/>
      <c r="E8995" s="57"/>
      <c r="H8995" s="18"/>
    </row>
    <row r="8996">
      <c r="C8996" s="18"/>
      <c r="D8996" s="19"/>
      <c r="E8996" s="57"/>
      <c r="H8996" s="18"/>
    </row>
    <row r="8997">
      <c r="C8997" s="18"/>
      <c r="D8997" s="19"/>
      <c r="E8997" s="57"/>
      <c r="H8997" s="18"/>
    </row>
    <row r="8998">
      <c r="C8998" s="18"/>
      <c r="D8998" s="19"/>
      <c r="E8998" s="57"/>
      <c r="H8998" s="18"/>
    </row>
    <row r="8999">
      <c r="C8999" s="18"/>
      <c r="D8999" s="19"/>
      <c r="E8999" s="57"/>
      <c r="H8999" s="18"/>
    </row>
    <row r="9000">
      <c r="C9000" s="18"/>
      <c r="D9000" s="19"/>
      <c r="E9000" s="57"/>
      <c r="H9000" s="18"/>
    </row>
    <row r="9001">
      <c r="C9001" s="18"/>
      <c r="D9001" s="19"/>
      <c r="E9001" s="57"/>
      <c r="H9001" s="18"/>
    </row>
    <row r="9002">
      <c r="C9002" s="18"/>
      <c r="D9002" s="19"/>
      <c r="E9002" s="57"/>
      <c r="H9002" s="18"/>
    </row>
    <row r="9003">
      <c r="C9003" s="18"/>
      <c r="D9003" s="19"/>
      <c r="E9003" s="57"/>
      <c r="H9003" s="18"/>
    </row>
    <row r="9004">
      <c r="C9004" s="18"/>
      <c r="D9004" s="19"/>
      <c r="E9004" s="57"/>
      <c r="H9004" s="18"/>
    </row>
    <row r="9005">
      <c r="C9005" s="18"/>
      <c r="D9005" s="19"/>
      <c r="E9005" s="57"/>
      <c r="H9005" s="18"/>
    </row>
    <row r="9006">
      <c r="C9006" s="18"/>
      <c r="D9006" s="19"/>
      <c r="E9006" s="57"/>
      <c r="H9006" s="18"/>
    </row>
    <row r="9007">
      <c r="C9007" s="18"/>
      <c r="D9007" s="19"/>
      <c r="E9007" s="57"/>
      <c r="H9007" s="18"/>
    </row>
    <row r="9008">
      <c r="C9008" s="18"/>
      <c r="D9008" s="19"/>
      <c r="E9008" s="57"/>
      <c r="H9008" s="18"/>
    </row>
    <row r="9009">
      <c r="C9009" s="18"/>
      <c r="D9009" s="19"/>
      <c r="E9009" s="57"/>
      <c r="H9009" s="18"/>
    </row>
    <row r="9010">
      <c r="C9010" s="18"/>
      <c r="D9010" s="19"/>
      <c r="E9010" s="57"/>
      <c r="H9010" s="18"/>
    </row>
    <row r="9011">
      <c r="C9011" s="18"/>
      <c r="D9011" s="19"/>
      <c r="E9011" s="57"/>
      <c r="H9011" s="18"/>
    </row>
    <row r="9012">
      <c r="C9012" s="18"/>
      <c r="D9012" s="19"/>
      <c r="E9012" s="57"/>
      <c r="H9012" s="18"/>
    </row>
    <row r="9013">
      <c r="C9013" s="18"/>
      <c r="D9013" s="19"/>
      <c r="E9013" s="57"/>
      <c r="H9013" s="18"/>
    </row>
    <row r="9014">
      <c r="C9014" s="18"/>
      <c r="D9014" s="19"/>
      <c r="E9014" s="57"/>
      <c r="H9014" s="18"/>
    </row>
    <row r="9015">
      <c r="C9015" s="18"/>
      <c r="D9015" s="19"/>
      <c r="E9015" s="57"/>
      <c r="H9015" s="18"/>
    </row>
    <row r="9016">
      <c r="C9016" s="18"/>
      <c r="D9016" s="19"/>
      <c r="E9016" s="57"/>
      <c r="H9016" s="18"/>
    </row>
    <row r="9017">
      <c r="C9017" s="18"/>
      <c r="D9017" s="19"/>
      <c r="E9017" s="57"/>
      <c r="H9017" s="18"/>
    </row>
    <row r="9018">
      <c r="C9018" s="18"/>
      <c r="D9018" s="19"/>
      <c r="E9018" s="57"/>
      <c r="H9018" s="18"/>
    </row>
    <row r="9019">
      <c r="C9019" s="18"/>
      <c r="D9019" s="19"/>
      <c r="E9019" s="57"/>
      <c r="H9019" s="18"/>
    </row>
    <row r="9020">
      <c r="C9020" s="18"/>
      <c r="D9020" s="19"/>
      <c r="E9020" s="57"/>
      <c r="H9020" s="18"/>
    </row>
    <row r="9021">
      <c r="C9021" s="18"/>
      <c r="D9021" s="19"/>
      <c r="E9021" s="57"/>
      <c r="H9021" s="18"/>
    </row>
    <row r="9022">
      <c r="C9022" s="18"/>
      <c r="D9022" s="19"/>
      <c r="E9022" s="57"/>
      <c r="H9022" s="18"/>
    </row>
    <row r="9023">
      <c r="C9023" s="18"/>
      <c r="D9023" s="19"/>
      <c r="E9023" s="57"/>
      <c r="H9023" s="18"/>
    </row>
    <row r="9024">
      <c r="C9024" s="18"/>
      <c r="D9024" s="19"/>
      <c r="E9024" s="57"/>
      <c r="H9024" s="18"/>
    </row>
    <row r="9025">
      <c r="C9025" s="18"/>
      <c r="D9025" s="19"/>
      <c r="E9025" s="57"/>
      <c r="H9025" s="18"/>
    </row>
    <row r="9026">
      <c r="C9026" s="18"/>
      <c r="D9026" s="19"/>
      <c r="E9026" s="57"/>
      <c r="H9026" s="18"/>
    </row>
    <row r="9027">
      <c r="C9027" s="18"/>
      <c r="D9027" s="19"/>
      <c r="E9027" s="57"/>
      <c r="H9027" s="18"/>
    </row>
    <row r="9028">
      <c r="C9028" s="18"/>
      <c r="D9028" s="19"/>
      <c r="E9028" s="57"/>
      <c r="H9028" s="18"/>
    </row>
    <row r="9029">
      <c r="C9029" s="18"/>
      <c r="D9029" s="19"/>
      <c r="E9029" s="57"/>
      <c r="H9029" s="18"/>
    </row>
    <row r="9030">
      <c r="C9030" s="18"/>
      <c r="D9030" s="19"/>
      <c r="E9030" s="57"/>
      <c r="H9030" s="18"/>
    </row>
    <row r="9031">
      <c r="C9031" s="18"/>
      <c r="D9031" s="19"/>
      <c r="E9031" s="57"/>
      <c r="H9031" s="18"/>
    </row>
    <row r="9032">
      <c r="C9032" s="18"/>
      <c r="D9032" s="19"/>
      <c r="E9032" s="57"/>
      <c r="H9032" s="18"/>
    </row>
    <row r="9033">
      <c r="C9033" s="18"/>
      <c r="D9033" s="19"/>
      <c r="E9033" s="57"/>
      <c r="H9033" s="18"/>
    </row>
    <row r="9034">
      <c r="C9034" s="18"/>
      <c r="D9034" s="19"/>
      <c r="E9034" s="57"/>
      <c r="H9034" s="18"/>
    </row>
    <row r="9035">
      <c r="C9035" s="18"/>
      <c r="D9035" s="19"/>
      <c r="E9035" s="57"/>
      <c r="H9035" s="18"/>
    </row>
    <row r="9036">
      <c r="C9036" s="18"/>
      <c r="D9036" s="19"/>
      <c r="E9036" s="57"/>
      <c r="H9036" s="18"/>
    </row>
    <row r="9037">
      <c r="C9037" s="18"/>
      <c r="D9037" s="19"/>
      <c r="E9037" s="57"/>
      <c r="H9037" s="18"/>
    </row>
    <row r="9038">
      <c r="C9038" s="18"/>
      <c r="D9038" s="19"/>
      <c r="E9038" s="57"/>
      <c r="H9038" s="18"/>
    </row>
    <row r="9039">
      <c r="C9039" s="18"/>
      <c r="D9039" s="19"/>
      <c r="E9039" s="57"/>
      <c r="H9039" s="18"/>
    </row>
    <row r="9040">
      <c r="C9040" s="18"/>
      <c r="D9040" s="19"/>
      <c r="E9040" s="57"/>
      <c r="H9040" s="18"/>
    </row>
    <row r="9041">
      <c r="C9041" s="18"/>
      <c r="D9041" s="19"/>
      <c r="E9041" s="57"/>
      <c r="H9041" s="18"/>
    </row>
    <row r="9042">
      <c r="C9042" s="18"/>
      <c r="D9042" s="19"/>
      <c r="E9042" s="57"/>
      <c r="H9042" s="18"/>
    </row>
    <row r="9043">
      <c r="C9043" s="18"/>
      <c r="D9043" s="19"/>
      <c r="E9043" s="57"/>
      <c r="H9043" s="18"/>
    </row>
    <row r="9044">
      <c r="C9044" s="18"/>
      <c r="D9044" s="19"/>
      <c r="E9044" s="57"/>
      <c r="H9044" s="18"/>
    </row>
    <row r="9045">
      <c r="C9045" s="18"/>
      <c r="D9045" s="19"/>
      <c r="E9045" s="57"/>
      <c r="H9045" s="18"/>
    </row>
    <row r="9046">
      <c r="C9046" s="18"/>
      <c r="D9046" s="19"/>
      <c r="E9046" s="57"/>
      <c r="H9046" s="18"/>
    </row>
    <row r="9047">
      <c r="C9047" s="18"/>
      <c r="D9047" s="19"/>
      <c r="E9047" s="57"/>
      <c r="H9047" s="18"/>
    </row>
    <row r="9048">
      <c r="C9048" s="18"/>
      <c r="D9048" s="19"/>
      <c r="E9048" s="57"/>
      <c r="H9048" s="18"/>
    </row>
    <row r="9049">
      <c r="C9049" s="18"/>
      <c r="D9049" s="19"/>
      <c r="E9049" s="57"/>
      <c r="H9049" s="18"/>
    </row>
    <row r="9050">
      <c r="C9050" s="18"/>
      <c r="D9050" s="19"/>
      <c r="E9050" s="57"/>
      <c r="H9050" s="18"/>
    </row>
    <row r="9051">
      <c r="C9051" s="18"/>
      <c r="D9051" s="19"/>
      <c r="E9051" s="57"/>
      <c r="H9051" s="18"/>
    </row>
    <row r="9052">
      <c r="C9052" s="18"/>
      <c r="D9052" s="19"/>
      <c r="E9052" s="57"/>
      <c r="H9052" s="18"/>
    </row>
    <row r="9053">
      <c r="C9053" s="18"/>
      <c r="D9053" s="19"/>
      <c r="E9053" s="57"/>
      <c r="H9053" s="18"/>
    </row>
    <row r="9054">
      <c r="C9054" s="18"/>
      <c r="D9054" s="19"/>
      <c r="E9054" s="57"/>
      <c r="H9054" s="18"/>
    </row>
    <row r="9055">
      <c r="C9055" s="18"/>
      <c r="D9055" s="19"/>
      <c r="E9055" s="57"/>
      <c r="H9055" s="18"/>
    </row>
    <row r="9056">
      <c r="C9056" s="18"/>
      <c r="D9056" s="19"/>
      <c r="E9056" s="57"/>
      <c r="H9056" s="18"/>
    </row>
    <row r="9057">
      <c r="C9057" s="18"/>
      <c r="D9057" s="19"/>
      <c r="E9057" s="57"/>
      <c r="H9057" s="18"/>
    </row>
    <row r="9058">
      <c r="C9058" s="18"/>
      <c r="D9058" s="19"/>
      <c r="E9058" s="57"/>
      <c r="H9058" s="18"/>
    </row>
    <row r="9059">
      <c r="C9059" s="18"/>
      <c r="D9059" s="19"/>
      <c r="E9059" s="57"/>
      <c r="H9059" s="18"/>
    </row>
    <row r="9060">
      <c r="C9060" s="18"/>
      <c r="D9060" s="19"/>
      <c r="E9060" s="57"/>
      <c r="H9060" s="18"/>
    </row>
    <row r="9061">
      <c r="C9061" s="18"/>
      <c r="D9061" s="19"/>
      <c r="E9061" s="57"/>
      <c r="H9061" s="18"/>
    </row>
    <row r="9062">
      <c r="C9062" s="18"/>
      <c r="D9062" s="19"/>
      <c r="E9062" s="57"/>
      <c r="H9062" s="18"/>
    </row>
    <row r="9063">
      <c r="C9063" s="18"/>
      <c r="D9063" s="19"/>
      <c r="E9063" s="57"/>
      <c r="H9063" s="18"/>
    </row>
    <row r="9064">
      <c r="C9064" s="18"/>
      <c r="D9064" s="19"/>
      <c r="E9064" s="57"/>
      <c r="H9064" s="18"/>
    </row>
    <row r="9065">
      <c r="C9065" s="18"/>
      <c r="D9065" s="19"/>
      <c r="E9065" s="57"/>
      <c r="H9065" s="18"/>
    </row>
    <row r="9066">
      <c r="C9066" s="18"/>
      <c r="D9066" s="19"/>
      <c r="E9066" s="57"/>
      <c r="H9066" s="18"/>
    </row>
    <row r="9067">
      <c r="C9067" s="18"/>
      <c r="D9067" s="19"/>
      <c r="E9067" s="57"/>
      <c r="H9067" s="18"/>
    </row>
    <row r="9068">
      <c r="C9068" s="18"/>
      <c r="D9068" s="19"/>
      <c r="E9068" s="57"/>
      <c r="H9068" s="18"/>
    </row>
    <row r="9069">
      <c r="C9069" s="18"/>
      <c r="D9069" s="19"/>
      <c r="E9069" s="57"/>
      <c r="H9069" s="18"/>
    </row>
    <row r="9070">
      <c r="C9070" s="18"/>
      <c r="D9070" s="19"/>
      <c r="E9070" s="57"/>
      <c r="H9070" s="18"/>
    </row>
    <row r="9071">
      <c r="C9071" s="18"/>
      <c r="D9071" s="19"/>
      <c r="E9071" s="57"/>
      <c r="H9071" s="18"/>
    </row>
    <row r="9072">
      <c r="C9072" s="18"/>
      <c r="D9072" s="19"/>
      <c r="E9072" s="57"/>
      <c r="H9072" s="18"/>
    </row>
    <row r="9073">
      <c r="C9073" s="18"/>
      <c r="D9073" s="19"/>
      <c r="E9073" s="57"/>
      <c r="H9073" s="18"/>
    </row>
    <row r="9074">
      <c r="C9074" s="18"/>
      <c r="D9074" s="19"/>
      <c r="E9074" s="57"/>
      <c r="H9074" s="18"/>
    </row>
    <row r="9075">
      <c r="C9075" s="18"/>
      <c r="D9075" s="19"/>
      <c r="E9075" s="57"/>
      <c r="H9075" s="18"/>
    </row>
    <row r="9076">
      <c r="C9076" s="18"/>
      <c r="D9076" s="19"/>
      <c r="E9076" s="57"/>
      <c r="H9076" s="18"/>
    </row>
    <row r="9077">
      <c r="C9077" s="18"/>
      <c r="D9077" s="19"/>
      <c r="E9077" s="57"/>
      <c r="H9077" s="18"/>
    </row>
    <row r="9078">
      <c r="C9078" s="18"/>
      <c r="D9078" s="19"/>
      <c r="E9078" s="57"/>
      <c r="H9078" s="18"/>
    </row>
    <row r="9079">
      <c r="C9079" s="18"/>
      <c r="D9079" s="19"/>
      <c r="E9079" s="57"/>
      <c r="H9079" s="18"/>
    </row>
    <row r="9080">
      <c r="C9080" s="18"/>
      <c r="D9080" s="19"/>
      <c r="E9080" s="57"/>
      <c r="H9080" s="18"/>
    </row>
    <row r="9081">
      <c r="C9081" s="18"/>
      <c r="D9081" s="19"/>
      <c r="E9081" s="57"/>
      <c r="H9081" s="18"/>
    </row>
    <row r="9082">
      <c r="C9082" s="18"/>
      <c r="D9082" s="19"/>
      <c r="E9082" s="57"/>
      <c r="H9082" s="18"/>
    </row>
    <row r="9083">
      <c r="C9083" s="18"/>
      <c r="D9083" s="19"/>
      <c r="E9083" s="57"/>
      <c r="H9083" s="18"/>
    </row>
    <row r="9084">
      <c r="C9084" s="18"/>
      <c r="D9084" s="19"/>
      <c r="E9084" s="57"/>
      <c r="H9084" s="18"/>
    </row>
    <row r="9085">
      <c r="C9085" s="18"/>
      <c r="D9085" s="19"/>
      <c r="E9085" s="57"/>
      <c r="H9085" s="18"/>
    </row>
    <row r="9086">
      <c r="C9086" s="18"/>
      <c r="D9086" s="19"/>
      <c r="E9086" s="57"/>
      <c r="H9086" s="18"/>
    </row>
    <row r="9087">
      <c r="C9087" s="18"/>
      <c r="D9087" s="19"/>
      <c r="E9087" s="57"/>
      <c r="H9087" s="18"/>
    </row>
    <row r="9088">
      <c r="C9088" s="18"/>
      <c r="D9088" s="19"/>
      <c r="E9088" s="57"/>
      <c r="H9088" s="18"/>
    </row>
    <row r="9089">
      <c r="C9089" s="18"/>
      <c r="D9089" s="19"/>
      <c r="E9089" s="57"/>
      <c r="H9089" s="18"/>
    </row>
    <row r="9090">
      <c r="C9090" s="18"/>
      <c r="D9090" s="19"/>
      <c r="E9090" s="57"/>
      <c r="H9090" s="18"/>
    </row>
    <row r="9091">
      <c r="C9091" s="18"/>
      <c r="D9091" s="19"/>
      <c r="E9091" s="57"/>
      <c r="H9091" s="18"/>
    </row>
    <row r="9092">
      <c r="C9092" s="18"/>
      <c r="D9092" s="19"/>
      <c r="E9092" s="57"/>
      <c r="H9092" s="18"/>
    </row>
    <row r="9093">
      <c r="C9093" s="18"/>
      <c r="D9093" s="19"/>
      <c r="E9093" s="57"/>
      <c r="H9093" s="18"/>
    </row>
    <row r="9094">
      <c r="C9094" s="18"/>
      <c r="D9094" s="19"/>
      <c r="E9094" s="57"/>
      <c r="H9094" s="18"/>
    </row>
    <row r="9095">
      <c r="C9095" s="18"/>
      <c r="D9095" s="19"/>
      <c r="E9095" s="57"/>
      <c r="H9095" s="18"/>
    </row>
    <row r="9096">
      <c r="C9096" s="18"/>
      <c r="D9096" s="19"/>
      <c r="E9096" s="57"/>
      <c r="H9096" s="18"/>
    </row>
    <row r="9097">
      <c r="C9097" s="18"/>
      <c r="D9097" s="19"/>
      <c r="E9097" s="57"/>
      <c r="H9097" s="18"/>
    </row>
    <row r="9098">
      <c r="C9098" s="18"/>
      <c r="D9098" s="19"/>
      <c r="E9098" s="57"/>
      <c r="H9098" s="18"/>
    </row>
    <row r="9099">
      <c r="C9099" s="18"/>
      <c r="D9099" s="19"/>
      <c r="E9099" s="57"/>
      <c r="H9099" s="18"/>
    </row>
    <row r="9100">
      <c r="C9100" s="18"/>
      <c r="D9100" s="19"/>
      <c r="E9100" s="57"/>
      <c r="H9100" s="18"/>
    </row>
    <row r="9101">
      <c r="C9101" s="18"/>
      <c r="D9101" s="19"/>
      <c r="E9101" s="57"/>
      <c r="H9101" s="18"/>
    </row>
    <row r="9102">
      <c r="C9102" s="18"/>
      <c r="D9102" s="19"/>
      <c r="E9102" s="57"/>
      <c r="H9102" s="18"/>
    </row>
    <row r="9103">
      <c r="C9103" s="18"/>
      <c r="D9103" s="19"/>
      <c r="E9103" s="57"/>
      <c r="H9103" s="18"/>
    </row>
    <row r="9104">
      <c r="C9104" s="18"/>
      <c r="D9104" s="19"/>
      <c r="E9104" s="57"/>
      <c r="H9104" s="18"/>
    </row>
    <row r="9105">
      <c r="C9105" s="18"/>
      <c r="D9105" s="19"/>
      <c r="E9105" s="57"/>
      <c r="H9105" s="18"/>
    </row>
    <row r="9106">
      <c r="C9106" s="18"/>
      <c r="D9106" s="19"/>
      <c r="E9106" s="57"/>
      <c r="H9106" s="18"/>
    </row>
    <row r="9107">
      <c r="C9107" s="18"/>
      <c r="D9107" s="19"/>
      <c r="E9107" s="57"/>
      <c r="H9107" s="18"/>
    </row>
    <row r="9108">
      <c r="C9108" s="18"/>
      <c r="D9108" s="19"/>
      <c r="E9108" s="57"/>
      <c r="H9108" s="18"/>
    </row>
    <row r="9109">
      <c r="C9109" s="18"/>
      <c r="D9109" s="19"/>
      <c r="E9109" s="57"/>
      <c r="H9109" s="18"/>
    </row>
    <row r="9110">
      <c r="C9110" s="18"/>
      <c r="D9110" s="19"/>
      <c r="E9110" s="57"/>
      <c r="H9110" s="18"/>
    </row>
    <row r="9111">
      <c r="C9111" s="18"/>
      <c r="D9111" s="19"/>
      <c r="E9111" s="57"/>
      <c r="H9111" s="18"/>
    </row>
    <row r="9112">
      <c r="C9112" s="18"/>
      <c r="D9112" s="19"/>
      <c r="E9112" s="57"/>
      <c r="H9112" s="18"/>
    </row>
    <row r="9113">
      <c r="C9113" s="18"/>
      <c r="D9113" s="19"/>
      <c r="E9113" s="57"/>
      <c r="H9113" s="18"/>
    </row>
    <row r="9114">
      <c r="C9114" s="18"/>
      <c r="D9114" s="19"/>
      <c r="E9114" s="57"/>
      <c r="H9114" s="18"/>
    </row>
    <row r="9115">
      <c r="C9115" s="18"/>
      <c r="D9115" s="19"/>
      <c r="E9115" s="57"/>
      <c r="H9115" s="18"/>
    </row>
    <row r="9116">
      <c r="C9116" s="18"/>
      <c r="D9116" s="19"/>
      <c r="E9116" s="57"/>
      <c r="H9116" s="18"/>
    </row>
    <row r="9117">
      <c r="C9117" s="18"/>
      <c r="D9117" s="19"/>
      <c r="E9117" s="57"/>
      <c r="H9117" s="18"/>
    </row>
    <row r="9118">
      <c r="C9118" s="18"/>
      <c r="D9118" s="19"/>
      <c r="E9118" s="57"/>
      <c r="H9118" s="18"/>
    </row>
    <row r="9119">
      <c r="C9119" s="18"/>
      <c r="D9119" s="19"/>
      <c r="E9119" s="57"/>
      <c r="H9119" s="18"/>
    </row>
    <row r="9120">
      <c r="C9120" s="18"/>
      <c r="D9120" s="19"/>
      <c r="E9120" s="57"/>
      <c r="H9120" s="18"/>
    </row>
    <row r="9121">
      <c r="C9121" s="18"/>
      <c r="D9121" s="19"/>
      <c r="E9121" s="57"/>
      <c r="H9121" s="18"/>
    </row>
    <row r="9122">
      <c r="C9122" s="18"/>
      <c r="D9122" s="19"/>
      <c r="E9122" s="57"/>
      <c r="H9122" s="18"/>
    </row>
    <row r="9123">
      <c r="C9123" s="18"/>
      <c r="D9123" s="19"/>
      <c r="E9123" s="57"/>
      <c r="H9123" s="18"/>
    </row>
    <row r="9124">
      <c r="C9124" s="18"/>
      <c r="D9124" s="19"/>
      <c r="E9124" s="57"/>
      <c r="H9124" s="18"/>
    </row>
    <row r="9125">
      <c r="C9125" s="18"/>
      <c r="D9125" s="19"/>
      <c r="E9125" s="57"/>
      <c r="H9125" s="18"/>
    </row>
    <row r="9126">
      <c r="C9126" s="18"/>
      <c r="D9126" s="19"/>
      <c r="E9126" s="57"/>
      <c r="H9126" s="18"/>
    </row>
    <row r="9127">
      <c r="C9127" s="18"/>
      <c r="D9127" s="19"/>
      <c r="E9127" s="57"/>
      <c r="H9127" s="18"/>
    </row>
    <row r="9128">
      <c r="C9128" s="18"/>
      <c r="D9128" s="19"/>
      <c r="E9128" s="57"/>
      <c r="H9128" s="18"/>
    </row>
    <row r="9129">
      <c r="C9129" s="18"/>
      <c r="D9129" s="19"/>
      <c r="E9129" s="57"/>
      <c r="H9129" s="18"/>
    </row>
    <row r="9130">
      <c r="C9130" s="18"/>
      <c r="D9130" s="19"/>
      <c r="E9130" s="57"/>
      <c r="H9130" s="18"/>
    </row>
    <row r="9131">
      <c r="C9131" s="18"/>
      <c r="D9131" s="19"/>
      <c r="E9131" s="57"/>
      <c r="H9131" s="18"/>
    </row>
    <row r="9132">
      <c r="C9132" s="18"/>
      <c r="D9132" s="19"/>
      <c r="E9132" s="57"/>
      <c r="H9132" s="18"/>
    </row>
    <row r="9133">
      <c r="C9133" s="18"/>
      <c r="D9133" s="19"/>
      <c r="E9133" s="57"/>
      <c r="H9133" s="18"/>
    </row>
    <row r="9134">
      <c r="C9134" s="18"/>
      <c r="D9134" s="19"/>
      <c r="E9134" s="57"/>
      <c r="H9134" s="18"/>
    </row>
    <row r="9135">
      <c r="C9135" s="18"/>
      <c r="D9135" s="19"/>
      <c r="E9135" s="57"/>
      <c r="H9135" s="18"/>
    </row>
    <row r="9136">
      <c r="C9136" s="18"/>
      <c r="D9136" s="19"/>
      <c r="E9136" s="57"/>
      <c r="H9136" s="18"/>
    </row>
    <row r="9137">
      <c r="C9137" s="18"/>
      <c r="D9137" s="19"/>
      <c r="E9137" s="57"/>
      <c r="H9137" s="18"/>
    </row>
    <row r="9138">
      <c r="C9138" s="18"/>
      <c r="D9138" s="19"/>
      <c r="E9138" s="57"/>
      <c r="H9138" s="18"/>
    </row>
    <row r="9139">
      <c r="C9139" s="18"/>
      <c r="D9139" s="19"/>
      <c r="E9139" s="57"/>
      <c r="H9139" s="18"/>
    </row>
    <row r="9140">
      <c r="C9140" s="18"/>
      <c r="D9140" s="19"/>
      <c r="E9140" s="57"/>
      <c r="H9140" s="18"/>
    </row>
    <row r="9141">
      <c r="C9141" s="18"/>
      <c r="D9141" s="19"/>
      <c r="E9141" s="57"/>
      <c r="H9141" s="18"/>
    </row>
    <row r="9142">
      <c r="C9142" s="18"/>
      <c r="D9142" s="19"/>
      <c r="E9142" s="57"/>
      <c r="H9142" s="18"/>
    </row>
    <row r="9143">
      <c r="C9143" s="18"/>
      <c r="D9143" s="19"/>
      <c r="E9143" s="57"/>
      <c r="H9143" s="18"/>
    </row>
    <row r="9144">
      <c r="C9144" s="18"/>
      <c r="D9144" s="19"/>
      <c r="E9144" s="57"/>
      <c r="H9144" s="18"/>
    </row>
    <row r="9145">
      <c r="C9145" s="18"/>
      <c r="D9145" s="19"/>
      <c r="E9145" s="57"/>
      <c r="H9145" s="18"/>
    </row>
    <row r="9146">
      <c r="C9146" s="18"/>
      <c r="D9146" s="19"/>
      <c r="E9146" s="57"/>
      <c r="H9146" s="18"/>
    </row>
    <row r="9147">
      <c r="C9147" s="18"/>
      <c r="D9147" s="19"/>
      <c r="E9147" s="57"/>
      <c r="H9147" s="18"/>
    </row>
    <row r="9148">
      <c r="C9148" s="18"/>
      <c r="D9148" s="19"/>
      <c r="E9148" s="57"/>
      <c r="H9148" s="18"/>
    </row>
    <row r="9149">
      <c r="C9149" s="18"/>
      <c r="D9149" s="19"/>
      <c r="E9149" s="57"/>
      <c r="H9149" s="18"/>
    </row>
    <row r="9150">
      <c r="C9150" s="18"/>
      <c r="D9150" s="19"/>
      <c r="E9150" s="57"/>
      <c r="H9150" s="18"/>
    </row>
    <row r="9151">
      <c r="C9151" s="18"/>
      <c r="D9151" s="19"/>
      <c r="E9151" s="57"/>
      <c r="H9151" s="18"/>
    </row>
    <row r="9152">
      <c r="C9152" s="18"/>
      <c r="D9152" s="19"/>
      <c r="E9152" s="57"/>
      <c r="H9152" s="18"/>
    </row>
    <row r="9153">
      <c r="C9153" s="18"/>
      <c r="D9153" s="19"/>
      <c r="E9153" s="57"/>
      <c r="H9153" s="18"/>
    </row>
    <row r="9154">
      <c r="C9154" s="18"/>
      <c r="D9154" s="19"/>
      <c r="E9154" s="57"/>
      <c r="H9154" s="18"/>
    </row>
    <row r="9155">
      <c r="C9155" s="18"/>
      <c r="D9155" s="19"/>
      <c r="E9155" s="57"/>
      <c r="H9155" s="18"/>
    </row>
    <row r="9156">
      <c r="C9156" s="18"/>
      <c r="D9156" s="19"/>
      <c r="E9156" s="57"/>
      <c r="H9156" s="18"/>
    </row>
    <row r="9157">
      <c r="C9157" s="18"/>
      <c r="D9157" s="19"/>
      <c r="E9157" s="57"/>
      <c r="H9157" s="18"/>
    </row>
    <row r="9158">
      <c r="C9158" s="18"/>
      <c r="D9158" s="19"/>
      <c r="E9158" s="57"/>
      <c r="H9158" s="18"/>
    </row>
    <row r="9159">
      <c r="C9159" s="18"/>
      <c r="D9159" s="19"/>
      <c r="E9159" s="57"/>
      <c r="H9159" s="18"/>
    </row>
    <row r="9160">
      <c r="C9160" s="18"/>
      <c r="D9160" s="19"/>
      <c r="E9160" s="57"/>
      <c r="H9160" s="18"/>
    </row>
    <row r="9161">
      <c r="C9161" s="18"/>
      <c r="D9161" s="19"/>
      <c r="E9161" s="57"/>
      <c r="H9161" s="18"/>
    </row>
    <row r="9162">
      <c r="C9162" s="18"/>
      <c r="D9162" s="19"/>
      <c r="E9162" s="57"/>
      <c r="H9162" s="18"/>
    </row>
    <row r="9163">
      <c r="C9163" s="18"/>
      <c r="D9163" s="19"/>
      <c r="E9163" s="57"/>
      <c r="H9163" s="18"/>
    </row>
    <row r="9164">
      <c r="C9164" s="18"/>
      <c r="D9164" s="19"/>
      <c r="E9164" s="57"/>
      <c r="H9164" s="18"/>
    </row>
    <row r="9165">
      <c r="C9165" s="18"/>
      <c r="D9165" s="19"/>
      <c r="E9165" s="57"/>
      <c r="H9165" s="18"/>
    </row>
    <row r="9166">
      <c r="C9166" s="18"/>
      <c r="D9166" s="19"/>
      <c r="E9166" s="57"/>
      <c r="H9166" s="18"/>
    </row>
    <row r="9167">
      <c r="C9167" s="18"/>
      <c r="D9167" s="19"/>
      <c r="E9167" s="57"/>
      <c r="H9167" s="18"/>
    </row>
    <row r="9168">
      <c r="C9168" s="18"/>
      <c r="D9168" s="19"/>
      <c r="E9168" s="57"/>
      <c r="H9168" s="18"/>
    </row>
    <row r="9169">
      <c r="C9169" s="18"/>
      <c r="D9169" s="19"/>
      <c r="E9169" s="57"/>
      <c r="H9169" s="18"/>
    </row>
    <row r="9170">
      <c r="C9170" s="18"/>
      <c r="D9170" s="19"/>
      <c r="E9170" s="57"/>
      <c r="H9170" s="18"/>
    </row>
    <row r="9171">
      <c r="C9171" s="18"/>
      <c r="D9171" s="19"/>
      <c r="E9171" s="57"/>
      <c r="H9171" s="18"/>
    </row>
    <row r="9172">
      <c r="C9172" s="18"/>
      <c r="D9172" s="19"/>
      <c r="E9172" s="57"/>
      <c r="H9172" s="18"/>
    </row>
    <row r="9173">
      <c r="C9173" s="18"/>
      <c r="D9173" s="19"/>
      <c r="E9173" s="57"/>
      <c r="H9173" s="18"/>
    </row>
    <row r="9174">
      <c r="C9174" s="18"/>
      <c r="D9174" s="19"/>
      <c r="E9174" s="57"/>
      <c r="H9174" s="18"/>
    </row>
    <row r="9175">
      <c r="C9175" s="18"/>
      <c r="D9175" s="19"/>
      <c r="E9175" s="57"/>
      <c r="H9175" s="18"/>
    </row>
    <row r="9176">
      <c r="C9176" s="18"/>
      <c r="D9176" s="19"/>
      <c r="E9176" s="57"/>
      <c r="H9176" s="18"/>
    </row>
    <row r="9177">
      <c r="C9177" s="18"/>
      <c r="D9177" s="19"/>
      <c r="E9177" s="57"/>
      <c r="H9177" s="18"/>
    </row>
    <row r="9178">
      <c r="C9178" s="18"/>
      <c r="D9178" s="19"/>
      <c r="E9178" s="57"/>
      <c r="H9178" s="18"/>
    </row>
    <row r="9179">
      <c r="C9179" s="18"/>
      <c r="D9179" s="19"/>
      <c r="E9179" s="57"/>
      <c r="H9179" s="18"/>
    </row>
    <row r="9180">
      <c r="C9180" s="18"/>
      <c r="D9180" s="19"/>
      <c r="E9180" s="57"/>
      <c r="H9180" s="18"/>
    </row>
    <row r="9181">
      <c r="C9181" s="18"/>
      <c r="D9181" s="19"/>
      <c r="E9181" s="57"/>
      <c r="H9181" s="18"/>
    </row>
    <row r="9182">
      <c r="C9182" s="18"/>
      <c r="D9182" s="19"/>
      <c r="E9182" s="57"/>
      <c r="H9182" s="18"/>
    </row>
    <row r="9183">
      <c r="C9183" s="18"/>
      <c r="D9183" s="19"/>
      <c r="E9183" s="57"/>
      <c r="H9183" s="18"/>
    </row>
    <row r="9184">
      <c r="C9184" s="18"/>
      <c r="D9184" s="19"/>
      <c r="E9184" s="57"/>
      <c r="H9184" s="18"/>
    </row>
    <row r="9185">
      <c r="C9185" s="18"/>
      <c r="D9185" s="19"/>
      <c r="E9185" s="57"/>
      <c r="H9185" s="18"/>
    </row>
    <row r="9186">
      <c r="C9186" s="18"/>
      <c r="D9186" s="19"/>
      <c r="E9186" s="57"/>
      <c r="H9186" s="18"/>
    </row>
    <row r="9187">
      <c r="C9187" s="18"/>
      <c r="D9187" s="19"/>
      <c r="E9187" s="57"/>
      <c r="H9187" s="18"/>
    </row>
    <row r="9188">
      <c r="C9188" s="18"/>
      <c r="D9188" s="19"/>
      <c r="E9188" s="57"/>
      <c r="H9188" s="18"/>
    </row>
    <row r="9189">
      <c r="C9189" s="18"/>
      <c r="D9189" s="19"/>
      <c r="E9189" s="57"/>
      <c r="H9189" s="18"/>
    </row>
    <row r="9190">
      <c r="C9190" s="18"/>
      <c r="D9190" s="19"/>
      <c r="E9190" s="57"/>
      <c r="H9190" s="18"/>
    </row>
    <row r="9191">
      <c r="C9191" s="18"/>
      <c r="D9191" s="19"/>
      <c r="E9191" s="57"/>
      <c r="H9191" s="18"/>
    </row>
    <row r="9192">
      <c r="C9192" s="18"/>
      <c r="D9192" s="19"/>
      <c r="E9192" s="57"/>
      <c r="H9192" s="18"/>
    </row>
    <row r="9193">
      <c r="C9193" s="18"/>
      <c r="D9193" s="19"/>
      <c r="E9193" s="57"/>
      <c r="H9193" s="18"/>
    </row>
    <row r="9194">
      <c r="C9194" s="18"/>
      <c r="D9194" s="19"/>
      <c r="E9194" s="57"/>
      <c r="H9194" s="18"/>
    </row>
    <row r="9195">
      <c r="C9195" s="18"/>
      <c r="D9195" s="19"/>
      <c r="E9195" s="57"/>
      <c r="H9195" s="18"/>
    </row>
    <row r="9196">
      <c r="C9196" s="18"/>
      <c r="D9196" s="19"/>
      <c r="E9196" s="57"/>
      <c r="H9196" s="18"/>
    </row>
    <row r="9197">
      <c r="C9197" s="18"/>
      <c r="D9197" s="19"/>
      <c r="E9197" s="57"/>
      <c r="H9197" s="18"/>
    </row>
    <row r="9198">
      <c r="C9198" s="18"/>
      <c r="D9198" s="19"/>
      <c r="E9198" s="57"/>
      <c r="H9198" s="18"/>
    </row>
    <row r="9199">
      <c r="C9199" s="18"/>
      <c r="D9199" s="19"/>
      <c r="E9199" s="57"/>
      <c r="H9199" s="18"/>
    </row>
    <row r="9200">
      <c r="C9200" s="18"/>
      <c r="D9200" s="19"/>
      <c r="E9200" s="57"/>
      <c r="H9200" s="18"/>
    </row>
    <row r="9201">
      <c r="C9201" s="18"/>
      <c r="D9201" s="19"/>
      <c r="E9201" s="57"/>
      <c r="H9201" s="18"/>
    </row>
    <row r="9202">
      <c r="C9202" s="18"/>
      <c r="D9202" s="19"/>
      <c r="E9202" s="57"/>
      <c r="H9202" s="18"/>
    </row>
    <row r="9203">
      <c r="C9203" s="18"/>
      <c r="D9203" s="19"/>
      <c r="E9203" s="57"/>
      <c r="H9203" s="18"/>
    </row>
    <row r="9204">
      <c r="C9204" s="18"/>
      <c r="D9204" s="19"/>
      <c r="E9204" s="57"/>
      <c r="H9204" s="18"/>
    </row>
    <row r="9205">
      <c r="C9205" s="18"/>
      <c r="D9205" s="19"/>
      <c r="E9205" s="57"/>
      <c r="H9205" s="18"/>
    </row>
    <row r="9206">
      <c r="C9206" s="18"/>
      <c r="D9206" s="19"/>
      <c r="E9206" s="57"/>
      <c r="H9206" s="18"/>
    </row>
    <row r="9207">
      <c r="C9207" s="18"/>
      <c r="D9207" s="19"/>
      <c r="E9207" s="57"/>
      <c r="H9207" s="18"/>
    </row>
    <row r="9208">
      <c r="C9208" s="18"/>
      <c r="D9208" s="19"/>
      <c r="E9208" s="57"/>
      <c r="H9208" s="18"/>
    </row>
    <row r="9209">
      <c r="C9209" s="18"/>
      <c r="D9209" s="19"/>
      <c r="E9209" s="57"/>
      <c r="H9209" s="18"/>
    </row>
    <row r="9210">
      <c r="C9210" s="18"/>
      <c r="D9210" s="19"/>
      <c r="E9210" s="57"/>
      <c r="H9210" s="18"/>
    </row>
    <row r="9211">
      <c r="C9211" s="18"/>
      <c r="D9211" s="19"/>
      <c r="E9211" s="57"/>
      <c r="H9211" s="18"/>
    </row>
    <row r="9212">
      <c r="C9212" s="18"/>
      <c r="D9212" s="19"/>
      <c r="E9212" s="57"/>
      <c r="H9212" s="18"/>
    </row>
    <row r="9213">
      <c r="C9213" s="18"/>
      <c r="D9213" s="19"/>
      <c r="E9213" s="57"/>
      <c r="H9213" s="18"/>
    </row>
    <row r="9214">
      <c r="C9214" s="18"/>
      <c r="D9214" s="19"/>
      <c r="E9214" s="57"/>
      <c r="H9214" s="18"/>
    </row>
    <row r="9215">
      <c r="C9215" s="18"/>
      <c r="D9215" s="19"/>
      <c r="E9215" s="57"/>
      <c r="H9215" s="18"/>
    </row>
    <row r="9216">
      <c r="C9216" s="18"/>
      <c r="D9216" s="19"/>
      <c r="E9216" s="57"/>
      <c r="H9216" s="18"/>
    </row>
    <row r="9217">
      <c r="C9217" s="18"/>
      <c r="D9217" s="19"/>
      <c r="E9217" s="57"/>
      <c r="H9217" s="18"/>
    </row>
    <row r="9218">
      <c r="C9218" s="18"/>
      <c r="D9218" s="19"/>
      <c r="E9218" s="57"/>
      <c r="H9218" s="18"/>
    </row>
    <row r="9219">
      <c r="C9219" s="18"/>
      <c r="D9219" s="19"/>
      <c r="E9219" s="57"/>
      <c r="H9219" s="18"/>
    </row>
    <row r="9220">
      <c r="C9220" s="18"/>
      <c r="D9220" s="19"/>
      <c r="E9220" s="57"/>
      <c r="H9220" s="18"/>
    </row>
    <row r="9221">
      <c r="C9221" s="18"/>
      <c r="D9221" s="19"/>
      <c r="E9221" s="57"/>
      <c r="H9221" s="18"/>
    </row>
    <row r="9222">
      <c r="C9222" s="18"/>
      <c r="D9222" s="19"/>
      <c r="E9222" s="57"/>
      <c r="H9222" s="18"/>
    </row>
    <row r="9223">
      <c r="C9223" s="18"/>
      <c r="D9223" s="19"/>
      <c r="E9223" s="57"/>
      <c r="H9223" s="18"/>
    </row>
    <row r="9224">
      <c r="C9224" s="18"/>
      <c r="D9224" s="19"/>
      <c r="E9224" s="57"/>
      <c r="H9224" s="18"/>
    </row>
    <row r="9225">
      <c r="C9225" s="18"/>
      <c r="D9225" s="19"/>
      <c r="E9225" s="57"/>
      <c r="H9225" s="18"/>
    </row>
    <row r="9226">
      <c r="C9226" s="18"/>
      <c r="D9226" s="19"/>
      <c r="E9226" s="57"/>
      <c r="H9226" s="18"/>
    </row>
    <row r="9227">
      <c r="C9227" s="18"/>
      <c r="D9227" s="19"/>
      <c r="E9227" s="57"/>
      <c r="H9227" s="18"/>
    </row>
    <row r="9228">
      <c r="C9228" s="18"/>
      <c r="D9228" s="19"/>
      <c r="E9228" s="57"/>
      <c r="H9228" s="18"/>
    </row>
    <row r="9229">
      <c r="C9229" s="18"/>
      <c r="D9229" s="19"/>
      <c r="E9229" s="57"/>
      <c r="H9229" s="18"/>
    </row>
    <row r="9230">
      <c r="C9230" s="18"/>
      <c r="D9230" s="19"/>
      <c r="E9230" s="57"/>
      <c r="H9230" s="18"/>
    </row>
    <row r="9231">
      <c r="C9231" s="18"/>
      <c r="D9231" s="19"/>
      <c r="E9231" s="57"/>
      <c r="H9231" s="18"/>
    </row>
    <row r="9232">
      <c r="C9232" s="18"/>
      <c r="D9232" s="19"/>
      <c r="E9232" s="57"/>
      <c r="H9232" s="18"/>
    </row>
    <row r="9233">
      <c r="C9233" s="18"/>
      <c r="D9233" s="19"/>
      <c r="E9233" s="57"/>
      <c r="H9233" s="18"/>
    </row>
    <row r="9234">
      <c r="C9234" s="18"/>
      <c r="D9234" s="19"/>
      <c r="E9234" s="57"/>
      <c r="H9234" s="18"/>
    </row>
    <row r="9235">
      <c r="C9235" s="18"/>
      <c r="D9235" s="19"/>
      <c r="E9235" s="57"/>
      <c r="H9235" s="18"/>
    </row>
    <row r="9236">
      <c r="C9236" s="18"/>
      <c r="D9236" s="19"/>
      <c r="E9236" s="57"/>
      <c r="H9236" s="18"/>
    </row>
    <row r="9237">
      <c r="C9237" s="18"/>
      <c r="D9237" s="19"/>
      <c r="E9237" s="57"/>
      <c r="H9237" s="18"/>
    </row>
    <row r="9238">
      <c r="C9238" s="18"/>
      <c r="D9238" s="19"/>
      <c r="E9238" s="57"/>
      <c r="H9238" s="18"/>
    </row>
    <row r="9239">
      <c r="C9239" s="18"/>
      <c r="D9239" s="19"/>
      <c r="E9239" s="57"/>
      <c r="H9239" s="18"/>
    </row>
    <row r="9240">
      <c r="C9240" s="18"/>
      <c r="D9240" s="19"/>
      <c r="E9240" s="57"/>
      <c r="H9240" s="18"/>
    </row>
    <row r="9241">
      <c r="C9241" s="18"/>
      <c r="D9241" s="19"/>
      <c r="E9241" s="57"/>
      <c r="H9241" s="18"/>
    </row>
    <row r="9242">
      <c r="C9242" s="18"/>
      <c r="D9242" s="19"/>
      <c r="E9242" s="57"/>
      <c r="H9242" s="18"/>
    </row>
    <row r="9243">
      <c r="C9243" s="18"/>
      <c r="D9243" s="19"/>
      <c r="E9243" s="57"/>
      <c r="H9243" s="18"/>
    </row>
    <row r="9244">
      <c r="C9244" s="18"/>
      <c r="D9244" s="19"/>
      <c r="E9244" s="57"/>
      <c r="H9244" s="18"/>
    </row>
    <row r="9245">
      <c r="C9245" s="18"/>
      <c r="D9245" s="19"/>
      <c r="E9245" s="57"/>
      <c r="H9245" s="18"/>
    </row>
    <row r="9246">
      <c r="C9246" s="18"/>
      <c r="D9246" s="19"/>
      <c r="E9246" s="57"/>
      <c r="H9246" s="18"/>
    </row>
    <row r="9247">
      <c r="C9247" s="18"/>
      <c r="D9247" s="19"/>
      <c r="E9247" s="57"/>
      <c r="H9247" s="18"/>
    </row>
    <row r="9248">
      <c r="C9248" s="18"/>
      <c r="D9248" s="19"/>
      <c r="E9248" s="57"/>
      <c r="H9248" s="18"/>
    </row>
    <row r="9249">
      <c r="C9249" s="18"/>
      <c r="D9249" s="19"/>
      <c r="E9249" s="57"/>
      <c r="H9249" s="18"/>
    </row>
    <row r="9250">
      <c r="C9250" s="18"/>
      <c r="D9250" s="19"/>
      <c r="E9250" s="57"/>
      <c r="H9250" s="18"/>
    </row>
    <row r="9251">
      <c r="C9251" s="18"/>
      <c r="D9251" s="19"/>
      <c r="E9251" s="57"/>
      <c r="H9251" s="18"/>
    </row>
    <row r="9252">
      <c r="C9252" s="18"/>
      <c r="D9252" s="19"/>
      <c r="E9252" s="57"/>
      <c r="H9252" s="18"/>
    </row>
    <row r="9253">
      <c r="C9253" s="18"/>
      <c r="D9253" s="19"/>
      <c r="E9253" s="57"/>
      <c r="H9253" s="18"/>
    </row>
    <row r="9254">
      <c r="C9254" s="18"/>
      <c r="D9254" s="19"/>
      <c r="E9254" s="57"/>
      <c r="H9254" s="18"/>
    </row>
    <row r="9255">
      <c r="C9255" s="18"/>
      <c r="D9255" s="19"/>
      <c r="E9255" s="57"/>
      <c r="H9255" s="18"/>
    </row>
    <row r="9256">
      <c r="C9256" s="18"/>
      <c r="D9256" s="19"/>
      <c r="E9256" s="57"/>
      <c r="H9256" s="18"/>
    </row>
    <row r="9257">
      <c r="C9257" s="18"/>
      <c r="D9257" s="19"/>
      <c r="E9257" s="57"/>
      <c r="H9257" s="18"/>
    </row>
    <row r="9258">
      <c r="C9258" s="18"/>
      <c r="D9258" s="19"/>
      <c r="E9258" s="57"/>
      <c r="H9258" s="18"/>
    </row>
    <row r="9259">
      <c r="C9259" s="18"/>
      <c r="D9259" s="19"/>
      <c r="E9259" s="57"/>
      <c r="H9259" s="18"/>
    </row>
    <row r="9260">
      <c r="C9260" s="18"/>
      <c r="D9260" s="19"/>
      <c r="E9260" s="57"/>
      <c r="H9260" s="18"/>
    </row>
    <row r="9261">
      <c r="C9261" s="18"/>
      <c r="D9261" s="19"/>
      <c r="E9261" s="57"/>
      <c r="H9261" s="18"/>
    </row>
    <row r="9262">
      <c r="C9262" s="18"/>
      <c r="D9262" s="19"/>
      <c r="E9262" s="57"/>
      <c r="H9262" s="18"/>
    </row>
    <row r="9263">
      <c r="C9263" s="18"/>
      <c r="D9263" s="19"/>
      <c r="E9263" s="57"/>
      <c r="H9263" s="18"/>
    </row>
    <row r="9264">
      <c r="C9264" s="18"/>
      <c r="D9264" s="19"/>
      <c r="E9264" s="57"/>
      <c r="H9264" s="18"/>
    </row>
    <row r="9265">
      <c r="C9265" s="18"/>
      <c r="D9265" s="19"/>
      <c r="E9265" s="57"/>
      <c r="H9265" s="18"/>
    </row>
    <row r="9266">
      <c r="C9266" s="18"/>
      <c r="D9266" s="19"/>
      <c r="E9266" s="57"/>
      <c r="H9266" s="18"/>
    </row>
    <row r="9267">
      <c r="C9267" s="18"/>
      <c r="D9267" s="19"/>
      <c r="E9267" s="57"/>
      <c r="H9267" s="18"/>
    </row>
    <row r="9268">
      <c r="C9268" s="18"/>
      <c r="D9268" s="19"/>
      <c r="E9268" s="57"/>
      <c r="H9268" s="18"/>
    </row>
    <row r="9269">
      <c r="C9269" s="18"/>
      <c r="D9269" s="19"/>
      <c r="E9269" s="57"/>
      <c r="H9269" s="18"/>
    </row>
    <row r="9270">
      <c r="C9270" s="18"/>
      <c r="D9270" s="19"/>
      <c r="E9270" s="57"/>
      <c r="H9270" s="18"/>
    </row>
    <row r="9271">
      <c r="C9271" s="18"/>
      <c r="D9271" s="19"/>
      <c r="E9271" s="57"/>
      <c r="H9271" s="18"/>
    </row>
    <row r="9272">
      <c r="C9272" s="18"/>
      <c r="D9272" s="19"/>
      <c r="E9272" s="57"/>
      <c r="H9272" s="18"/>
    </row>
    <row r="9273">
      <c r="C9273" s="18"/>
      <c r="D9273" s="19"/>
      <c r="E9273" s="57"/>
      <c r="H9273" s="18"/>
    </row>
    <row r="9274">
      <c r="C9274" s="18"/>
      <c r="D9274" s="19"/>
      <c r="E9274" s="57"/>
      <c r="H9274" s="18"/>
    </row>
    <row r="9275">
      <c r="C9275" s="18"/>
      <c r="D9275" s="19"/>
      <c r="E9275" s="57"/>
      <c r="H9275" s="18"/>
    </row>
    <row r="9276">
      <c r="C9276" s="18"/>
      <c r="D9276" s="19"/>
      <c r="E9276" s="57"/>
      <c r="H9276" s="18"/>
    </row>
    <row r="9277">
      <c r="C9277" s="18"/>
      <c r="D9277" s="19"/>
      <c r="E9277" s="57"/>
      <c r="H9277" s="18"/>
    </row>
    <row r="9278">
      <c r="C9278" s="18"/>
      <c r="D9278" s="19"/>
      <c r="E9278" s="57"/>
      <c r="H9278" s="18"/>
    </row>
    <row r="9279">
      <c r="C9279" s="18"/>
      <c r="D9279" s="19"/>
      <c r="E9279" s="57"/>
      <c r="H9279" s="18"/>
    </row>
    <row r="9280">
      <c r="C9280" s="18"/>
      <c r="D9280" s="19"/>
      <c r="E9280" s="57"/>
      <c r="H9280" s="18"/>
    </row>
    <row r="9281">
      <c r="C9281" s="18"/>
      <c r="D9281" s="19"/>
      <c r="E9281" s="57"/>
      <c r="H9281" s="18"/>
    </row>
    <row r="9282">
      <c r="C9282" s="18"/>
      <c r="D9282" s="19"/>
      <c r="E9282" s="57"/>
      <c r="H9282" s="18"/>
    </row>
    <row r="9283">
      <c r="C9283" s="18"/>
      <c r="D9283" s="19"/>
      <c r="E9283" s="57"/>
      <c r="H9283" s="18"/>
    </row>
    <row r="9284">
      <c r="C9284" s="18"/>
      <c r="D9284" s="19"/>
      <c r="E9284" s="57"/>
      <c r="H9284" s="18"/>
    </row>
    <row r="9285">
      <c r="C9285" s="18"/>
      <c r="D9285" s="19"/>
      <c r="E9285" s="57"/>
      <c r="H9285" s="18"/>
    </row>
    <row r="9286">
      <c r="C9286" s="18"/>
      <c r="D9286" s="19"/>
      <c r="E9286" s="57"/>
      <c r="H9286" s="18"/>
    </row>
    <row r="9287">
      <c r="C9287" s="18"/>
      <c r="D9287" s="19"/>
      <c r="E9287" s="57"/>
      <c r="H9287" s="18"/>
    </row>
    <row r="9288">
      <c r="C9288" s="18"/>
      <c r="D9288" s="19"/>
      <c r="E9288" s="57"/>
      <c r="H9288" s="18"/>
    </row>
    <row r="9289">
      <c r="C9289" s="18"/>
      <c r="D9289" s="19"/>
      <c r="E9289" s="57"/>
      <c r="H9289" s="18"/>
    </row>
    <row r="9290">
      <c r="C9290" s="18"/>
      <c r="D9290" s="19"/>
      <c r="E9290" s="57"/>
      <c r="H9290" s="18"/>
    </row>
    <row r="9291">
      <c r="C9291" s="18"/>
      <c r="D9291" s="19"/>
      <c r="E9291" s="57"/>
      <c r="H9291" s="18"/>
    </row>
    <row r="9292">
      <c r="C9292" s="18"/>
      <c r="D9292" s="19"/>
      <c r="E9292" s="57"/>
      <c r="H9292" s="18"/>
    </row>
    <row r="9293">
      <c r="C9293" s="18"/>
      <c r="D9293" s="19"/>
      <c r="E9293" s="57"/>
      <c r="H9293" s="18"/>
    </row>
    <row r="9294">
      <c r="C9294" s="18"/>
      <c r="D9294" s="19"/>
      <c r="E9294" s="57"/>
      <c r="H9294" s="18"/>
    </row>
    <row r="9295">
      <c r="C9295" s="18"/>
      <c r="D9295" s="19"/>
      <c r="E9295" s="57"/>
      <c r="H9295" s="18"/>
    </row>
    <row r="9296">
      <c r="C9296" s="18"/>
      <c r="D9296" s="19"/>
      <c r="E9296" s="57"/>
      <c r="H9296" s="18"/>
    </row>
    <row r="9297">
      <c r="C9297" s="18"/>
      <c r="D9297" s="19"/>
      <c r="E9297" s="57"/>
      <c r="H9297" s="18"/>
    </row>
    <row r="9298">
      <c r="C9298" s="18"/>
      <c r="D9298" s="19"/>
      <c r="E9298" s="57"/>
      <c r="H9298" s="18"/>
    </row>
    <row r="9299">
      <c r="C9299" s="18"/>
      <c r="D9299" s="19"/>
      <c r="E9299" s="57"/>
      <c r="H9299" s="18"/>
    </row>
    <row r="9300">
      <c r="C9300" s="18"/>
      <c r="D9300" s="19"/>
      <c r="E9300" s="57"/>
      <c r="H9300" s="18"/>
    </row>
    <row r="9301">
      <c r="C9301" s="18"/>
      <c r="D9301" s="19"/>
      <c r="E9301" s="57"/>
      <c r="H9301" s="18"/>
    </row>
    <row r="9302">
      <c r="C9302" s="18"/>
      <c r="D9302" s="19"/>
      <c r="E9302" s="57"/>
      <c r="H9302" s="18"/>
    </row>
    <row r="9303">
      <c r="C9303" s="18"/>
      <c r="D9303" s="19"/>
      <c r="E9303" s="57"/>
      <c r="H9303" s="18"/>
    </row>
    <row r="9304">
      <c r="C9304" s="18"/>
      <c r="D9304" s="19"/>
      <c r="E9304" s="57"/>
      <c r="H9304" s="18"/>
    </row>
    <row r="9305">
      <c r="C9305" s="18"/>
      <c r="D9305" s="19"/>
      <c r="E9305" s="57"/>
      <c r="H9305" s="18"/>
    </row>
    <row r="9306">
      <c r="C9306" s="18"/>
      <c r="D9306" s="19"/>
      <c r="E9306" s="57"/>
      <c r="H9306" s="18"/>
    </row>
    <row r="9307">
      <c r="C9307" s="18"/>
      <c r="D9307" s="19"/>
      <c r="E9307" s="57"/>
      <c r="H9307" s="18"/>
    </row>
    <row r="9308">
      <c r="C9308" s="18"/>
      <c r="D9308" s="19"/>
      <c r="E9308" s="57"/>
      <c r="H9308" s="18"/>
    </row>
    <row r="9309">
      <c r="C9309" s="18"/>
      <c r="D9309" s="19"/>
      <c r="E9309" s="57"/>
      <c r="H9309" s="18"/>
    </row>
    <row r="9310">
      <c r="C9310" s="18"/>
      <c r="D9310" s="19"/>
      <c r="E9310" s="57"/>
      <c r="H9310" s="18"/>
    </row>
    <row r="9311">
      <c r="C9311" s="18"/>
      <c r="D9311" s="19"/>
      <c r="E9311" s="57"/>
      <c r="H9311" s="18"/>
    </row>
    <row r="9312">
      <c r="C9312" s="18"/>
      <c r="D9312" s="19"/>
      <c r="E9312" s="57"/>
      <c r="H9312" s="18"/>
    </row>
    <row r="9313">
      <c r="C9313" s="18"/>
      <c r="D9313" s="19"/>
      <c r="E9313" s="57"/>
      <c r="H9313" s="18"/>
    </row>
    <row r="9314">
      <c r="C9314" s="18"/>
      <c r="D9314" s="19"/>
      <c r="E9314" s="57"/>
      <c r="H9314" s="18"/>
    </row>
    <row r="9315">
      <c r="C9315" s="18"/>
      <c r="D9315" s="19"/>
      <c r="E9315" s="57"/>
      <c r="H9315" s="18"/>
    </row>
    <row r="9316">
      <c r="C9316" s="18"/>
      <c r="D9316" s="19"/>
      <c r="E9316" s="57"/>
      <c r="H9316" s="18"/>
    </row>
    <row r="9317">
      <c r="C9317" s="18"/>
      <c r="D9317" s="19"/>
      <c r="E9317" s="57"/>
      <c r="H9317" s="18"/>
    </row>
    <row r="9318">
      <c r="C9318" s="18"/>
      <c r="D9318" s="19"/>
      <c r="E9318" s="57"/>
      <c r="H9318" s="18"/>
    </row>
    <row r="9319">
      <c r="C9319" s="18"/>
      <c r="D9319" s="19"/>
      <c r="E9319" s="57"/>
      <c r="H9319" s="18"/>
    </row>
    <row r="9320">
      <c r="C9320" s="18"/>
      <c r="D9320" s="19"/>
      <c r="E9320" s="57"/>
      <c r="H9320" s="18"/>
    </row>
    <row r="9321">
      <c r="C9321" s="18"/>
      <c r="D9321" s="19"/>
      <c r="E9321" s="57"/>
      <c r="H9321" s="18"/>
    </row>
    <row r="9322">
      <c r="C9322" s="18"/>
      <c r="D9322" s="19"/>
      <c r="E9322" s="57"/>
      <c r="H9322" s="18"/>
    </row>
    <row r="9323">
      <c r="C9323" s="18"/>
      <c r="D9323" s="19"/>
      <c r="E9323" s="57"/>
      <c r="H9323" s="18"/>
    </row>
    <row r="9324">
      <c r="C9324" s="18"/>
      <c r="D9324" s="19"/>
      <c r="E9324" s="57"/>
      <c r="H9324" s="18"/>
    </row>
    <row r="9325">
      <c r="C9325" s="18"/>
      <c r="D9325" s="19"/>
      <c r="E9325" s="57"/>
      <c r="H9325" s="18"/>
    </row>
    <row r="9326">
      <c r="C9326" s="18"/>
      <c r="D9326" s="19"/>
      <c r="E9326" s="57"/>
      <c r="H9326" s="18"/>
    </row>
    <row r="9327">
      <c r="C9327" s="18"/>
      <c r="D9327" s="19"/>
      <c r="E9327" s="57"/>
      <c r="H9327" s="18"/>
    </row>
    <row r="9328">
      <c r="C9328" s="18"/>
      <c r="D9328" s="19"/>
      <c r="E9328" s="57"/>
      <c r="H9328" s="18"/>
    </row>
    <row r="9329">
      <c r="C9329" s="18"/>
      <c r="D9329" s="19"/>
      <c r="E9329" s="57"/>
      <c r="H9329" s="18"/>
    </row>
    <row r="9330">
      <c r="C9330" s="18"/>
      <c r="D9330" s="19"/>
      <c r="E9330" s="57"/>
      <c r="H9330" s="18"/>
    </row>
    <row r="9331">
      <c r="C9331" s="18"/>
      <c r="D9331" s="19"/>
      <c r="E9331" s="57"/>
      <c r="H9331" s="18"/>
    </row>
    <row r="9332">
      <c r="C9332" s="18"/>
      <c r="D9332" s="19"/>
      <c r="E9332" s="57"/>
      <c r="H9332" s="18"/>
    </row>
    <row r="9333">
      <c r="C9333" s="18"/>
      <c r="D9333" s="19"/>
      <c r="E9333" s="57"/>
      <c r="H9333" s="18"/>
    </row>
    <row r="9334">
      <c r="C9334" s="18"/>
      <c r="D9334" s="19"/>
      <c r="E9334" s="57"/>
      <c r="H9334" s="18"/>
    </row>
    <row r="9335">
      <c r="C9335" s="18"/>
      <c r="D9335" s="19"/>
      <c r="E9335" s="57"/>
      <c r="H9335" s="18"/>
    </row>
    <row r="9336">
      <c r="C9336" s="18"/>
      <c r="D9336" s="19"/>
      <c r="E9336" s="57"/>
      <c r="H9336" s="18"/>
    </row>
    <row r="9337">
      <c r="C9337" s="18"/>
      <c r="D9337" s="19"/>
      <c r="E9337" s="57"/>
      <c r="H9337" s="18"/>
    </row>
    <row r="9338">
      <c r="C9338" s="18"/>
      <c r="D9338" s="19"/>
      <c r="E9338" s="57"/>
      <c r="H9338" s="18"/>
    </row>
    <row r="9339">
      <c r="C9339" s="18"/>
      <c r="D9339" s="19"/>
      <c r="E9339" s="57"/>
      <c r="H9339" s="18"/>
    </row>
    <row r="9340">
      <c r="C9340" s="18"/>
      <c r="D9340" s="19"/>
      <c r="E9340" s="57"/>
      <c r="H9340" s="18"/>
    </row>
    <row r="9341">
      <c r="C9341" s="18"/>
      <c r="D9341" s="19"/>
      <c r="E9341" s="57"/>
      <c r="H9341" s="18"/>
    </row>
    <row r="9342">
      <c r="C9342" s="18"/>
      <c r="D9342" s="19"/>
      <c r="E9342" s="57"/>
      <c r="H9342" s="18"/>
    </row>
    <row r="9343">
      <c r="C9343" s="18"/>
      <c r="D9343" s="19"/>
      <c r="E9343" s="57"/>
      <c r="H9343" s="18"/>
    </row>
    <row r="9344">
      <c r="C9344" s="18"/>
      <c r="D9344" s="19"/>
      <c r="E9344" s="57"/>
      <c r="H9344" s="18"/>
    </row>
    <row r="9345">
      <c r="C9345" s="18"/>
      <c r="D9345" s="19"/>
      <c r="E9345" s="57"/>
      <c r="H9345" s="18"/>
    </row>
    <row r="9346">
      <c r="C9346" s="18"/>
      <c r="D9346" s="19"/>
      <c r="E9346" s="57"/>
      <c r="H9346" s="18"/>
    </row>
    <row r="9347">
      <c r="C9347" s="18"/>
      <c r="D9347" s="19"/>
      <c r="E9347" s="57"/>
      <c r="H9347" s="18"/>
    </row>
    <row r="9348">
      <c r="C9348" s="18"/>
      <c r="D9348" s="19"/>
      <c r="E9348" s="57"/>
      <c r="H9348" s="18"/>
    </row>
    <row r="9349">
      <c r="C9349" s="18"/>
      <c r="D9349" s="19"/>
      <c r="E9349" s="57"/>
      <c r="H9349" s="18"/>
    </row>
    <row r="9350">
      <c r="C9350" s="18"/>
      <c r="D9350" s="19"/>
      <c r="E9350" s="57"/>
      <c r="H9350" s="18"/>
    </row>
    <row r="9351">
      <c r="C9351" s="18"/>
      <c r="D9351" s="19"/>
      <c r="E9351" s="57"/>
      <c r="H9351" s="18"/>
    </row>
    <row r="9352">
      <c r="C9352" s="18"/>
      <c r="D9352" s="19"/>
      <c r="E9352" s="57"/>
      <c r="H9352" s="18"/>
    </row>
    <row r="9353">
      <c r="C9353" s="18"/>
      <c r="D9353" s="19"/>
      <c r="E9353" s="57"/>
      <c r="H9353" s="18"/>
    </row>
    <row r="9354">
      <c r="C9354" s="18"/>
      <c r="D9354" s="19"/>
      <c r="E9354" s="57"/>
      <c r="H9354" s="18"/>
    </row>
    <row r="9355">
      <c r="C9355" s="18"/>
      <c r="D9355" s="19"/>
      <c r="E9355" s="57"/>
      <c r="H9355" s="18"/>
    </row>
    <row r="9356">
      <c r="C9356" s="18"/>
      <c r="D9356" s="19"/>
      <c r="E9356" s="57"/>
      <c r="H9356" s="18"/>
    </row>
    <row r="9357">
      <c r="C9357" s="18"/>
      <c r="D9357" s="19"/>
      <c r="E9357" s="57"/>
      <c r="H9357" s="18"/>
    </row>
    <row r="9358">
      <c r="C9358" s="18"/>
      <c r="D9358" s="19"/>
      <c r="E9358" s="57"/>
      <c r="H9358" s="18"/>
    </row>
    <row r="9359">
      <c r="C9359" s="18"/>
      <c r="D9359" s="19"/>
      <c r="E9359" s="57"/>
      <c r="H9359" s="18"/>
    </row>
    <row r="9360">
      <c r="C9360" s="18"/>
      <c r="D9360" s="19"/>
      <c r="E9360" s="57"/>
      <c r="H9360" s="18"/>
    </row>
    <row r="9361">
      <c r="C9361" s="18"/>
      <c r="D9361" s="19"/>
      <c r="E9361" s="57"/>
      <c r="H9361" s="18"/>
    </row>
    <row r="9362">
      <c r="C9362" s="18"/>
      <c r="D9362" s="19"/>
      <c r="E9362" s="57"/>
      <c r="H9362" s="18"/>
    </row>
    <row r="9363">
      <c r="C9363" s="18"/>
      <c r="D9363" s="19"/>
      <c r="E9363" s="57"/>
      <c r="H9363" s="18"/>
    </row>
    <row r="9364">
      <c r="C9364" s="18"/>
      <c r="D9364" s="19"/>
      <c r="E9364" s="57"/>
      <c r="H9364" s="18"/>
    </row>
    <row r="9365">
      <c r="C9365" s="18"/>
      <c r="D9365" s="19"/>
      <c r="E9365" s="57"/>
      <c r="H9365" s="18"/>
    </row>
    <row r="9366">
      <c r="C9366" s="18"/>
      <c r="D9366" s="19"/>
      <c r="E9366" s="57"/>
      <c r="H9366" s="18"/>
    </row>
    <row r="9367">
      <c r="C9367" s="18"/>
      <c r="D9367" s="19"/>
      <c r="E9367" s="57"/>
      <c r="H9367" s="18"/>
    </row>
    <row r="9368">
      <c r="C9368" s="18"/>
      <c r="D9368" s="19"/>
      <c r="E9368" s="57"/>
      <c r="H9368" s="18"/>
    </row>
    <row r="9369">
      <c r="C9369" s="18"/>
      <c r="D9369" s="19"/>
      <c r="E9369" s="57"/>
      <c r="H9369" s="18"/>
    </row>
    <row r="9370">
      <c r="C9370" s="18"/>
      <c r="D9370" s="19"/>
      <c r="E9370" s="57"/>
      <c r="H9370" s="18"/>
    </row>
    <row r="9371">
      <c r="C9371" s="18"/>
      <c r="D9371" s="19"/>
      <c r="E9371" s="57"/>
      <c r="H9371" s="18"/>
    </row>
    <row r="9372">
      <c r="C9372" s="18"/>
      <c r="D9372" s="19"/>
      <c r="E9372" s="57"/>
      <c r="H9372" s="18"/>
    </row>
    <row r="9373">
      <c r="C9373" s="18"/>
      <c r="D9373" s="19"/>
      <c r="E9373" s="57"/>
      <c r="H9373" s="18"/>
    </row>
    <row r="9374">
      <c r="C9374" s="18"/>
      <c r="D9374" s="19"/>
      <c r="E9374" s="57"/>
      <c r="H9374" s="18"/>
    </row>
    <row r="9375">
      <c r="C9375" s="18"/>
      <c r="D9375" s="19"/>
      <c r="E9375" s="57"/>
      <c r="H9375" s="18"/>
    </row>
    <row r="9376">
      <c r="C9376" s="18"/>
      <c r="D9376" s="19"/>
      <c r="E9376" s="57"/>
      <c r="H9376" s="18"/>
    </row>
    <row r="9377">
      <c r="C9377" s="18"/>
      <c r="D9377" s="19"/>
      <c r="E9377" s="57"/>
      <c r="H9377" s="18"/>
    </row>
    <row r="9378">
      <c r="C9378" s="18"/>
      <c r="D9378" s="19"/>
      <c r="E9378" s="57"/>
      <c r="H9378" s="18"/>
    </row>
    <row r="9379">
      <c r="C9379" s="18"/>
      <c r="D9379" s="19"/>
      <c r="E9379" s="57"/>
      <c r="H9379" s="18"/>
    </row>
    <row r="9380">
      <c r="C9380" s="18"/>
      <c r="D9380" s="19"/>
      <c r="E9380" s="57"/>
      <c r="H9380" s="18"/>
    </row>
    <row r="9381">
      <c r="C9381" s="18"/>
      <c r="D9381" s="19"/>
      <c r="E9381" s="57"/>
      <c r="H9381" s="18"/>
    </row>
    <row r="9382">
      <c r="C9382" s="18"/>
      <c r="D9382" s="19"/>
      <c r="E9382" s="57"/>
      <c r="H9382" s="18"/>
    </row>
    <row r="9383">
      <c r="C9383" s="18"/>
      <c r="D9383" s="19"/>
      <c r="E9383" s="57"/>
      <c r="H9383" s="18"/>
    </row>
    <row r="9384">
      <c r="C9384" s="18"/>
      <c r="D9384" s="19"/>
      <c r="E9384" s="57"/>
      <c r="H9384" s="18"/>
    </row>
    <row r="9385">
      <c r="C9385" s="18"/>
      <c r="D9385" s="19"/>
      <c r="E9385" s="57"/>
      <c r="H9385" s="18"/>
    </row>
    <row r="9386">
      <c r="C9386" s="18"/>
      <c r="D9386" s="19"/>
      <c r="E9386" s="57"/>
      <c r="H9386" s="18"/>
    </row>
    <row r="9387">
      <c r="C9387" s="18"/>
      <c r="D9387" s="19"/>
      <c r="E9387" s="57"/>
      <c r="H9387" s="18"/>
    </row>
    <row r="9388">
      <c r="C9388" s="18"/>
      <c r="D9388" s="19"/>
      <c r="E9388" s="57"/>
      <c r="H9388" s="18"/>
    </row>
    <row r="9389">
      <c r="C9389" s="18"/>
      <c r="D9389" s="19"/>
      <c r="E9389" s="57"/>
      <c r="H9389" s="18"/>
    </row>
    <row r="9390">
      <c r="C9390" s="18"/>
      <c r="D9390" s="19"/>
      <c r="E9390" s="57"/>
      <c r="H9390" s="18"/>
    </row>
    <row r="9391">
      <c r="C9391" s="18"/>
      <c r="D9391" s="19"/>
      <c r="E9391" s="57"/>
      <c r="H9391" s="18"/>
    </row>
    <row r="9392">
      <c r="C9392" s="18"/>
      <c r="D9392" s="19"/>
      <c r="E9392" s="57"/>
      <c r="H9392" s="18"/>
    </row>
    <row r="9393">
      <c r="C9393" s="18"/>
      <c r="D9393" s="19"/>
      <c r="E9393" s="57"/>
      <c r="H9393" s="18"/>
    </row>
    <row r="9394">
      <c r="C9394" s="18"/>
      <c r="D9394" s="19"/>
      <c r="E9394" s="57"/>
      <c r="H9394" s="18"/>
    </row>
    <row r="9395">
      <c r="C9395" s="18"/>
      <c r="D9395" s="19"/>
      <c r="E9395" s="57"/>
      <c r="H9395" s="18"/>
    </row>
    <row r="9396">
      <c r="C9396" s="18"/>
      <c r="D9396" s="19"/>
      <c r="E9396" s="57"/>
      <c r="H9396" s="18"/>
    </row>
    <row r="9397">
      <c r="C9397" s="18"/>
      <c r="D9397" s="19"/>
      <c r="E9397" s="57"/>
      <c r="H9397" s="18"/>
    </row>
    <row r="9398">
      <c r="C9398" s="18"/>
      <c r="D9398" s="19"/>
      <c r="E9398" s="57"/>
      <c r="H9398" s="18"/>
    </row>
    <row r="9399">
      <c r="C9399" s="18"/>
      <c r="D9399" s="19"/>
      <c r="E9399" s="57"/>
      <c r="H9399" s="18"/>
    </row>
    <row r="9400">
      <c r="C9400" s="18"/>
      <c r="D9400" s="19"/>
      <c r="E9400" s="57"/>
      <c r="H9400" s="18"/>
    </row>
    <row r="9401">
      <c r="C9401" s="18"/>
      <c r="D9401" s="19"/>
      <c r="E9401" s="57"/>
      <c r="H9401" s="18"/>
    </row>
    <row r="9402">
      <c r="C9402" s="18"/>
      <c r="D9402" s="19"/>
      <c r="E9402" s="57"/>
      <c r="H9402" s="18"/>
    </row>
    <row r="9403">
      <c r="C9403" s="18"/>
      <c r="D9403" s="19"/>
      <c r="E9403" s="57"/>
      <c r="H9403" s="18"/>
    </row>
    <row r="9404">
      <c r="C9404" s="18"/>
      <c r="D9404" s="19"/>
      <c r="E9404" s="57"/>
      <c r="H9404" s="18"/>
    </row>
    <row r="9405">
      <c r="C9405" s="18"/>
      <c r="D9405" s="19"/>
      <c r="E9405" s="57"/>
      <c r="H9405" s="18"/>
    </row>
    <row r="9406">
      <c r="C9406" s="18"/>
      <c r="D9406" s="19"/>
      <c r="E9406" s="57"/>
      <c r="H9406" s="18"/>
    </row>
    <row r="9407">
      <c r="C9407" s="18"/>
      <c r="D9407" s="19"/>
      <c r="E9407" s="57"/>
      <c r="H9407" s="18"/>
    </row>
    <row r="9408">
      <c r="C9408" s="18"/>
      <c r="D9408" s="19"/>
      <c r="E9408" s="57"/>
      <c r="H9408" s="18"/>
    </row>
    <row r="9409">
      <c r="C9409" s="18"/>
      <c r="D9409" s="19"/>
      <c r="E9409" s="57"/>
      <c r="H9409" s="18"/>
    </row>
    <row r="9410">
      <c r="C9410" s="18"/>
      <c r="D9410" s="19"/>
      <c r="E9410" s="57"/>
      <c r="H9410" s="18"/>
    </row>
    <row r="9411">
      <c r="C9411" s="18"/>
      <c r="D9411" s="19"/>
      <c r="E9411" s="57"/>
      <c r="H9411" s="18"/>
    </row>
    <row r="9412">
      <c r="C9412" s="18"/>
      <c r="D9412" s="19"/>
      <c r="E9412" s="57"/>
      <c r="H9412" s="18"/>
    </row>
    <row r="9413">
      <c r="C9413" s="18"/>
      <c r="D9413" s="19"/>
      <c r="E9413" s="57"/>
      <c r="H9413" s="18"/>
    </row>
    <row r="9414">
      <c r="C9414" s="18"/>
      <c r="D9414" s="19"/>
      <c r="E9414" s="57"/>
      <c r="H9414" s="18"/>
    </row>
    <row r="9415">
      <c r="C9415" s="18"/>
      <c r="D9415" s="19"/>
      <c r="E9415" s="57"/>
      <c r="H9415" s="18"/>
    </row>
    <row r="9416">
      <c r="C9416" s="18"/>
      <c r="D9416" s="19"/>
      <c r="E9416" s="57"/>
      <c r="H9416" s="18"/>
    </row>
    <row r="9417">
      <c r="C9417" s="18"/>
      <c r="D9417" s="19"/>
      <c r="E9417" s="57"/>
      <c r="H9417" s="18"/>
    </row>
    <row r="9418">
      <c r="C9418" s="18"/>
      <c r="D9418" s="19"/>
      <c r="E9418" s="57"/>
      <c r="H9418" s="18"/>
    </row>
    <row r="9419">
      <c r="C9419" s="18"/>
      <c r="D9419" s="19"/>
      <c r="E9419" s="57"/>
      <c r="H9419" s="18"/>
    </row>
    <row r="9420">
      <c r="C9420" s="18"/>
      <c r="D9420" s="19"/>
      <c r="E9420" s="57"/>
      <c r="H9420" s="18"/>
    </row>
    <row r="9421">
      <c r="C9421" s="18"/>
      <c r="D9421" s="19"/>
      <c r="E9421" s="57"/>
      <c r="H9421" s="18"/>
    </row>
    <row r="9422">
      <c r="C9422" s="18"/>
      <c r="D9422" s="19"/>
      <c r="E9422" s="57"/>
      <c r="H9422" s="18"/>
    </row>
    <row r="9423">
      <c r="C9423" s="18"/>
      <c r="D9423" s="19"/>
      <c r="E9423" s="57"/>
      <c r="H9423" s="18"/>
    </row>
    <row r="9424">
      <c r="C9424" s="18"/>
      <c r="D9424" s="19"/>
      <c r="E9424" s="57"/>
      <c r="H9424" s="18"/>
    </row>
    <row r="9425">
      <c r="C9425" s="18"/>
      <c r="D9425" s="19"/>
      <c r="E9425" s="57"/>
      <c r="H9425" s="18"/>
    </row>
    <row r="9426">
      <c r="C9426" s="18"/>
      <c r="D9426" s="19"/>
      <c r="E9426" s="57"/>
      <c r="H9426" s="18"/>
    </row>
    <row r="9427">
      <c r="C9427" s="18"/>
      <c r="D9427" s="19"/>
      <c r="E9427" s="57"/>
      <c r="H9427" s="18"/>
    </row>
    <row r="9428">
      <c r="C9428" s="18"/>
      <c r="D9428" s="19"/>
      <c r="E9428" s="57"/>
      <c r="H9428" s="18"/>
    </row>
    <row r="9429">
      <c r="C9429" s="18"/>
      <c r="D9429" s="19"/>
      <c r="E9429" s="57"/>
      <c r="H9429" s="18"/>
    </row>
    <row r="9430">
      <c r="C9430" s="18"/>
      <c r="D9430" s="19"/>
      <c r="E9430" s="57"/>
      <c r="H9430" s="18"/>
    </row>
    <row r="9431">
      <c r="C9431" s="18"/>
      <c r="D9431" s="19"/>
      <c r="E9431" s="57"/>
      <c r="H9431" s="18"/>
    </row>
    <row r="9432">
      <c r="C9432" s="18"/>
      <c r="D9432" s="19"/>
      <c r="E9432" s="57"/>
      <c r="H9432" s="18"/>
    </row>
    <row r="9433">
      <c r="C9433" s="18"/>
      <c r="D9433" s="19"/>
      <c r="E9433" s="57"/>
      <c r="H9433" s="18"/>
    </row>
    <row r="9434">
      <c r="C9434" s="18"/>
      <c r="D9434" s="19"/>
      <c r="E9434" s="57"/>
      <c r="H9434" s="18"/>
    </row>
    <row r="9435">
      <c r="C9435" s="18"/>
      <c r="D9435" s="19"/>
      <c r="E9435" s="57"/>
      <c r="H9435" s="18"/>
    </row>
    <row r="9436">
      <c r="C9436" s="18"/>
      <c r="D9436" s="19"/>
      <c r="E9436" s="57"/>
      <c r="H9436" s="18"/>
    </row>
    <row r="9437">
      <c r="C9437" s="18"/>
      <c r="D9437" s="19"/>
      <c r="E9437" s="57"/>
      <c r="H9437" s="18"/>
    </row>
    <row r="9438">
      <c r="C9438" s="18"/>
      <c r="D9438" s="19"/>
      <c r="E9438" s="57"/>
      <c r="H9438" s="18"/>
    </row>
    <row r="9439">
      <c r="C9439" s="18"/>
      <c r="D9439" s="19"/>
      <c r="E9439" s="57"/>
      <c r="H9439" s="18"/>
    </row>
    <row r="9440">
      <c r="C9440" s="18"/>
      <c r="D9440" s="19"/>
      <c r="E9440" s="57"/>
      <c r="H9440" s="18"/>
    </row>
    <row r="9441">
      <c r="C9441" s="18"/>
      <c r="D9441" s="19"/>
      <c r="E9441" s="57"/>
      <c r="H9441" s="18"/>
    </row>
    <row r="9442">
      <c r="C9442" s="18"/>
      <c r="D9442" s="19"/>
      <c r="E9442" s="57"/>
      <c r="H9442" s="18"/>
    </row>
    <row r="9443">
      <c r="C9443" s="18"/>
      <c r="D9443" s="19"/>
      <c r="E9443" s="57"/>
      <c r="H9443" s="18"/>
    </row>
    <row r="9444">
      <c r="C9444" s="18"/>
      <c r="D9444" s="19"/>
      <c r="E9444" s="57"/>
      <c r="H9444" s="18"/>
    </row>
    <row r="9445">
      <c r="C9445" s="18"/>
      <c r="D9445" s="19"/>
      <c r="E9445" s="57"/>
      <c r="H9445" s="18"/>
    </row>
    <row r="9446">
      <c r="C9446" s="18"/>
      <c r="D9446" s="19"/>
      <c r="E9446" s="57"/>
      <c r="H9446" s="18"/>
    </row>
    <row r="9447">
      <c r="C9447" s="18"/>
      <c r="D9447" s="19"/>
      <c r="E9447" s="57"/>
      <c r="H9447" s="18"/>
    </row>
    <row r="9448">
      <c r="C9448" s="18"/>
      <c r="D9448" s="19"/>
      <c r="E9448" s="57"/>
      <c r="H9448" s="18"/>
    </row>
    <row r="9449">
      <c r="C9449" s="18"/>
      <c r="D9449" s="19"/>
      <c r="E9449" s="57"/>
      <c r="H9449" s="18"/>
    </row>
    <row r="9450">
      <c r="C9450" s="18"/>
      <c r="D9450" s="19"/>
      <c r="E9450" s="57"/>
      <c r="H9450" s="18"/>
    </row>
    <row r="9451">
      <c r="C9451" s="18"/>
      <c r="D9451" s="19"/>
      <c r="E9451" s="57"/>
      <c r="H9451" s="18"/>
    </row>
    <row r="9452">
      <c r="C9452" s="18"/>
      <c r="D9452" s="19"/>
      <c r="E9452" s="57"/>
      <c r="H9452" s="18"/>
    </row>
    <row r="9453">
      <c r="C9453" s="18"/>
      <c r="D9453" s="19"/>
      <c r="E9453" s="57"/>
      <c r="H9453" s="18"/>
    </row>
    <row r="9454">
      <c r="C9454" s="18"/>
      <c r="D9454" s="19"/>
      <c r="E9454" s="57"/>
      <c r="H9454" s="18"/>
    </row>
    <row r="9455">
      <c r="C9455" s="18"/>
      <c r="D9455" s="19"/>
      <c r="E9455" s="57"/>
      <c r="H9455" s="18"/>
    </row>
    <row r="9456">
      <c r="C9456" s="18"/>
      <c r="D9456" s="19"/>
      <c r="E9456" s="57"/>
      <c r="H9456" s="18"/>
    </row>
    <row r="9457">
      <c r="C9457" s="18"/>
      <c r="D9457" s="19"/>
      <c r="E9457" s="57"/>
      <c r="H9457" s="18"/>
    </row>
    <row r="9458">
      <c r="C9458" s="18"/>
      <c r="D9458" s="19"/>
      <c r="E9458" s="57"/>
      <c r="H9458" s="18"/>
    </row>
    <row r="9459">
      <c r="C9459" s="18"/>
      <c r="D9459" s="19"/>
      <c r="E9459" s="57"/>
      <c r="H9459" s="18"/>
    </row>
    <row r="9460">
      <c r="C9460" s="18"/>
      <c r="D9460" s="19"/>
      <c r="E9460" s="57"/>
      <c r="H9460" s="18"/>
    </row>
    <row r="9461">
      <c r="C9461" s="18"/>
      <c r="D9461" s="19"/>
      <c r="E9461" s="57"/>
      <c r="H9461" s="18"/>
    </row>
    <row r="9462">
      <c r="C9462" s="18"/>
      <c r="D9462" s="19"/>
      <c r="E9462" s="57"/>
      <c r="H9462" s="18"/>
    </row>
    <row r="9463">
      <c r="C9463" s="18"/>
      <c r="D9463" s="19"/>
      <c r="E9463" s="57"/>
      <c r="H9463" s="18"/>
    </row>
    <row r="9464">
      <c r="C9464" s="18"/>
      <c r="D9464" s="19"/>
      <c r="E9464" s="57"/>
      <c r="H9464" s="18"/>
    </row>
    <row r="9465">
      <c r="C9465" s="18"/>
      <c r="D9465" s="19"/>
      <c r="E9465" s="57"/>
      <c r="H9465" s="18"/>
    </row>
    <row r="9466">
      <c r="C9466" s="18"/>
      <c r="D9466" s="19"/>
      <c r="E9466" s="57"/>
      <c r="H9466" s="18"/>
    </row>
    <row r="9467">
      <c r="C9467" s="18"/>
      <c r="D9467" s="19"/>
      <c r="E9467" s="57"/>
      <c r="H9467" s="18"/>
    </row>
    <row r="9468">
      <c r="C9468" s="18"/>
      <c r="D9468" s="19"/>
      <c r="E9468" s="57"/>
      <c r="H9468" s="18"/>
    </row>
    <row r="9469">
      <c r="C9469" s="18"/>
      <c r="D9469" s="19"/>
      <c r="E9469" s="57"/>
      <c r="H9469" s="18"/>
    </row>
    <row r="9470">
      <c r="C9470" s="18"/>
      <c r="D9470" s="19"/>
      <c r="E9470" s="57"/>
      <c r="H9470" s="18"/>
    </row>
    <row r="9471">
      <c r="C9471" s="18"/>
      <c r="D9471" s="19"/>
      <c r="E9471" s="57"/>
      <c r="H9471" s="18"/>
    </row>
    <row r="9472">
      <c r="C9472" s="18"/>
      <c r="D9472" s="19"/>
      <c r="E9472" s="57"/>
      <c r="H9472" s="18"/>
    </row>
    <row r="9473">
      <c r="C9473" s="18"/>
      <c r="D9473" s="19"/>
      <c r="E9473" s="57"/>
      <c r="H9473" s="18"/>
    </row>
    <row r="9474">
      <c r="C9474" s="18"/>
      <c r="D9474" s="19"/>
      <c r="E9474" s="57"/>
      <c r="H9474" s="18"/>
    </row>
    <row r="9475">
      <c r="C9475" s="18"/>
      <c r="D9475" s="19"/>
      <c r="E9475" s="57"/>
      <c r="H9475" s="18"/>
    </row>
    <row r="9476">
      <c r="C9476" s="18"/>
      <c r="D9476" s="19"/>
      <c r="E9476" s="57"/>
      <c r="H9476" s="18"/>
    </row>
    <row r="9477">
      <c r="C9477" s="18"/>
      <c r="D9477" s="19"/>
      <c r="E9477" s="57"/>
      <c r="H9477" s="18"/>
    </row>
    <row r="9478">
      <c r="C9478" s="18"/>
      <c r="D9478" s="19"/>
      <c r="E9478" s="57"/>
      <c r="H9478" s="18"/>
    </row>
    <row r="9479">
      <c r="C9479" s="18"/>
      <c r="D9479" s="19"/>
      <c r="E9479" s="57"/>
      <c r="H9479" s="18"/>
    </row>
    <row r="9480">
      <c r="C9480" s="18"/>
      <c r="D9480" s="19"/>
      <c r="E9480" s="57"/>
      <c r="H9480" s="18"/>
    </row>
    <row r="9481">
      <c r="C9481" s="18"/>
      <c r="D9481" s="19"/>
      <c r="E9481" s="57"/>
      <c r="H9481" s="18"/>
    </row>
    <row r="9482">
      <c r="C9482" s="18"/>
      <c r="D9482" s="19"/>
      <c r="E9482" s="57"/>
      <c r="H9482" s="18"/>
    </row>
    <row r="9483">
      <c r="C9483" s="18"/>
      <c r="D9483" s="19"/>
      <c r="E9483" s="57"/>
      <c r="H9483" s="18"/>
    </row>
    <row r="9484">
      <c r="C9484" s="18"/>
      <c r="D9484" s="19"/>
      <c r="E9484" s="57"/>
      <c r="H9484" s="18"/>
    </row>
    <row r="9485">
      <c r="C9485" s="18"/>
      <c r="D9485" s="19"/>
      <c r="E9485" s="57"/>
      <c r="H9485" s="18"/>
    </row>
    <row r="9486">
      <c r="C9486" s="18"/>
      <c r="D9486" s="19"/>
      <c r="E9486" s="57"/>
      <c r="H9486" s="18"/>
    </row>
    <row r="9487">
      <c r="C9487" s="18"/>
      <c r="D9487" s="19"/>
      <c r="E9487" s="57"/>
      <c r="H9487" s="18"/>
    </row>
    <row r="9488">
      <c r="C9488" s="18"/>
      <c r="D9488" s="19"/>
      <c r="E9488" s="57"/>
      <c r="H9488" s="18"/>
    </row>
    <row r="9489">
      <c r="C9489" s="18"/>
      <c r="D9489" s="19"/>
      <c r="E9489" s="57"/>
      <c r="H9489" s="18"/>
    </row>
    <row r="9490">
      <c r="C9490" s="18"/>
      <c r="D9490" s="19"/>
      <c r="E9490" s="57"/>
      <c r="H9490" s="18"/>
    </row>
    <row r="9491">
      <c r="C9491" s="18"/>
      <c r="D9491" s="19"/>
      <c r="E9491" s="57"/>
      <c r="H9491" s="18"/>
    </row>
    <row r="9492">
      <c r="C9492" s="18"/>
      <c r="D9492" s="19"/>
      <c r="E9492" s="57"/>
      <c r="H9492" s="18"/>
    </row>
    <row r="9493">
      <c r="C9493" s="18"/>
      <c r="D9493" s="19"/>
      <c r="E9493" s="57"/>
      <c r="H9493" s="18"/>
    </row>
    <row r="9494">
      <c r="C9494" s="18"/>
      <c r="D9494" s="19"/>
      <c r="E9494" s="57"/>
      <c r="H9494" s="18"/>
    </row>
    <row r="9495">
      <c r="C9495" s="18"/>
      <c r="D9495" s="19"/>
      <c r="E9495" s="57"/>
      <c r="H9495" s="18"/>
    </row>
    <row r="9496">
      <c r="C9496" s="18"/>
      <c r="D9496" s="19"/>
      <c r="E9496" s="57"/>
      <c r="H9496" s="18"/>
    </row>
    <row r="9497">
      <c r="C9497" s="18"/>
      <c r="D9497" s="19"/>
      <c r="E9497" s="57"/>
      <c r="H9497" s="18"/>
    </row>
    <row r="9498">
      <c r="C9498" s="18"/>
      <c r="D9498" s="19"/>
      <c r="E9498" s="57"/>
      <c r="H9498" s="18"/>
    </row>
    <row r="9499">
      <c r="C9499" s="18"/>
      <c r="D9499" s="19"/>
      <c r="E9499" s="57"/>
      <c r="H9499" s="18"/>
    </row>
    <row r="9500">
      <c r="C9500" s="18"/>
      <c r="D9500" s="19"/>
      <c r="E9500" s="57"/>
      <c r="H9500" s="18"/>
    </row>
    <row r="9501">
      <c r="C9501" s="18"/>
      <c r="D9501" s="19"/>
      <c r="E9501" s="57"/>
      <c r="H9501" s="18"/>
    </row>
    <row r="9502">
      <c r="C9502" s="18"/>
      <c r="D9502" s="19"/>
      <c r="E9502" s="57"/>
      <c r="H9502" s="18"/>
    </row>
    <row r="9503">
      <c r="C9503" s="18"/>
      <c r="D9503" s="19"/>
      <c r="E9503" s="57"/>
      <c r="H9503" s="18"/>
    </row>
    <row r="9504">
      <c r="C9504" s="18"/>
      <c r="D9504" s="19"/>
      <c r="E9504" s="57"/>
      <c r="H9504" s="18"/>
    </row>
    <row r="9505">
      <c r="C9505" s="18"/>
      <c r="D9505" s="19"/>
      <c r="E9505" s="57"/>
      <c r="H9505" s="18"/>
    </row>
    <row r="9506">
      <c r="C9506" s="18"/>
      <c r="D9506" s="19"/>
      <c r="E9506" s="57"/>
      <c r="H9506" s="18"/>
    </row>
    <row r="9507">
      <c r="C9507" s="18"/>
      <c r="D9507" s="19"/>
      <c r="E9507" s="57"/>
      <c r="H9507" s="18"/>
    </row>
    <row r="9508">
      <c r="C9508" s="18"/>
      <c r="D9508" s="19"/>
      <c r="E9508" s="57"/>
      <c r="H9508" s="18"/>
    </row>
    <row r="9509">
      <c r="C9509" s="18"/>
      <c r="D9509" s="19"/>
      <c r="E9509" s="57"/>
      <c r="H9509" s="18"/>
    </row>
    <row r="9510">
      <c r="C9510" s="18"/>
      <c r="D9510" s="19"/>
      <c r="E9510" s="57"/>
      <c r="H9510" s="18"/>
    </row>
    <row r="9511">
      <c r="C9511" s="18"/>
      <c r="D9511" s="19"/>
      <c r="E9511" s="57"/>
      <c r="H9511" s="18"/>
    </row>
    <row r="9512">
      <c r="C9512" s="18"/>
      <c r="D9512" s="19"/>
      <c r="E9512" s="57"/>
      <c r="H9512" s="18"/>
    </row>
    <row r="9513">
      <c r="C9513" s="18"/>
      <c r="D9513" s="19"/>
      <c r="E9513" s="57"/>
      <c r="H9513" s="18"/>
    </row>
    <row r="9514">
      <c r="C9514" s="18"/>
      <c r="D9514" s="19"/>
      <c r="E9514" s="57"/>
      <c r="H9514" s="18"/>
    </row>
    <row r="9515">
      <c r="C9515" s="18"/>
      <c r="D9515" s="19"/>
      <c r="E9515" s="57"/>
      <c r="H9515" s="18"/>
    </row>
    <row r="9516">
      <c r="C9516" s="18"/>
      <c r="D9516" s="19"/>
      <c r="E9516" s="57"/>
      <c r="H9516" s="18"/>
    </row>
    <row r="9517">
      <c r="C9517" s="18"/>
      <c r="D9517" s="19"/>
      <c r="E9517" s="57"/>
      <c r="H9517" s="18"/>
    </row>
    <row r="9518">
      <c r="C9518" s="18"/>
      <c r="D9518" s="19"/>
      <c r="E9518" s="57"/>
      <c r="H9518" s="18"/>
    </row>
    <row r="9519">
      <c r="C9519" s="18"/>
      <c r="D9519" s="19"/>
      <c r="E9519" s="57"/>
      <c r="H9519" s="18"/>
    </row>
    <row r="9520">
      <c r="C9520" s="18"/>
      <c r="D9520" s="19"/>
      <c r="E9520" s="57"/>
      <c r="H9520" s="18"/>
    </row>
    <row r="9521">
      <c r="C9521" s="18"/>
      <c r="D9521" s="19"/>
      <c r="E9521" s="57"/>
      <c r="H9521" s="18"/>
    </row>
    <row r="9522">
      <c r="C9522" s="18"/>
      <c r="D9522" s="19"/>
      <c r="E9522" s="57"/>
      <c r="H9522" s="18"/>
    </row>
    <row r="9523">
      <c r="C9523" s="18"/>
      <c r="D9523" s="19"/>
      <c r="E9523" s="57"/>
      <c r="H9523" s="18"/>
    </row>
    <row r="9524">
      <c r="C9524" s="18"/>
      <c r="D9524" s="19"/>
      <c r="E9524" s="57"/>
      <c r="H9524" s="18"/>
    </row>
    <row r="9525">
      <c r="C9525" s="18"/>
      <c r="D9525" s="19"/>
      <c r="E9525" s="57"/>
      <c r="H9525" s="18"/>
    </row>
    <row r="9526">
      <c r="C9526" s="18"/>
      <c r="D9526" s="19"/>
      <c r="E9526" s="57"/>
      <c r="H9526" s="18"/>
    </row>
    <row r="9527">
      <c r="C9527" s="18"/>
      <c r="D9527" s="19"/>
      <c r="E9527" s="57"/>
      <c r="H9527" s="18"/>
    </row>
    <row r="9528">
      <c r="C9528" s="18"/>
      <c r="D9528" s="19"/>
      <c r="E9528" s="57"/>
      <c r="H9528" s="18"/>
    </row>
    <row r="9529">
      <c r="C9529" s="18"/>
      <c r="D9529" s="19"/>
      <c r="E9529" s="57"/>
      <c r="H9529" s="18"/>
    </row>
    <row r="9530">
      <c r="C9530" s="18"/>
      <c r="D9530" s="19"/>
      <c r="E9530" s="57"/>
      <c r="H9530" s="18"/>
    </row>
    <row r="9531">
      <c r="C9531" s="18"/>
      <c r="D9531" s="19"/>
      <c r="E9531" s="57"/>
      <c r="H9531" s="18"/>
    </row>
    <row r="9532">
      <c r="C9532" s="18"/>
      <c r="D9532" s="19"/>
      <c r="E9532" s="57"/>
      <c r="H9532" s="18"/>
    </row>
    <row r="9533">
      <c r="C9533" s="18"/>
      <c r="D9533" s="19"/>
      <c r="E9533" s="57"/>
      <c r="H9533" s="18"/>
    </row>
    <row r="9534">
      <c r="C9534" s="18"/>
      <c r="D9534" s="19"/>
      <c r="E9534" s="57"/>
      <c r="H9534" s="18"/>
    </row>
    <row r="9535">
      <c r="C9535" s="18"/>
      <c r="D9535" s="19"/>
      <c r="E9535" s="57"/>
      <c r="H9535" s="18"/>
    </row>
    <row r="9536">
      <c r="C9536" s="18"/>
      <c r="D9536" s="19"/>
      <c r="E9536" s="57"/>
      <c r="H9536" s="18"/>
    </row>
    <row r="9537">
      <c r="C9537" s="18"/>
      <c r="D9537" s="19"/>
      <c r="E9537" s="57"/>
      <c r="H9537" s="18"/>
    </row>
    <row r="9538">
      <c r="C9538" s="18"/>
      <c r="D9538" s="19"/>
      <c r="E9538" s="57"/>
      <c r="H9538" s="18"/>
    </row>
    <row r="9539">
      <c r="C9539" s="18"/>
      <c r="D9539" s="19"/>
      <c r="E9539" s="57"/>
      <c r="H9539" s="18"/>
    </row>
    <row r="9540">
      <c r="C9540" s="18"/>
      <c r="D9540" s="19"/>
      <c r="E9540" s="57"/>
      <c r="H9540" s="18"/>
    </row>
    <row r="9541">
      <c r="C9541" s="18"/>
      <c r="D9541" s="19"/>
      <c r="E9541" s="57"/>
      <c r="H9541" s="18"/>
    </row>
    <row r="9542">
      <c r="C9542" s="18"/>
      <c r="D9542" s="19"/>
      <c r="E9542" s="57"/>
      <c r="H9542" s="18"/>
    </row>
    <row r="9543">
      <c r="C9543" s="18"/>
      <c r="D9543" s="19"/>
      <c r="E9543" s="57"/>
      <c r="H9543" s="18"/>
    </row>
    <row r="9544">
      <c r="C9544" s="18"/>
      <c r="D9544" s="19"/>
      <c r="E9544" s="57"/>
      <c r="H9544" s="18"/>
    </row>
    <row r="9545">
      <c r="C9545" s="18"/>
      <c r="D9545" s="19"/>
      <c r="E9545" s="57"/>
      <c r="H9545" s="18"/>
    </row>
    <row r="9546">
      <c r="C9546" s="18"/>
      <c r="D9546" s="19"/>
      <c r="E9546" s="57"/>
      <c r="H9546" s="18"/>
    </row>
    <row r="9547">
      <c r="C9547" s="18"/>
      <c r="D9547" s="19"/>
      <c r="E9547" s="57"/>
      <c r="H9547" s="18"/>
    </row>
    <row r="9548">
      <c r="C9548" s="18"/>
      <c r="D9548" s="19"/>
      <c r="E9548" s="57"/>
      <c r="H9548" s="18"/>
    </row>
    <row r="9549">
      <c r="C9549" s="18"/>
      <c r="D9549" s="19"/>
      <c r="E9549" s="57"/>
      <c r="H9549" s="18"/>
    </row>
    <row r="9550">
      <c r="C9550" s="18"/>
      <c r="D9550" s="19"/>
      <c r="E9550" s="57"/>
      <c r="H9550" s="18"/>
    </row>
    <row r="9551">
      <c r="C9551" s="18"/>
      <c r="D9551" s="19"/>
      <c r="E9551" s="57"/>
      <c r="H9551" s="18"/>
    </row>
    <row r="9552">
      <c r="C9552" s="18"/>
      <c r="D9552" s="19"/>
      <c r="E9552" s="57"/>
      <c r="H9552" s="18"/>
    </row>
    <row r="9553">
      <c r="C9553" s="18"/>
      <c r="D9553" s="19"/>
      <c r="E9553" s="57"/>
      <c r="H9553" s="18"/>
    </row>
    <row r="9554">
      <c r="C9554" s="18"/>
      <c r="D9554" s="19"/>
      <c r="E9554" s="57"/>
      <c r="H9554" s="18"/>
    </row>
    <row r="9555">
      <c r="C9555" s="18"/>
      <c r="D9555" s="19"/>
      <c r="E9555" s="57"/>
      <c r="H9555" s="18"/>
    </row>
    <row r="9556">
      <c r="C9556" s="18"/>
      <c r="D9556" s="19"/>
      <c r="E9556" s="57"/>
      <c r="H9556" s="18"/>
    </row>
    <row r="9557">
      <c r="C9557" s="18"/>
      <c r="D9557" s="19"/>
      <c r="E9557" s="57"/>
      <c r="H9557" s="18"/>
    </row>
    <row r="9558">
      <c r="C9558" s="18"/>
      <c r="D9558" s="19"/>
      <c r="E9558" s="57"/>
      <c r="H9558" s="18"/>
    </row>
    <row r="9559">
      <c r="C9559" s="18"/>
      <c r="D9559" s="19"/>
      <c r="E9559" s="57"/>
      <c r="H9559" s="18"/>
    </row>
    <row r="9560">
      <c r="C9560" s="18"/>
      <c r="D9560" s="19"/>
      <c r="E9560" s="57"/>
      <c r="H9560" s="18"/>
    </row>
    <row r="9561">
      <c r="C9561" s="18"/>
      <c r="D9561" s="19"/>
      <c r="E9561" s="57"/>
      <c r="H9561" s="18"/>
    </row>
    <row r="9562">
      <c r="C9562" s="18"/>
      <c r="D9562" s="19"/>
      <c r="E9562" s="57"/>
      <c r="H9562" s="18"/>
    </row>
    <row r="9563">
      <c r="C9563" s="18"/>
      <c r="D9563" s="19"/>
      <c r="E9563" s="57"/>
      <c r="H9563" s="18"/>
    </row>
    <row r="9564">
      <c r="C9564" s="18"/>
      <c r="D9564" s="19"/>
      <c r="E9564" s="57"/>
      <c r="H9564" s="18"/>
    </row>
    <row r="9565">
      <c r="C9565" s="18"/>
      <c r="D9565" s="19"/>
      <c r="E9565" s="57"/>
      <c r="H9565" s="18"/>
    </row>
    <row r="9566">
      <c r="C9566" s="18"/>
      <c r="D9566" s="19"/>
      <c r="E9566" s="57"/>
      <c r="H9566" s="18"/>
    </row>
    <row r="9567">
      <c r="C9567" s="18"/>
      <c r="D9567" s="19"/>
      <c r="E9567" s="57"/>
      <c r="H9567" s="18"/>
    </row>
    <row r="9568">
      <c r="C9568" s="18"/>
      <c r="D9568" s="19"/>
      <c r="E9568" s="57"/>
      <c r="H9568" s="18"/>
    </row>
    <row r="9569">
      <c r="C9569" s="18"/>
      <c r="D9569" s="19"/>
      <c r="E9569" s="57"/>
      <c r="H9569" s="18"/>
    </row>
    <row r="9570">
      <c r="C9570" s="18"/>
      <c r="D9570" s="19"/>
      <c r="E9570" s="57"/>
      <c r="H9570" s="18"/>
    </row>
    <row r="9571">
      <c r="C9571" s="18"/>
      <c r="D9571" s="19"/>
      <c r="E9571" s="57"/>
      <c r="H9571" s="18"/>
    </row>
    <row r="9572">
      <c r="C9572" s="18"/>
      <c r="D9572" s="19"/>
      <c r="E9572" s="57"/>
      <c r="H9572" s="18"/>
    </row>
    <row r="9573">
      <c r="C9573" s="18"/>
      <c r="D9573" s="19"/>
      <c r="E9573" s="57"/>
      <c r="H9573" s="18"/>
    </row>
    <row r="9574">
      <c r="C9574" s="18"/>
      <c r="D9574" s="19"/>
      <c r="E9574" s="57"/>
      <c r="H9574" s="18"/>
    </row>
    <row r="9575">
      <c r="C9575" s="18"/>
      <c r="D9575" s="19"/>
      <c r="E9575" s="57"/>
      <c r="H9575" s="18"/>
    </row>
    <row r="9576">
      <c r="C9576" s="18"/>
      <c r="D9576" s="19"/>
      <c r="E9576" s="57"/>
      <c r="H9576" s="18"/>
    </row>
    <row r="9577">
      <c r="C9577" s="18"/>
      <c r="D9577" s="19"/>
      <c r="E9577" s="57"/>
      <c r="H9577" s="18"/>
    </row>
    <row r="9578">
      <c r="C9578" s="18"/>
      <c r="D9578" s="19"/>
      <c r="E9578" s="57"/>
      <c r="H9578" s="18"/>
    </row>
    <row r="9579">
      <c r="C9579" s="18"/>
      <c r="D9579" s="19"/>
      <c r="E9579" s="57"/>
      <c r="H9579" s="18"/>
    </row>
    <row r="9580">
      <c r="C9580" s="18"/>
      <c r="D9580" s="19"/>
      <c r="E9580" s="57"/>
      <c r="H9580" s="18"/>
    </row>
    <row r="9581">
      <c r="C9581" s="18"/>
      <c r="D9581" s="19"/>
      <c r="E9581" s="57"/>
      <c r="H9581" s="18"/>
    </row>
    <row r="9582">
      <c r="C9582" s="18"/>
      <c r="D9582" s="19"/>
      <c r="E9582" s="57"/>
      <c r="H9582" s="18"/>
    </row>
    <row r="9583">
      <c r="C9583" s="18"/>
      <c r="D9583" s="19"/>
      <c r="E9583" s="57"/>
      <c r="H9583" s="18"/>
    </row>
    <row r="9584">
      <c r="C9584" s="18"/>
      <c r="D9584" s="19"/>
      <c r="E9584" s="57"/>
      <c r="H9584" s="18"/>
    </row>
    <row r="9585">
      <c r="C9585" s="18"/>
      <c r="D9585" s="19"/>
      <c r="E9585" s="57"/>
      <c r="H9585" s="18"/>
    </row>
    <row r="9586">
      <c r="C9586" s="18"/>
      <c r="D9586" s="19"/>
      <c r="E9586" s="57"/>
      <c r="H9586" s="18"/>
    </row>
    <row r="9587">
      <c r="C9587" s="18"/>
      <c r="D9587" s="19"/>
      <c r="E9587" s="57"/>
      <c r="H9587" s="18"/>
    </row>
    <row r="9588">
      <c r="C9588" s="18"/>
      <c r="D9588" s="19"/>
      <c r="E9588" s="57"/>
      <c r="H9588" s="18"/>
    </row>
    <row r="9589">
      <c r="C9589" s="18"/>
      <c r="D9589" s="19"/>
      <c r="E9589" s="57"/>
      <c r="H9589" s="18"/>
    </row>
    <row r="9590">
      <c r="C9590" s="18"/>
      <c r="D9590" s="19"/>
      <c r="E9590" s="57"/>
      <c r="H9590" s="18"/>
    </row>
    <row r="9591">
      <c r="C9591" s="18"/>
      <c r="D9591" s="19"/>
      <c r="E9591" s="57"/>
      <c r="H9591" s="18"/>
    </row>
    <row r="9592">
      <c r="C9592" s="18"/>
      <c r="D9592" s="19"/>
      <c r="E9592" s="57"/>
      <c r="H9592" s="18"/>
    </row>
    <row r="9593">
      <c r="C9593" s="18"/>
      <c r="D9593" s="19"/>
      <c r="E9593" s="57"/>
      <c r="H9593" s="18"/>
    </row>
    <row r="9594">
      <c r="C9594" s="18"/>
      <c r="D9594" s="19"/>
      <c r="E9594" s="57"/>
      <c r="H9594" s="18"/>
    </row>
    <row r="9595">
      <c r="C9595" s="18"/>
      <c r="D9595" s="19"/>
      <c r="E9595" s="57"/>
      <c r="H9595" s="18"/>
    </row>
    <row r="9596">
      <c r="C9596" s="18"/>
      <c r="D9596" s="19"/>
      <c r="E9596" s="57"/>
      <c r="H9596" s="18"/>
    </row>
    <row r="9597">
      <c r="C9597" s="18"/>
      <c r="D9597" s="19"/>
      <c r="E9597" s="57"/>
      <c r="H9597" s="18"/>
    </row>
    <row r="9598">
      <c r="C9598" s="18"/>
      <c r="D9598" s="19"/>
      <c r="E9598" s="57"/>
      <c r="H9598" s="18"/>
    </row>
    <row r="9599">
      <c r="C9599" s="18"/>
      <c r="D9599" s="19"/>
      <c r="E9599" s="57"/>
      <c r="H9599" s="18"/>
    </row>
    <row r="9600">
      <c r="C9600" s="18"/>
      <c r="D9600" s="19"/>
      <c r="E9600" s="57"/>
      <c r="H9600" s="18"/>
    </row>
    <row r="9601">
      <c r="C9601" s="18"/>
      <c r="D9601" s="19"/>
      <c r="E9601" s="57"/>
      <c r="H9601" s="18"/>
    </row>
    <row r="9602">
      <c r="C9602" s="18"/>
      <c r="D9602" s="19"/>
      <c r="E9602" s="57"/>
      <c r="H9602" s="18"/>
    </row>
    <row r="9603">
      <c r="C9603" s="18"/>
      <c r="D9603" s="19"/>
      <c r="E9603" s="57"/>
      <c r="H9603" s="18"/>
    </row>
    <row r="9604">
      <c r="C9604" s="18"/>
      <c r="D9604" s="19"/>
      <c r="E9604" s="57"/>
      <c r="H9604" s="18"/>
    </row>
    <row r="9605">
      <c r="C9605" s="18"/>
      <c r="D9605" s="19"/>
      <c r="E9605" s="57"/>
      <c r="H9605" s="18"/>
    </row>
    <row r="9606">
      <c r="C9606" s="18"/>
      <c r="D9606" s="19"/>
      <c r="E9606" s="57"/>
      <c r="H9606" s="18"/>
    </row>
    <row r="9607">
      <c r="C9607" s="18"/>
      <c r="D9607" s="19"/>
      <c r="E9607" s="57"/>
      <c r="H9607" s="18"/>
    </row>
    <row r="9608">
      <c r="C9608" s="18"/>
      <c r="D9608" s="19"/>
      <c r="E9608" s="57"/>
      <c r="H9608" s="18"/>
    </row>
    <row r="9609">
      <c r="C9609" s="18"/>
      <c r="D9609" s="19"/>
      <c r="E9609" s="57"/>
      <c r="H9609" s="18"/>
    </row>
    <row r="9610">
      <c r="C9610" s="18"/>
      <c r="D9610" s="19"/>
      <c r="E9610" s="57"/>
      <c r="H9610" s="18"/>
    </row>
    <row r="9611">
      <c r="C9611" s="18"/>
      <c r="D9611" s="19"/>
      <c r="E9611" s="57"/>
      <c r="H9611" s="18"/>
    </row>
    <row r="9612">
      <c r="C9612" s="18"/>
      <c r="D9612" s="19"/>
      <c r="E9612" s="57"/>
      <c r="H9612" s="18"/>
    </row>
    <row r="9613">
      <c r="C9613" s="18"/>
      <c r="D9613" s="19"/>
      <c r="E9613" s="57"/>
      <c r="H9613" s="18"/>
    </row>
    <row r="9614">
      <c r="C9614" s="18"/>
      <c r="D9614" s="19"/>
      <c r="E9614" s="57"/>
      <c r="H9614" s="18"/>
    </row>
    <row r="9615">
      <c r="C9615" s="18"/>
      <c r="D9615" s="19"/>
      <c r="E9615" s="57"/>
      <c r="H9615" s="18"/>
    </row>
    <row r="9616">
      <c r="C9616" s="18"/>
      <c r="D9616" s="19"/>
      <c r="E9616" s="57"/>
      <c r="H9616" s="18"/>
    </row>
    <row r="9617">
      <c r="C9617" s="18"/>
      <c r="D9617" s="19"/>
      <c r="E9617" s="57"/>
      <c r="H9617" s="18"/>
    </row>
    <row r="9618">
      <c r="C9618" s="18"/>
      <c r="D9618" s="19"/>
      <c r="E9618" s="57"/>
      <c r="H9618" s="18"/>
    </row>
    <row r="9619">
      <c r="C9619" s="18"/>
      <c r="D9619" s="19"/>
      <c r="E9619" s="57"/>
      <c r="H9619" s="18"/>
    </row>
    <row r="9620">
      <c r="C9620" s="18"/>
      <c r="D9620" s="19"/>
      <c r="E9620" s="57"/>
      <c r="H9620" s="18"/>
    </row>
    <row r="9621">
      <c r="C9621" s="18"/>
      <c r="D9621" s="19"/>
      <c r="E9621" s="57"/>
      <c r="H9621" s="18"/>
    </row>
    <row r="9622">
      <c r="C9622" s="18"/>
      <c r="D9622" s="19"/>
      <c r="E9622" s="57"/>
      <c r="H9622" s="18"/>
    </row>
    <row r="9623">
      <c r="C9623" s="18"/>
      <c r="D9623" s="19"/>
      <c r="E9623" s="57"/>
      <c r="H9623" s="18"/>
    </row>
    <row r="9624">
      <c r="C9624" s="18"/>
      <c r="D9624" s="19"/>
      <c r="E9624" s="57"/>
      <c r="H9624" s="18"/>
    </row>
    <row r="9625">
      <c r="C9625" s="18"/>
      <c r="D9625" s="19"/>
      <c r="E9625" s="57"/>
      <c r="H9625" s="18"/>
    </row>
    <row r="9626">
      <c r="C9626" s="18"/>
      <c r="D9626" s="19"/>
      <c r="E9626" s="57"/>
      <c r="H9626" s="18"/>
    </row>
    <row r="9627">
      <c r="C9627" s="18"/>
      <c r="D9627" s="19"/>
      <c r="E9627" s="57"/>
      <c r="H9627" s="18"/>
    </row>
    <row r="9628">
      <c r="C9628" s="18"/>
      <c r="D9628" s="19"/>
      <c r="E9628" s="57"/>
      <c r="H9628" s="18"/>
    </row>
    <row r="9629">
      <c r="C9629" s="18"/>
      <c r="D9629" s="19"/>
      <c r="E9629" s="57"/>
      <c r="H9629" s="18"/>
    </row>
    <row r="9630">
      <c r="C9630" s="18"/>
      <c r="D9630" s="19"/>
      <c r="E9630" s="57"/>
      <c r="H9630" s="18"/>
    </row>
    <row r="9631">
      <c r="C9631" s="18"/>
      <c r="D9631" s="19"/>
      <c r="E9631" s="57"/>
      <c r="H9631" s="18"/>
    </row>
    <row r="9632">
      <c r="C9632" s="18"/>
      <c r="D9632" s="19"/>
      <c r="E9632" s="57"/>
      <c r="H9632" s="18"/>
    </row>
    <row r="9633">
      <c r="C9633" s="18"/>
      <c r="D9633" s="19"/>
      <c r="E9633" s="57"/>
      <c r="H9633" s="18"/>
    </row>
    <row r="9634">
      <c r="C9634" s="18"/>
      <c r="D9634" s="19"/>
      <c r="E9634" s="57"/>
      <c r="H9634" s="18"/>
    </row>
    <row r="9635">
      <c r="C9635" s="18"/>
      <c r="D9635" s="19"/>
      <c r="E9635" s="57"/>
      <c r="H9635" s="18"/>
    </row>
    <row r="9636">
      <c r="C9636" s="18"/>
      <c r="D9636" s="19"/>
      <c r="E9636" s="57"/>
      <c r="H9636" s="18"/>
    </row>
    <row r="9637">
      <c r="C9637" s="18"/>
      <c r="D9637" s="19"/>
      <c r="E9637" s="57"/>
      <c r="H9637" s="18"/>
    </row>
    <row r="9638">
      <c r="C9638" s="18"/>
      <c r="D9638" s="19"/>
      <c r="E9638" s="57"/>
      <c r="H9638" s="18"/>
    </row>
    <row r="9639">
      <c r="C9639" s="18"/>
      <c r="D9639" s="19"/>
      <c r="E9639" s="57"/>
      <c r="H9639" s="18"/>
    </row>
    <row r="9640">
      <c r="C9640" s="18"/>
      <c r="D9640" s="19"/>
      <c r="E9640" s="57"/>
      <c r="H9640" s="18"/>
    </row>
    <row r="9641">
      <c r="C9641" s="18"/>
      <c r="D9641" s="19"/>
      <c r="E9641" s="57"/>
      <c r="H9641" s="18"/>
    </row>
    <row r="9642">
      <c r="C9642" s="18"/>
      <c r="D9642" s="19"/>
      <c r="E9642" s="57"/>
      <c r="H9642" s="18"/>
    </row>
    <row r="9643">
      <c r="C9643" s="18"/>
      <c r="D9643" s="19"/>
      <c r="E9643" s="57"/>
      <c r="H9643" s="18"/>
    </row>
    <row r="9644">
      <c r="C9644" s="18"/>
      <c r="D9644" s="19"/>
      <c r="E9644" s="57"/>
      <c r="H9644" s="18"/>
    </row>
    <row r="9645">
      <c r="C9645" s="18"/>
      <c r="D9645" s="19"/>
      <c r="E9645" s="57"/>
      <c r="H9645" s="18"/>
    </row>
    <row r="9646">
      <c r="C9646" s="18"/>
      <c r="D9646" s="19"/>
      <c r="E9646" s="57"/>
      <c r="H9646" s="18"/>
    </row>
    <row r="9647">
      <c r="C9647" s="18"/>
      <c r="D9647" s="19"/>
      <c r="E9647" s="57"/>
      <c r="H9647" s="18"/>
    </row>
    <row r="9648">
      <c r="C9648" s="18"/>
      <c r="D9648" s="19"/>
      <c r="E9648" s="57"/>
      <c r="H9648" s="18"/>
    </row>
    <row r="9649">
      <c r="C9649" s="18"/>
      <c r="D9649" s="19"/>
      <c r="E9649" s="57"/>
      <c r="H9649" s="18"/>
    </row>
    <row r="9650">
      <c r="C9650" s="18"/>
      <c r="D9650" s="19"/>
      <c r="E9650" s="57"/>
      <c r="H9650" s="18"/>
    </row>
    <row r="9651">
      <c r="C9651" s="18"/>
      <c r="D9651" s="19"/>
      <c r="E9651" s="57"/>
      <c r="H9651" s="18"/>
    </row>
    <row r="9652">
      <c r="C9652" s="18"/>
      <c r="D9652" s="19"/>
      <c r="E9652" s="57"/>
      <c r="H9652" s="18"/>
    </row>
    <row r="9653">
      <c r="C9653" s="18"/>
      <c r="D9653" s="19"/>
      <c r="E9653" s="57"/>
      <c r="H9653" s="18"/>
    </row>
    <row r="9654">
      <c r="C9654" s="18"/>
      <c r="D9654" s="19"/>
      <c r="E9654" s="57"/>
      <c r="H9654" s="18"/>
    </row>
    <row r="9655">
      <c r="C9655" s="18"/>
      <c r="D9655" s="19"/>
      <c r="E9655" s="57"/>
      <c r="H9655" s="18"/>
    </row>
    <row r="9656">
      <c r="C9656" s="18"/>
      <c r="D9656" s="19"/>
      <c r="E9656" s="57"/>
      <c r="H9656" s="18"/>
    </row>
    <row r="9657">
      <c r="C9657" s="18"/>
      <c r="D9657" s="19"/>
      <c r="E9657" s="57"/>
      <c r="H9657" s="18"/>
    </row>
    <row r="9658">
      <c r="C9658" s="18"/>
      <c r="D9658" s="19"/>
      <c r="E9658" s="57"/>
      <c r="H9658" s="18"/>
    </row>
    <row r="9659">
      <c r="C9659" s="18"/>
      <c r="D9659" s="19"/>
      <c r="E9659" s="57"/>
      <c r="H9659" s="18"/>
    </row>
    <row r="9660">
      <c r="C9660" s="18"/>
      <c r="D9660" s="19"/>
      <c r="E9660" s="57"/>
      <c r="H9660" s="18"/>
    </row>
    <row r="9661">
      <c r="C9661" s="18"/>
      <c r="D9661" s="19"/>
      <c r="E9661" s="57"/>
      <c r="H9661" s="18"/>
    </row>
    <row r="9662">
      <c r="C9662" s="18"/>
      <c r="D9662" s="19"/>
      <c r="E9662" s="57"/>
      <c r="H9662" s="18"/>
    </row>
    <row r="9663">
      <c r="C9663" s="18"/>
      <c r="D9663" s="19"/>
      <c r="E9663" s="57"/>
      <c r="H9663" s="18"/>
    </row>
    <row r="9664">
      <c r="C9664" s="18"/>
      <c r="D9664" s="19"/>
      <c r="E9664" s="57"/>
      <c r="H9664" s="18"/>
    </row>
    <row r="9665">
      <c r="C9665" s="18"/>
      <c r="D9665" s="19"/>
      <c r="E9665" s="57"/>
      <c r="H9665" s="18"/>
    </row>
    <row r="9666">
      <c r="C9666" s="18"/>
      <c r="D9666" s="19"/>
      <c r="E9666" s="57"/>
      <c r="H9666" s="18"/>
    </row>
    <row r="9667">
      <c r="C9667" s="18"/>
      <c r="D9667" s="19"/>
      <c r="E9667" s="57"/>
      <c r="H9667" s="18"/>
    </row>
    <row r="9668">
      <c r="C9668" s="18"/>
      <c r="D9668" s="19"/>
      <c r="E9668" s="57"/>
      <c r="H9668" s="18"/>
    </row>
    <row r="9669">
      <c r="C9669" s="18"/>
      <c r="D9669" s="19"/>
      <c r="E9669" s="57"/>
      <c r="H9669" s="18"/>
    </row>
    <row r="9670">
      <c r="C9670" s="18"/>
      <c r="D9670" s="19"/>
      <c r="E9670" s="57"/>
      <c r="H9670" s="18"/>
    </row>
    <row r="9671">
      <c r="C9671" s="18"/>
      <c r="D9671" s="19"/>
      <c r="E9671" s="57"/>
      <c r="H9671" s="18"/>
    </row>
    <row r="9672">
      <c r="C9672" s="18"/>
      <c r="D9672" s="19"/>
      <c r="E9672" s="57"/>
      <c r="H9672" s="18"/>
    </row>
    <row r="9673">
      <c r="C9673" s="18"/>
      <c r="D9673" s="19"/>
      <c r="E9673" s="57"/>
      <c r="H9673" s="18"/>
    </row>
    <row r="9674">
      <c r="C9674" s="18"/>
      <c r="D9674" s="19"/>
      <c r="E9674" s="57"/>
      <c r="H9674" s="18"/>
    </row>
    <row r="9675">
      <c r="C9675" s="18"/>
      <c r="D9675" s="19"/>
      <c r="E9675" s="57"/>
      <c r="H9675" s="18"/>
    </row>
    <row r="9676">
      <c r="C9676" s="18"/>
      <c r="D9676" s="19"/>
      <c r="E9676" s="57"/>
      <c r="H9676" s="18"/>
    </row>
    <row r="9677">
      <c r="C9677" s="18"/>
      <c r="D9677" s="19"/>
      <c r="E9677" s="57"/>
      <c r="H9677" s="18"/>
    </row>
    <row r="9678">
      <c r="C9678" s="18"/>
      <c r="D9678" s="19"/>
      <c r="E9678" s="57"/>
      <c r="H9678" s="18"/>
    </row>
    <row r="9679">
      <c r="C9679" s="18"/>
      <c r="D9679" s="19"/>
      <c r="E9679" s="57"/>
      <c r="H9679" s="18"/>
    </row>
    <row r="9680">
      <c r="C9680" s="18"/>
      <c r="D9680" s="19"/>
      <c r="E9680" s="57"/>
      <c r="H9680" s="18"/>
    </row>
    <row r="9681">
      <c r="C9681" s="18"/>
      <c r="D9681" s="19"/>
      <c r="E9681" s="57"/>
      <c r="H9681" s="18"/>
    </row>
    <row r="9682">
      <c r="C9682" s="18"/>
      <c r="D9682" s="19"/>
      <c r="E9682" s="57"/>
      <c r="H9682" s="18"/>
    </row>
    <row r="9683">
      <c r="C9683" s="18"/>
      <c r="D9683" s="19"/>
      <c r="E9683" s="57"/>
      <c r="H9683" s="18"/>
    </row>
    <row r="9684">
      <c r="C9684" s="18"/>
      <c r="D9684" s="19"/>
      <c r="E9684" s="57"/>
      <c r="H9684" s="18"/>
    </row>
    <row r="9685">
      <c r="C9685" s="18"/>
      <c r="D9685" s="19"/>
      <c r="E9685" s="57"/>
      <c r="H9685" s="18"/>
    </row>
    <row r="9686">
      <c r="C9686" s="18"/>
      <c r="D9686" s="19"/>
      <c r="E9686" s="57"/>
      <c r="H9686" s="18"/>
    </row>
    <row r="9687">
      <c r="C9687" s="18"/>
      <c r="D9687" s="19"/>
      <c r="E9687" s="57"/>
      <c r="H9687" s="18"/>
    </row>
    <row r="9688">
      <c r="C9688" s="18"/>
      <c r="D9688" s="19"/>
      <c r="E9688" s="57"/>
      <c r="H9688" s="18"/>
    </row>
    <row r="9689">
      <c r="C9689" s="18"/>
      <c r="D9689" s="19"/>
      <c r="E9689" s="57"/>
      <c r="H9689" s="18"/>
    </row>
    <row r="9690">
      <c r="C9690" s="18"/>
      <c r="D9690" s="19"/>
      <c r="E9690" s="57"/>
      <c r="H9690" s="18"/>
    </row>
    <row r="9691">
      <c r="C9691" s="18"/>
      <c r="D9691" s="19"/>
      <c r="E9691" s="57"/>
      <c r="H9691" s="18"/>
    </row>
    <row r="9692">
      <c r="C9692" s="18"/>
      <c r="D9692" s="19"/>
      <c r="E9692" s="57"/>
      <c r="H9692" s="18"/>
    </row>
    <row r="9693">
      <c r="C9693" s="18"/>
      <c r="D9693" s="19"/>
      <c r="E9693" s="57"/>
      <c r="H9693" s="18"/>
    </row>
    <row r="9694">
      <c r="C9694" s="18"/>
      <c r="D9694" s="19"/>
      <c r="E9694" s="57"/>
      <c r="H9694" s="18"/>
    </row>
    <row r="9695">
      <c r="C9695" s="18"/>
      <c r="D9695" s="19"/>
      <c r="E9695" s="57"/>
      <c r="H9695" s="18"/>
    </row>
    <row r="9696">
      <c r="C9696" s="18"/>
      <c r="D9696" s="19"/>
      <c r="E9696" s="57"/>
      <c r="H9696" s="18"/>
    </row>
    <row r="9697">
      <c r="C9697" s="18"/>
      <c r="D9697" s="19"/>
      <c r="E9697" s="57"/>
      <c r="H9697" s="18"/>
    </row>
    <row r="9698">
      <c r="C9698" s="18"/>
      <c r="D9698" s="19"/>
      <c r="E9698" s="57"/>
      <c r="H9698" s="18"/>
    </row>
    <row r="9699">
      <c r="C9699" s="18"/>
      <c r="D9699" s="19"/>
      <c r="E9699" s="57"/>
      <c r="H9699" s="18"/>
    </row>
    <row r="9700">
      <c r="C9700" s="18"/>
      <c r="D9700" s="19"/>
      <c r="E9700" s="57"/>
      <c r="H9700" s="18"/>
    </row>
    <row r="9701">
      <c r="C9701" s="18"/>
      <c r="D9701" s="19"/>
      <c r="E9701" s="57"/>
      <c r="H9701" s="18"/>
    </row>
    <row r="9702">
      <c r="C9702" s="18"/>
      <c r="D9702" s="19"/>
      <c r="E9702" s="57"/>
      <c r="H9702" s="18"/>
    </row>
    <row r="9703">
      <c r="C9703" s="18"/>
      <c r="D9703" s="19"/>
      <c r="E9703" s="57"/>
      <c r="H9703" s="18"/>
    </row>
    <row r="9704">
      <c r="C9704" s="18"/>
      <c r="D9704" s="19"/>
      <c r="E9704" s="57"/>
      <c r="H9704" s="18"/>
    </row>
    <row r="9705">
      <c r="C9705" s="18"/>
      <c r="D9705" s="19"/>
      <c r="E9705" s="57"/>
      <c r="H9705" s="18"/>
    </row>
    <row r="9706">
      <c r="C9706" s="18"/>
      <c r="D9706" s="19"/>
      <c r="E9706" s="57"/>
      <c r="H9706" s="18"/>
    </row>
    <row r="9707">
      <c r="C9707" s="18"/>
      <c r="D9707" s="19"/>
      <c r="E9707" s="57"/>
      <c r="H9707" s="18"/>
    </row>
    <row r="9708">
      <c r="C9708" s="18"/>
      <c r="D9708" s="19"/>
      <c r="E9708" s="57"/>
      <c r="H9708" s="18"/>
    </row>
    <row r="9709">
      <c r="C9709" s="18"/>
      <c r="D9709" s="19"/>
      <c r="E9709" s="57"/>
      <c r="H9709" s="18"/>
    </row>
    <row r="9710">
      <c r="C9710" s="18"/>
      <c r="D9710" s="19"/>
      <c r="E9710" s="57"/>
      <c r="H9710" s="18"/>
    </row>
    <row r="9711">
      <c r="C9711" s="18"/>
      <c r="D9711" s="19"/>
      <c r="E9711" s="57"/>
      <c r="H9711" s="18"/>
    </row>
    <row r="9712">
      <c r="C9712" s="18"/>
      <c r="D9712" s="19"/>
      <c r="E9712" s="57"/>
      <c r="H9712" s="18"/>
    </row>
    <row r="9713">
      <c r="C9713" s="18"/>
      <c r="D9713" s="19"/>
      <c r="E9713" s="57"/>
      <c r="H9713" s="18"/>
    </row>
    <row r="9714">
      <c r="C9714" s="18"/>
      <c r="D9714" s="19"/>
      <c r="E9714" s="57"/>
      <c r="H9714" s="18"/>
    </row>
    <row r="9715">
      <c r="C9715" s="18"/>
      <c r="D9715" s="19"/>
      <c r="E9715" s="57"/>
      <c r="H9715" s="18"/>
    </row>
    <row r="9716">
      <c r="C9716" s="18"/>
      <c r="D9716" s="19"/>
      <c r="E9716" s="57"/>
      <c r="H9716" s="18"/>
    </row>
    <row r="9717">
      <c r="C9717" s="18"/>
      <c r="D9717" s="19"/>
      <c r="E9717" s="57"/>
      <c r="H9717" s="18"/>
    </row>
    <row r="9718">
      <c r="C9718" s="18"/>
      <c r="D9718" s="19"/>
      <c r="E9718" s="57"/>
      <c r="H9718" s="18"/>
    </row>
    <row r="9719">
      <c r="C9719" s="18"/>
      <c r="D9719" s="19"/>
      <c r="E9719" s="57"/>
      <c r="H9719" s="18"/>
    </row>
    <row r="9720">
      <c r="C9720" s="18"/>
      <c r="D9720" s="19"/>
      <c r="E9720" s="57"/>
      <c r="H9720" s="18"/>
    </row>
    <row r="9721">
      <c r="C9721" s="18"/>
      <c r="D9721" s="19"/>
      <c r="E9721" s="57"/>
      <c r="H9721" s="18"/>
    </row>
    <row r="9722">
      <c r="C9722" s="18"/>
      <c r="D9722" s="19"/>
      <c r="E9722" s="57"/>
      <c r="H9722" s="18"/>
    </row>
    <row r="9723">
      <c r="C9723" s="18"/>
      <c r="D9723" s="19"/>
      <c r="E9723" s="57"/>
      <c r="H9723" s="18"/>
    </row>
    <row r="9724">
      <c r="C9724" s="18"/>
      <c r="D9724" s="19"/>
      <c r="E9724" s="57"/>
      <c r="H9724" s="18"/>
    </row>
    <row r="9725">
      <c r="C9725" s="18"/>
      <c r="D9725" s="19"/>
      <c r="E9725" s="57"/>
      <c r="H9725" s="18"/>
    </row>
    <row r="9726">
      <c r="C9726" s="18"/>
      <c r="D9726" s="19"/>
      <c r="E9726" s="57"/>
      <c r="H9726" s="18"/>
    </row>
    <row r="9727">
      <c r="C9727" s="18"/>
      <c r="D9727" s="19"/>
      <c r="E9727" s="57"/>
      <c r="H9727" s="18"/>
    </row>
    <row r="9728">
      <c r="C9728" s="18"/>
      <c r="D9728" s="19"/>
      <c r="E9728" s="57"/>
      <c r="H9728" s="18"/>
    </row>
    <row r="9729">
      <c r="C9729" s="18"/>
      <c r="D9729" s="19"/>
      <c r="E9729" s="57"/>
      <c r="H9729" s="18"/>
    </row>
    <row r="9730">
      <c r="C9730" s="18"/>
      <c r="D9730" s="19"/>
      <c r="E9730" s="57"/>
      <c r="H9730" s="18"/>
    </row>
    <row r="9731">
      <c r="C9731" s="18"/>
      <c r="D9731" s="19"/>
      <c r="E9731" s="57"/>
      <c r="H9731" s="18"/>
    </row>
    <row r="9732">
      <c r="C9732" s="18"/>
      <c r="D9732" s="19"/>
      <c r="E9732" s="57"/>
      <c r="H9732" s="18"/>
    </row>
    <row r="9733">
      <c r="C9733" s="18"/>
      <c r="D9733" s="19"/>
      <c r="E9733" s="57"/>
      <c r="H9733" s="18"/>
    </row>
    <row r="9734">
      <c r="C9734" s="18"/>
      <c r="D9734" s="19"/>
      <c r="E9734" s="57"/>
      <c r="H9734" s="18"/>
    </row>
    <row r="9735">
      <c r="C9735" s="18"/>
      <c r="D9735" s="19"/>
      <c r="E9735" s="57"/>
      <c r="H9735" s="18"/>
    </row>
    <row r="9736">
      <c r="C9736" s="18"/>
      <c r="D9736" s="19"/>
      <c r="E9736" s="57"/>
      <c r="H9736" s="18"/>
    </row>
    <row r="9737">
      <c r="C9737" s="18"/>
      <c r="D9737" s="19"/>
      <c r="E9737" s="57"/>
      <c r="H9737" s="18"/>
    </row>
    <row r="9738">
      <c r="C9738" s="18"/>
      <c r="D9738" s="19"/>
      <c r="E9738" s="57"/>
      <c r="H9738" s="18"/>
    </row>
    <row r="9739">
      <c r="C9739" s="18"/>
      <c r="D9739" s="19"/>
      <c r="E9739" s="57"/>
      <c r="H9739" s="18"/>
    </row>
    <row r="9740">
      <c r="C9740" s="18"/>
      <c r="D9740" s="19"/>
      <c r="E9740" s="57"/>
      <c r="H9740" s="18"/>
    </row>
    <row r="9741">
      <c r="C9741" s="18"/>
      <c r="D9741" s="19"/>
      <c r="E9741" s="57"/>
      <c r="H9741" s="18"/>
    </row>
    <row r="9742">
      <c r="C9742" s="18"/>
      <c r="D9742" s="19"/>
      <c r="E9742" s="57"/>
      <c r="H9742" s="18"/>
    </row>
    <row r="9743">
      <c r="C9743" s="18"/>
      <c r="D9743" s="19"/>
      <c r="E9743" s="57"/>
      <c r="H9743" s="18"/>
    </row>
    <row r="9744">
      <c r="C9744" s="18"/>
      <c r="D9744" s="19"/>
      <c r="E9744" s="57"/>
      <c r="H9744" s="18"/>
    </row>
    <row r="9745">
      <c r="C9745" s="18"/>
      <c r="D9745" s="19"/>
      <c r="E9745" s="57"/>
      <c r="H9745" s="18"/>
    </row>
    <row r="9746">
      <c r="C9746" s="18"/>
      <c r="D9746" s="19"/>
      <c r="E9746" s="57"/>
      <c r="H9746" s="18"/>
    </row>
    <row r="9747">
      <c r="C9747" s="18"/>
      <c r="D9747" s="19"/>
      <c r="E9747" s="57"/>
      <c r="H9747" s="18"/>
    </row>
    <row r="9748">
      <c r="C9748" s="18"/>
      <c r="D9748" s="19"/>
      <c r="E9748" s="57"/>
      <c r="H9748" s="18"/>
    </row>
    <row r="9749">
      <c r="C9749" s="18"/>
      <c r="D9749" s="19"/>
      <c r="E9749" s="57"/>
      <c r="H9749" s="18"/>
    </row>
    <row r="9750">
      <c r="C9750" s="18"/>
      <c r="D9750" s="19"/>
      <c r="E9750" s="57"/>
      <c r="H9750" s="18"/>
    </row>
    <row r="9751">
      <c r="C9751" s="18"/>
      <c r="D9751" s="19"/>
      <c r="E9751" s="57"/>
      <c r="H9751" s="18"/>
    </row>
    <row r="9752">
      <c r="C9752" s="18"/>
      <c r="D9752" s="19"/>
      <c r="E9752" s="57"/>
      <c r="H9752" s="18"/>
    </row>
    <row r="9753">
      <c r="C9753" s="18"/>
      <c r="D9753" s="19"/>
      <c r="E9753" s="57"/>
      <c r="H9753" s="18"/>
    </row>
    <row r="9754">
      <c r="C9754" s="18"/>
      <c r="D9754" s="19"/>
      <c r="E9754" s="57"/>
      <c r="H9754" s="18"/>
    </row>
    <row r="9755">
      <c r="C9755" s="18"/>
      <c r="D9755" s="19"/>
      <c r="E9755" s="57"/>
      <c r="H9755" s="18"/>
    </row>
    <row r="9756">
      <c r="C9756" s="18"/>
      <c r="D9756" s="19"/>
      <c r="E9756" s="57"/>
      <c r="H9756" s="18"/>
    </row>
    <row r="9757">
      <c r="C9757" s="18"/>
      <c r="D9757" s="19"/>
      <c r="E9757" s="57"/>
      <c r="H9757" s="18"/>
    </row>
    <row r="9758">
      <c r="C9758" s="18"/>
      <c r="D9758" s="19"/>
      <c r="E9758" s="57"/>
      <c r="H9758" s="18"/>
    </row>
    <row r="9759">
      <c r="C9759" s="18"/>
      <c r="D9759" s="19"/>
      <c r="E9759" s="57"/>
      <c r="H9759" s="18"/>
    </row>
    <row r="9760">
      <c r="C9760" s="18"/>
      <c r="D9760" s="19"/>
      <c r="E9760" s="57"/>
      <c r="H9760" s="18"/>
    </row>
    <row r="9761">
      <c r="C9761" s="18"/>
      <c r="D9761" s="19"/>
      <c r="E9761" s="57"/>
      <c r="H9761" s="18"/>
    </row>
    <row r="9762">
      <c r="C9762" s="18"/>
      <c r="D9762" s="19"/>
      <c r="E9762" s="57"/>
      <c r="H9762" s="18"/>
    </row>
    <row r="9763">
      <c r="C9763" s="18"/>
      <c r="D9763" s="19"/>
      <c r="E9763" s="57"/>
      <c r="H9763" s="18"/>
    </row>
    <row r="9764">
      <c r="C9764" s="18"/>
      <c r="D9764" s="19"/>
      <c r="E9764" s="57"/>
      <c r="H9764" s="18"/>
    </row>
    <row r="9765">
      <c r="C9765" s="18"/>
      <c r="D9765" s="19"/>
      <c r="E9765" s="57"/>
      <c r="H9765" s="18"/>
    </row>
    <row r="9766">
      <c r="C9766" s="18"/>
      <c r="D9766" s="19"/>
      <c r="E9766" s="57"/>
      <c r="H9766" s="18"/>
    </row>
    <row r="9767">
      <c r="C9767" s="18"/>
      <c r="D9767" s="19"/>
      <c r="E9767" s="57"/>
      <c r="H9767" s="18"/>
    </row>
    <row r="9768">
      <c r="C9768" s="18"/>
      <c r="D9768" s="19"/>
      <c r="E9768" s="57"/>
      <c r="H9768" s="18"/>
    </row>
    <row r="9769">
      <c r="C9769" s="18"/>
      <c r="D9769" s="19"/>
      <c r="E9769" s="57"/>
      <c r="H9769" s="18"/>
    </row>
    <row r="9770">
      <c r="C9770" s="18"/>
      <c r="D9770" s="19"/>
      <c r="E9770" s="57"/>
      <c r="H9770" s="18"/>
    </row>
    <row r="9771">
      <c r="C9771" s="18"/>
      <c r="D9771" s="19"/>
      <c r="E9771" s="57"/>
      <c r="H9771" s="18"/>
    </row>
    <row r="9772">
      <c r="C9772" s="18"/>
      <c r="D9772" s="19"/>
      <c r="E9772" s="57"/>
      <c r="H9772" s="18"/>
    </row>
    <row r="9773">
      <c r="C9773" s="18"/>
      <c r="D9773" s="19"/>
      <c r="E9773" s="57"/>
      <c r="H9773" s="18"/>
    </row>
    <row r="9774">
      <c r="C9774" s="18"/>
      <c r="D9774" s="19"/>
      <c r="E9774" s="57"/>
      <c r="H9774" s="18"/>
    </row>
    <row r="9775">
      <c r="C9775" s="18"/>
      <c r="D9775" s="19"/>
      <c r="E9775" s="57"/>
      <c r="H9775" s="18"/>
    </row>
    <row r="9776">
      <c r="C9776" s="18"/>
      <c r="D9776" s="19"/>
      <c r="E9776" s="57"/>
      <c r="H9776" s="18"/>
    </row>
    <row r="9777">
      <c r="C9777" s="18"/>
      <c r="D9777" s="19"/>
      <c r="E9777" s="57"/>
      <c r="H9777" s="18"/>
    </row>
    <row r="9778">
      <c r="C9778" s="18"/>
      <c r="D9778" s="19"/>
      <c r="E9778" s="57"/>
      <c r="H9778" s="18"/>
    </row>
    <row r="9779">
      <c r="C9779" s="18"/>
      <c r="D9779" s="19"/>
      <c r="E9779" s="57"/>
      <c r="H9779" s="18"/>
    </row>
    <row r="9780">
      <c r="C9780" s="18"/>
      <c r="D9780" s="19"/>
      <c r="E9780" s="57"/>
      <c r="H9780" s="18"/>
    </row>
    <row r="9781">
      <c r="C9781" s="18"/>
      <c r="D9781" s="19"/>
      <c r="E9781" s="57"/>
      <c r="H9781" s="18"/>
    </row>
    <row r="9782">
      <c r="C9782" s="18"/>
      <c r="D9782" s="19"/>
      <c r="E9782" s="57"/>
      <c r="H9782" s="18"/>
    </row>
    <row r="9783">
      <c r="C9783" s="18"/>
      <c r="D9783" s="19"/>
      <c r="E9783" s="57"/>
      <c r="H9783" s="18"/>
    </row>
    <row r="9784">
      <c r="C9784" s="18"/>
      <c r="D9784" s="19"/>
      <c r="E9784" s="57"/>
      <c r="H9784" s="18"/>
    </row>
    <row r="9785">
      <c r="C9785" s="18"/>
      <c r="D9785" s="19"/>
      <c r="E9785" s="57"/>
      <c r="H9785" s="18"/>
    </row>
    <row r="9786">
      <c r="C9786" s="18"/>
      <c r="D9786" s="19"/>
      <c r="E9786" s="57"/>
      <c r="H9786" s="18"/>
    </row>
    <row r="9787">
      <c r="C9787" s="18"/>
      <c r="D9787" s="19"/>
      <c r="E9787" s="57"/>
      <c r="H9787" s="18"/>
    </row>
    <row r="9788">
      <c r="C9788" s="18"/>
      <c r="D9788" s="19"/>
      <c r="E9788" s="57"/>
      <c r="H9788" s="18"/>
    </row>
    <row r="9789">
      <c r="C9789" s="18"/>
      <c r="D9789" s="19"/>
      <c r="E9789" s="57"/>
      <c r="H9789" s="18"/>
    </row>
    <row r="9790">
      <c r="C9790" s="18"/>
      <c r="D9790" s="19"/>
      <c r="E9790" s="57"/>
      <c r="H9790" s="18"/>
    </row>
    <row r="9791">
      <c r="C9791" s="18"/>
      <c r="D9791" s="19"/>
      <c r="E9791" s="57"/>
      <c r="H9791" s="18"/>
    </row>
    <row r="9792">
      <c r="C9792" s="18"/>
      <c r="D9792" s="19"/>
      <c r="E9792" s="57"/>
      <c r="H9792" s="18"/>
    </row>
    <row r="9793">
      <c r="C9793" s="18"/>
      <c r="D9793" s="19"/>
      <c r="E9793" s="57"/>
      <c r="H9793" s="18"/>
    </row>
    <row r="9794">
      <c r="C9794" s="18"/>
      <c r="D9794" s="19"/>
      <c r="E9794" s="57"/>
      <c r="H9794" s="18"/>
    </row>
    <row r="9795">
      <c r="C9795" s="18"/>
      <c r="D9795" s="19"/>
      <c r="E9795" s="57"/>
      <c r="H9795" s="18"/>
    </row>
    <row r="9796">
      <c r="C9796" s="18"/>
      <c r="D9796" s="19"/>
      <c r="E9796" s="57"/>
      <c r="H9796" s="18"/>
    </row>
    <row r="9797">
      <c r="C9797" s="18"/>
      <c r="D9797" s="19"/>
      <c r="E9797" s="57"/>
      <c r="H9797" s="18"/>
    </row>
    <row r="9798">
      <c r="C9798" s="18"/>
      <c r="D9798" s="19"/>
      <c r="E9798" s="57"/>
      <c r="H9798" s="18"/>
    </row>
    <row r="9799">
      <c r="C9799" s="18"/>
      <c r="D9799" s="19"/>
      <c r="E9799" s="57"/>
      <c r="H9799" s="18"/>
    </row>
    <row r="9800">
      <c r="C9800" s="18"/>
      <c r="D9800" s="19"/>
      <c r="E9800" s="57"/>
      <c r="H9800" s="18"/>
    </row>
    <row r="9801">
      <c r="C9801" s="18"/>
      <c r="D9801" s="19"/>
      <c r="E9801" s="57"/>
      <c r="H9801" s="18"/>
    </row>
    <row r="9802">
      <c r="C9802" s="18"/>
      <c r="D9802" s="19"/>
      <c r="E9802" s="57"/>
      <c r="H9802" s="18"/>
    </row>
    <row r="9803">
      <c r="C9803" s="18"/>
      <c r="D9803" s="19"/>
      <c r="E9803" s="57"/>
      <c r="H9803" s="18"/>
    </row>
    <row r="9804">
      <c r="C9804" s="18"/>
      <c r="D9804" s="19"/>
      <c r="E9804" s="57"/>
      <c r="H9804" s="18"/>
    </row>
    <row r="9805">
      <c r="C9805" s="18"/>
      <c r="D9805" s="19"/>
      <c r="E9805" s="57"/>
      <c r="H9805" s="18"/>
    </row>
    <row r="9806">
      <c r="C9806" s="18"/>
      <c r="D9806" s="19"/>
      <c r="E9806" s="57"/>
      <c r="H9806" s="18"/>
    </row>
    <row r="9807">
      <c r="C9807" s="18"/>
      <c r="D9807" s="19"/>
      <c r="E9807" s="57"/>
      <c r="H9807" s="18"/>
    </row>
    <row r="9808">
      <c r="C9808" s="18"/>
      <c r="D9808" s="19"/>
      <c r="E9808" s="57"/>
      <c r="H9808" s="18"/>
    </row>
    <row r="9809">
      <c r="C9809" s="18"/>
      <c r="D9809" s="19"/>
      <c r="E9809" s="57"/>
      <c r="H9809" s="18"/>
    </row>
    <row r="9810">
      <c r="C9810" s="18"/>
      <c r="D9810" s="19"/>
      <c r="E9810" s="57"/>
      <c r="H9810" s="18"/>
    </row>
    <row r="9811">
      <c r="C9811" s="18"/>
      <c r="D9811" s="19"/>
      <c r="E9811" s="57"/>
      <c r="H9811" s="18"/>
    </row>
    <row r="9812">
      <c r="C9812" s="18"/>
      <c r="D9812" s="19"/>
      <c r="E9812" s="57"/>
      <c r="H9812" s="18"/>
    </row>
    <row r="9813">
      <c r="C9813" s="18"/>
      <c r="D9813" s="19"/>
      <c r="E9813" s="57"/>
      <c r="H9813" s="18"/>
    </row>
    <row r="9814">
      <c r="C9814" s="18"/>
      <c r="D9814" s="19"/>
      <c r="E9814" s="57"/>
      <c r="H9814" s="18"/>
    </row>
    <row r="9815">
      <c r="C9815" s="18"/>
      <c r="D9815" s="19"/>
      <c r="E9815" s="57"/>
      <c r="H9815" s="18"/>
    </row>
    <row r="9816">
      <c r="C9816" s="18"/>
      <c r="D9816" s="19"/>
      <c r="E9816" s="57"/>
      <c r="H9816" s="18"/>
    </row>
    <row r="9817">
      <c r="C9817" s="18"/>
      <c r="D9817" s="19"/>
      <c r="E9817" s="57"/>
      <c r="H9817" s="18"/>
    </row>
    <row r="9818">
      <c r="C9818" s="18"/>
      <c r="D9818" s="19"/>
      <c r="E9818" s="57"/>
      <c r="H9818" s="18"/>
    </row>
    <row r="9819">
      <c r="C9819" s="18"/>
      <c r="D9819" s="19"/>
      <c r="E9819" s="57"/>
      <c r="H9819" s="18"/>
    </row>
    <row r="9820">
      <c r="C9820" s="18"/>
      <c r="D9820" s="19"/>
      <c r="E9820" s="57"/>
      <c r="H9820" s="18"/>
    </row>
    <row r="9821">
      <c r="C9821" s="18"/>
      <c r="D9821" s="19"/>
      <c r="E9821" s="57"/>
      <c r="H9821" s="18"/>
    </row>
    <row r="9822">
      <c r="C9822" s="18"/>
      <c r="D9822" s="19"/>
      <c r="E9822" s="57"/>
      <c r="H9822" s="18"/>
    </row>
    <row r="9823">
      <c r="C9823" s="18"/>
      <c r="D9823" s="19"/>
      <c r="E9823" s="57"/>
      <c r="H9823" s="18"/>
    </row>
    <row r="9824">
      <c r="C9824" s="18"/>
      <c r="D9824" s="19"/>
      <c r="E9824" s="57"/>
      <c r="H9824" s="18"/>
    </row>
    <row r="9825">
      <c r="C9825" s="18"/>
      <c r="D9825" s="19"/>
      <c r="E9825" s="57"/>
      <c r="H9825" s="18"/>
    </row>
    <row r="9826">
      <c r="C9826" s="18"/>
      <c r="D9826" s="19"/>
      <c r="E9826" s="57"/>
      <c r="H9826" s="18"/>
    </row>
    <row r="9827">
      <c r="C9827" s="18"/>
      <c r="D9827" s="19"/>
      <c r="E9827" s="57"/>
      <c r="H9827" s="18"/>
    </row>
    <row r="9828">
      <c r="C9828" s="18"/>
      <c r="D9828" s="19"/>
      <c r="E9828" s="57"/>
      <c r="H9828" s="18"/>
    </row>
    <row r="9829">
      <c r="C9829" s="18"/>
      <c r="D9829" s="19"/>
      <c r="E9829" s="57"/>
      <c r="H9829" s="18"/>
    </row>
    <row r="9830">
      <c r="C9830" s="18"/>
      <c r="D9830" s="19"/>
      <c r="E9830" s="57"/>
      <c r="H9830" s="18"/>
    </row>
    <row r="9831">
      <c r="C9831" s="18"/>
      <c r="D9831" s="19"/>
      <c r="E9831" s="57"/>
      <c r="H9831" s="18"/>
    </row>
    <row r="9832">
      <c r="C9832" s="18"/>
      <c r="D9832" s="19"/>
      <c r="E9832" s="57"/>
      <c r="H9832" s="18"/>
    </row>
    <row r="9833">
      <c r="C9833" s="18"/>
      <c r="D9833" s="19"/>
      <c r="E9833" s="57"/>
      <c r="H9833" s="18"/>
    </row>
    <row r="9834">
      <c r="C9834" s="18"/>
      <c r="D9834" s="19"/>
      <c r="E9834" s="57"/>
      <c r="H9834" s="18"/>
    </row>
    <row r="9835">
      <c r="C9835" s="18"/>
      <c r="D9835" s="19"/>
      <c r="E9835" s="57"/>
      <c r="H9835" s="18"/>
    </row>
    <row r="9836">
      <c r="C9836" s="18"/>
      <c r="D9836" s="19"/>
      <c r="E9836" s="57"/>
      <c r="H9836" s="18"/>
    </row>
    <row r="9837">
      <c r="C9837" s="18"/>
      <c r="D9837" s="19"/>
      <c r="E9837" s="57"/>
      <c r="H9837" s="18"/>
    </row>
    <row r="9838">
      <c r="C9838" s="18"/>
      <c r="D9838" s="19"/>
      <c r="E9838" s="57"/>
      <c r="H9838" s="18"/>
    </row>
    <row r="9839">
      <c r="C9839" s="18"/>
      <c r="D9839" s="19"/>
      <c r="E9839" s="57"/>
      <c r="H9839" s="18"/>
    </row>
    <row r="9840">
      <c r="C9840" s="18"/>
      <c r="D9840" s="19"/>
      <c r="E9840" s="57"/>
      <c r="H9840" s="18"/>
    </row>
    <row r="9841">
      <c r="C9841" s="18"/>
      <c r="D9841" s="19"/>
      <c r="E9841" s="57"/>
      <c r="H9841" s="18"/>
    </row>
    <row r="9842">
      <c r="C9842" s="18"/>
      <c r="D9842" s="19"/>
      <c r="E9842" s="57"/>
      <c r="H9842" s="18"/>
    </row>
    <row r="9843">
      <c r="C9843" s="18"/>
      <c r="D9843" s="19"/>
      <c r="E9843" s="57"/>
      <c r="H9843" s="18"/>
    </row>
    <row r="9844">
      <c r="C9844" s="18"/>
      <c r="D9844" s="19"/>
      <c r="E9844" s="57"/>
      <c r="H9844" s="18"/>
    </row>
    <row r="9845">
      <c r="C9845" s="18"/>
      <c r="D9845" s="19"/>
      <c r="E9845" s="57"/>
      <c r="H9845" s="18"/>
    </row>
    <row r="9846">
      <c r="C9846" s="18"/>
      <c r="D9846" s="19"/>
      <c r="E9846" s="57"/>
      <c r="H9846" s="18"/>
    </row>
    <row r="9847">
      <c r="C9847" s="18"/>
      <c r="D9847" s="19"/>
      <c r="E9847" s="57"/>
      <c r="H9847" s="18"/>
    </row>
    <row r="9848">
      <c r="C9848" s="18"/>
      <c r="D9848" s="19"/>
      <c r="E9848" s="57"/>
      <c r="H9848" s="18"/>
    </row>
    <row r="9849">
      <c r="C9849" s="18"/>
      <c r="D9849" s="19"/>
      <c r="E9849" s="57"/>
      <c r="H9849" s="18"/>
    </row>
    <row r="9850">
      <c r="C9850" s="18"/>
      <c r="D9850" s="19"/>
      <c r="E9850" s="57"/>
      <c r="H9850" s="18"/>
    </row>
    <row r="9851">
      <c r="C9851" s="18"/>
      <c r="D9851" s="19"/>
      <c r="E9851" s="57"/>
      <c r="H9851" s="18"/>
    </row>
    <row r="9852">
      <c r="C9852" s="18"/>
      <c r="D9852" s="19"/>
      <c r="E9852" s="57"/>
      <c r="H9852" s="18"/>
    </row>
    <row r="9853">
      <c r="C9853" s="18"/>
      <c r="D9853" s="19"/>
      <c r="E9853" s="57"/>
      <c r="H9853" s="18"/>
    </row>
    <row r="9854">
      <c r="C9854" s="18"/>
      <c r="D9854" s="19"/>
      <c r="E9854" s="57"/>
      <c r="H9854" s="18"/>
    </row>
    <row r="9855">
      <c r="C9855" s="18"/>
      <c r="D9855" s="19"/>
      <c r="E9855" s="57"/>
      <c r="H9855" s="18"/>
    </row>
    <row r="9856">
      <c r="C9856" s="18"/>
      <c r="D9856" s="19"/>
      <c r="E9856" s="57"/>
      <c r="H9856" s="18"/>
    </row>
    <row r="9857">
      <c r="C9857" s="18"/>
      <c r="D9857" s="19"/>
      <c r="E9857" s="57"/>
      <c r="H9857" s="18"/>
    </row>
    <row r="9858">
      <c r="C9858" s="18"/>
      <c r="D9858" s="19"/>
      <c r="E9858" s="57"/>
      <c r="H9858" s="18"/>
    </row>
    <row r="9859">
      <c r="C9859" s="18"/>
      <c r="D9859" s="19"/>
      <c r="E9859" s="57"/>
      <c r="H9859" s="18"/>
    </row>
    <row r="9860">
      <c r="C9860" s="18"/>
      <c r="D9860" s="19"/>
      <c r="E9860" s="57"/>
      <c r="H9860" s="18"/>
    </row>
    <row r="9861">
      <c r="C9861" s="18"/>
      <c r="D9861" s="19"/>
      <c r="E9861" s="57"/>
      <c r="H9861" s="18"/>
    </row>
    <row r="9862">
      <c r="C9862" s="18"/>
      <c r="D9862" s="19"/>
      <c r="E9862" s="57"/>
      <c r="H9862" s="18"/>
    </row>
    <row r="9863">
      <c r="C9863" s="18"/>
      <c r="D9863" s="19"/>
      <c r="E9863" s="57"/>
      <c r="H9863" s="18"/>
    </row>
    <row r="9864">
      <c r="C9864" s="18"/>
      <c r="D9864" s="19"/>
      <c r="E9864" s="57"/>
      <c r="H9864" s="18"/>
    </row>
    <row r="9865">
      <c r="C9865" s="18"/>
      <c r="D9865" s="19"/>
      <c r="E9865" s="57"/>
      <c r="H9865" s="18"/>
    </row>
    <row r="9866">
      <c r="C9866" s="18"/>
      <c r="D9866" s="19"/>
      <c r="E9866" s="57"/>
      <c r="H9866" s="18"/>
    </row>
    <row r="9867">
      <c r="C9867" s="18"/>
      <c r="D9867" s="19"/>
      <c r="E9867" s="57"/>
      <c r="H9867" s="18"/>
    </row>
    <row r="9868">
      <c r="C9868" s="18"/>
      <c r="D9868" s="19"/>
      <c r="E9868" s="57"/>
      <c r="H9868" s="18"/>
    </row>
    <row r="9869">
      <c r="C9869" s="18"/>
      <c r="D9869" s="19"/>
      <c r="E9869" s="57"/>
      <c r="H9869" s="18"/>
    </row>
    <row r="9870">
      <c r="C9870" s="18"/>
      <c r="D9870" s="19"/>
      <c r="E9870" s="57"/>
      <c r="H9870" s="18"/>
    </row>
    <row r="9871">
      <c r="C9871" s="18"/>
      <c r="D9871" s="19"/>
      <c r="E9871" s="57"/>
      <c r="H9871" s="18"/>
    </row>
    <row r="9872">
      <c r="C9872" s="18"/>
      <c r="D9872" s="19"/>
      <c r="E9872" s="57"/>
      <c r="H9872" s="18"/>
    </row>
    <row r="9873">
      <c r="C9873" s="18"/>
      <c r="D9873" s="19"/>
      <c r="E9873" s="57"/>
      <c r="H9873" s="18"/>
    </row>
    <row r="9874">
      <c r="C9874" s="18"/>
      <c r="D9874" s="19"/>
      <c r="E9874" s="57"/>
      <c r="H9874" s="18"/>
    </row>
    <row r="9875">
      <c r="C9875" s="18"/>
      <c r="D9875" s="19"/>
      <c r="E9875" s="57"/>
      <c r="H9875" s="18"/>
    </row>
    <row r="9876">
      <c r="C9876" s="18"/>
      <c r="D9876" s="19"/>
      <c r="E9876" s="57"/>
      <c r="H9876" s="18"/>
    </row>
    <row r="9877">
      <c r="C9877" s="18"/>
      <c r="D9877" s="19"/>
      <c r="E9877" s="57"/>
      <c r="H9877" s="18"/>
    </row>
    <row r="9878">
      <c r="C9878" s="18"/>
      <c r="D9878" s="19"/>
      <c r="E9878" s="57"/>
      <c r="H9878" s="18"/>
    </row>
    <row r="9879">
      <c r="C9879" s="18"/>
      <c r="D9879" s="19"/>
      <c r="E9879" s="57"/>
      <c r="H9879" s="18"/>
    </row>
    <row r="9880">
      <c r="C9880" s="18"/>
      <c r="D9880" s="19"/>
      <c r="E9880" s="57"/>
      <c r="H9880" s="18"/>
    </row>
    <row r="9881">
      <c r="C9881" s="18"/>
      <c r="D9881" s="19"/>
      <c r="E9881" s="57"/>
      <c r="H9881" s="18"/>
    </row>
    <row r="9882">
      <c r="C9882" s="18"/>
      <c r="D9882" s="19"/>
      <c r="E9882" s="57"/>
      <c r="H9882" s="18"/>
    </row>
    <row r="9883">
      <c r="C9883" s="18"/>
      <c r="D9883" s="19"/>
      <c r="E9883" s="57"/>
      <c r="H9883" s="18"/>
    </row>
    <row r="9884">
      <c r="C9884" s="18"/>
      <c r="D9884" s="19"/>
      <c r="E9884" s="57"/>
      <c r="H9884" s="18"/>
    </row>
    <row r="9885">
      <c r="C9885" s="18"/>
      <c r="D9885" s="19"/>
      <c r="E9885" s="57"/>
      <c r="H9885" s="18"/>
    </row>
    <row r="9886">
      <c r="C9886" s="18"/>
      <c r="D9886" s="19"/>
      <c r="E9886" s="57"/>
      <c r="H9886" s="18"/>
    </row>
    <row r="9887">
      <c r="C9887" s="18"/>
      <c r="D9887" s="19"/>
      <c r="E9887" s="57"/>
      <c r="H9887" s="18"/>
    </row>
    <row r="9888">
      <c r="C9888" s="18"/>
      <c r="D9888" s="19"/>
      <c r="E9888" s="57"/>
      <c r="H9888" s="18"/>
    </row>
    <row r="9889">
      <c r="C9889" s="18"/>
      <c r="D9889" s="19"/>
      <c r="E9889" s="57"/>
      <c r="H9889" s="18"/>
    </row>
    <row r="9890">
      <c r="C9890" s="18"/>
      <c r="D9890" s="19"/>
      <c r="E9890" s="57"/>
      <c r="H9890" s="18"/>
    </row>
    <row r="9891">
      <c r="C9891" s="18"/>
      <c r="D9891" s="19"/>
      <c r="E9891" s="57"/>
      <c r="H9891" s="18"/>
    </row>
    <row r="9892">
      <c r="C9892" s="18"/>
      <c r="D9892" s="19"/>
      <c r="E9892" s="57"/>
      <c r="H9892" s="18"/>
    </row>
    <row r="9893">
      <c r="C9893" s="18"/>
      <c r="D9893" s="19"/>
      <c r="E9893" s="57"/>
      <c r="H9893" s="18"/>
    </row>
    <row r="9894">
      <c r="C9894" s="18"/>
      <c r="D9894" s="19"/>
      <c r="E9894" s="57"/>
      <c r="H9894" s="18"/>
    </row>
    <row r="9895">
      <c r="C9895" s="18"/>
      <c r="D9895" s="19"/>
      <c r="E9895" s="57"/>
      <c r="H9895" s="18"/>
    </row>
    <row r="9896">
      <c r="C9896" s="18"/>
      <c r="D9896" s="19"/>
      <c r="E9896" s="57"/>
      <c r="H9896" s="18"/>
    </row>
    <row r="9897">
      <c r="C9897" s="18"/>
      <c r="D9897" s="19"/>
      <c r="E9897" s="57"/>
      <c r="H9897" s="18"/>
    </row>
    <row r="9898">
      <c r="C9898" s="18"/>
      <c r="D9898" s="19"/>
      <c r="E9898" s="57"/>
      <c r="H9898" s="18"/>
    </row>
    <row r="9899">
      <c r="C9899" s="18"/>
      <c r="D9899" s="19"/>
      <c r="E9899" s="57"/>
      <c r="H9899" s="18"/>
    </row>
    <row r="9900">
      <c r="C9900" s="18"/>
      <c r="D9900" s="19"/>
      <c r="E9900" s="57"/>
      <c r="H9900" s="18"/>
    </row>
    <row r="9901">
      <c r="C9901" s="18"/>
      <c r="D9901" s="19"/>
      <c r="E9901" s="57"/>
      <c r="H9901" s="18"/>
    </row>
    <row r="9902">
      <c r="C9902" s="18"/>
      <c r="D9902" s="19"/>
      <c r="E9902" s="57"/>
      <c r="H9902" s="18"/>
    </row>
    <row r="9903">
      <c r="C9903" s="18"/>
      <c r="D9903" s="19"/>
      <c r="E9903" s="57"/>
      <c r="H9903" s="18"/>
    </row>
    <row r="9904">
      <c r="C9904" s="18"/>
      <c r="D9904" s="19"/>
      <c r="E9904" s="57"/>
      <c r="H9904" s="18"/>
    </row>
    <row r="9905">
      <c r="C9905" s="18"/>
      <c r="D9905" s="19"/>
      <c r="E9905" s="57"/>
      <c r="H9905" s="18"/>
    </row>
    <row r="9906">
      <c r="C9906" s="18"/>
      <c r="D9906" s="19"/>
      <c r="E9906" s="57"/>
      <c r="H9906" s="18"/>
    </row>
    <row r="9907">
      <c r="C9907" s="18"/>
      <c r="D9907" s="19"/>
      <c r="E9907" s="57"/>
      <c r="H9907" s="18"/>
    </row>
    <row r="9908">
      <c r="C9908" s="18"/>
      <c r="D9908" s="19"/>
      <c r="E9908" s="57"/>
      <c r="H9908" s="18"/>
    </row>
    <row r="9909">
      <c r="C9909" s="18"/>
      <c r="D9909" s="19"/>
      <c r="E9909" s="57"/>
      <c r="H9909" s="18"/>
    </row>
    <row r="9910">
      <c r="C9910" s="18"/>
      <c r="D9910" s="19"/>
      <c r="E9910" s="57"/>
      <c r="H9910" s="18"/>
    </row>
    <row r="9911">
      <c r="C9911" s="18"/>
      <c r="D9911" s="19"/>
      <c r="E9911" s="57"/>
      <c r="H9911" s="18"/>
    </row>
    <row r="9912">
      <c r="C9912" s="18"/>
      <c r="D9912" s="19"/>
      <c r="E9912" s="57"/>
      <c r="H9912" s="18"/>
    </row>
    <row r="9913">
      <c r="C9913" s="18"/>
      <c r="D9913" s="19"/>
      <c r="E9913" s="57"/>
      <c r="H9913" s="18"/>
    </row>
    <row r="9914">
      <c r="C9914" s="18"/>
      <c r="D9914" s="19"/>
      <c r="E9914" s="57"/>
      <c r="H9914" s="18"/>
    </row>
    <row r="9915">
      <c r="C9915" s="18"/>
      <c r="D9915" s="19"/>
      <c r="E9915" s="57"/>
      <c r="H9915" s="18"/>
    </row>
    <row r="9916">
      <c r="C9916" s="18"/>
      <c r="D9916" s="19"/>
      <c r="E9916" s="57"/>
      <c r="H9916" s="18"/>
    </row>
    <row r="9917">
      <c r="C9917" s="18"/>
      <c r="D9917" s="19"/>
      <c r="E9917" s="57"/>
      <c r="H9917" s="18"/>
    </row>
    <row r="9918">
      <c r="C9918" s="18"/>
      <c r="D9918" s="19"/>
      <c r="E9918" s="57"/>
      <c r="H9918" s="18"/>
    </row>
    <row r="9919">
      <c r="C9919" s="18"/>
      <c r="D9919" s="19"/>
      <c r="E9919" s="57"/>
      <c r="H9919" s="18"/>
    </row>
    <row r="9920">
      <c r="C9920" s="18"/>
      <c r="D9920" s="19"/>
      <c r="E9920" s="57"/>
      <c r="H9920" s="18"/>
    </row>
    <row r="9921">
      <c r="C9921" s="18"/>
      <c r="D9921" s="19"/>
      <c r="E9921" s="57"/>
      <c r="H9921" s="18"/>
    </row>
    <row r="9922">
      <c r="C9922" s="18"/>
      <c r="D9922" s="19"/>
      <c r="E9922" s="57"/>
      <c r="H9922" s="18"/>
    </row>
    <row r="9923">
      <c r="C9923" s="18"/>
      <c r="D9923" s="19"/>
      <c r="E9923" s="57"/>
      <c r="H9923" s="18"/>
    </row>
    <row r="9924">
      <c r="C9924" s="18"/>
      <c r="D9924" s="19"/>
      <c r="E9924" s="57"/>
      <c r="H9924" s="18"/>
    </row>
    <row r="9925">
      <c r="C9925" s="18"/>
      <c r="D9925" s="19"/>
      <c r="E9925" s="57"/>
      <c r="H9925" s="18"/>
    </row>
    <row r="9926">
      <c r="C9926" s="18"/>
      <c r="D9926" s="19"/>
      <c r="E9926" s="57"/>
      <c r="H9926" s="18"/>
    </row>
    <row r="9927">
      <c r="C9927" s="18"/>
      <c r="D9927" s="19"/>
      <c r="E9927" s="57"/>
      <c r="H9927" s="18"/>
    </row>
    <row r="9928">
      <c r="C9928" s="18"/>
      <c r="D9928" s="19"/>
      <c r="E9928" s="57"/>
      <c r="H9928" s="18"/>
    </row>
    <row r="9929">
      <c r="C9929" s="18"/>
      <c r="D9929" s="19"/>
      <c r="E9929" s="57"/>
      <c r="H9929" s="18"/>
    </row>
    <row r="9930">
      <c r="C9930" s="18"/>
      <c r="D9930" s="19"/>
      <c r="E9930" s="57"/>
      <c r="H9930" s="18"/>
    </row>
    <row r="9931">
      <c r="C9931" s="18"/>
      <c r="D9931" s="19"/>
      <c r="E9931" s="57"/>
      <c r="H9931" s="18"/>
    </row>
    <row r="9932">
      <c r="C9932" s="18"/>
      <c r="D9932" s="19"/>
      <c r="E9932" s="57"/>
      <c r="H9932" s="18"/>
    </row>
    <row r="9933">
      <c r="C9933" s="18"/>
      <c r="D9933" s="19"/>
      <c r="E9933" s="57"/>
      <c r="H9933" s="18"/>
    </row>
    <row r="9934">
      <c r="C9934" s="18"/>
      <c r="D9934" s="19"/>
      <c r="E9934" s="57"/>
      <c r="H9934" s="18"/>
    </row>
    <row r="9935">
      <c r="C9935" s="18"/>
      <c r="D9935" s="19"/>
      <c r="E9935" s="57"/>
      <c r="H9935" s="18"/>
    </row>
    <row r="9936">
      <c r="C9936" s="18"/>
      <c r="D9936" s="19"/>
      <c r="E9936" s="57"/>
      <c r="H9936" s="18"/>
    </row>
    <row r="9937">
      <c r="C9937" s="18"/>
      <c r="D9937" s="19"/>
      <c r="E9937" s="57"/>
      <c r="H9937" s="18"/>
    </row>
    <row r="9938">
      <c r="C9938" s="18"/>
      <c r="D9938" s="19"/>
      <c r="E9938" s="57"/>
      <c r="H9938" s="18"/>
    </row>
    <row r="9939">
      <c r="C9939" s="18"/>
      <c r="D9939" s="19"/>
      <c r="E9939" s="57"/>
      <c r="H9939" s="18"/>
    </row>
    <row r="9940">
      <c r="C9940" s="18"/>
      <c r="D9940" s="19"/>
      <c r="E9940" s="57"/>
      <c r="H9940" s="18"/>
    </row>
    <row r="9941">
      <c r="C9941" s="18"/>
      <c r="D9941" s="19"/>
      <c r="E9941" s="57"/>
      <c r="H9941" s="18"/>
    </row>
    <row r="9942">
      <c r="C9942" s="18"/>
      <c r="D9942" s="19"/>
      <c r="E9942" s="57"/>
      <c r="H9942" s="18"/>
    </row>
    <row r="9943">
      <c r="C9943" s="18"/>
      <c r="D9943" s="19"/>
      <c r="E9943" s="57"/>
      <c r="H9943" s="18"/>
    </row>
    <row r="9944">
      <c r="C9944" s="18"/>
      <c r="D9944" s="19"/>
      <c r="E9944" s="57"/>
      <c r="H9944" s="18"/>
    </row>
    <row r="9945">
      <c r="C9945" s="18"/>
      <c r="D9945" s="19"/>
      <c r="E9945" s="57"/>
      <c r="H9945" s="18"/>
    </row>
    <row r="9946">
      <c r="C9946" s="18"/>
      <c r="D9946" s="19"/>
      <c r="E9946" s="57"/>
      <c r="H9946" s="18"/>
    </row>
    <row r="9947">
      <c r="C9947" s="18"/>
      <c r="D9947" s="19"/>
      <c r="E9947" s="57"/>
      <c r="H9947" s="18"/>
    </row>
    <row r="9948">
      <c r="C9948" s="18"/>
      <c r="D9948" s="19"/>
      <c r="E9948" s="57"/>
      <c r="H9948" s="18"/>
    </row>
    <row r="9949">
      <c r="C9949" s="18"/>
      <c r="D9949" s="19"/>
      <c r="E9949" s="57"/>
      <c r="H9949" s="18"/>
    </row>
    <row r="9950">
      <c r="C9950" s="18"/>
      <c r="D9950" s="19"/>
      <c r="E9950" s="57"/>
      <c r="H9950" s="18"/>
    </row>
    <row r="9951">
      <c r="C9951" s="18"/>
      <c r="D9951" s="19"/>
      <c r="E9951" s="57"/>
      <c r="H9951" s="18"/>
    </row>
    <row r="9952">
      <c r="C9952" s="18"/>
      <c r="D9952" s="19"/>
      <c r="E9952" s="57"/>
      <c r="H9952" s="18"/>
    </row>
    <row r="9953">
      <c r="C9953" s="18"/>
      <c r="D9953" s="19"/>
      <c r="E9953" s="57"/>
      <c r="H9953" s="18"/>
    </row>
    <row r="9954">
      <c r="C9954" s="18"/>
      <c r="D9954" s="19"/>
      <c r="E9954" s="57"/>
      <c r="H9954" s="18"/>
    </row>
    <row r="9955">
      <c r="C9955" s="18"/>
      <c r="D9955" s="19"/>
      <c r="E9955" s="57"/>
      <c r="H9955" s="18"/>
    </row>
    <row r="9956">
      <c r="C9956" s="18"/>
      <c r="D9956" s="19"/>
      <c r="E9956" s="57"/>
      <c r="H9956" s="18"/>
    </row>
    <row r="9957">
      <c r="C9957" s="18"/>
      <c r="D9957" s="19"/>
      <c r="E9957" s="57"/>
      <c r="H9957" s="18"/>
    </row>
    <row r="9958">
      <c r="C9958" s="18"/>
      <c r="D9958" s="19"/>
      <c r="E9958" s="57"/>
      <c r="H9958" s="18"/>
    </row>
    <row r="9959">
      <c r="C9959" s="18"/>
      <c r="D9959" s="19"/>
      <c r="E9959" s="57"/>
      <c r="H9959" s="18"/>
    </row>
    <row r="9960">
      <c r="C9960" s="18"/>
      <c r="D9960" s="19"/>
      <c r="E9960" s="57"/>
      <c r="H9960" s="18"/>
    </row>
    <row r="9961">
      <c r="C9961" s="18"/>
      <c r="D9961" s="19"/>
      <c r="E9961" s="57"/>
      <c r="H9961" s="18"/>
    </row>
    <row r="9962">
      <c r="C9962" s="18"/>
      <c r="D9962" s="19"/>
      <c r="E9962" s="57"/>
      <c r="H9962" s="18"/>
    </row>
    <row r="9963">
      <c r="C9963" s="18"/>
      <c r="D9963" s="19"/>
      <c r="E9963" s="57"/>
      <c r="H9963" s="18"/>
    </row>
    <row r="9964">
      <c r="C9964" s="18"/>
      <c r="D9964" s="19"/>
      <c r="E9964" s="57"/>
      <c r="H9964" s="18"/>
    </row>
    <row r="9965">
      <c r="C9965" s="18"/>
      <c r="D9965" s="19"/>
      <c r="E9965" s="57"/>
      <c r="H9965" s="18"/>
    </row>
    <row r="9966">
      <c r="C9966" s="18"/>
      <c r="D9966" s="19"/>
      <c r="E9966" s="57"/>
      <c r="H9966" s="18"/>
    </row>
    <row r="9967">
      <c r="C9967" s="18"/>
      <c r="D9967" s="19"/>
      <c r="E9967" s="57"/>
      <c r="H9967" s="18"/>
    </row>
    <row r="9968">
      <c r="C9968" s="18"/>
      <c r="D9968" s="19"/>
      <c r="E9968" s="57"/>
      <c r="H9968" s="18"/>
    </row>
    <row r="9969">
      <c r="C9969" s="18"/>
      <c r="D9969" s="19"/>
      <c r="E9969" s="57"/>
      <c r="H9969" s="18"/>
    </row>
    <row r="9970">
      <c r="C9970" s="18"/>
      <c r="D9970" s="19"/>
      <c r="E9970" s="57"/>
      <c r="H9970" s="18"/>
    </row>
    <row r="9971">
      <c r="C9971" s="18"/>
      <c r="D9971" s="19"/>
      <c r="E9971" s="57"/>
      <c r="H9971" s="18"/>
    </row>
    <row r="9972">
      <c r="C9972" s="18"/>
      <c r="D9972" s="19"/>
      <c r="E9972" s="57"/>
      <c r="H9972" s="18"/>
    </row>
    <row r="9973">
      <c r="C9973" s="18"/>
      <c r="D9973" s="19"/>
      <c r="E9973" s="57"/>
      <c r="H9973" s="18"/>
    </row>
    <row r="9974">
      <c r="C9974" s="18"/>
      <c r="D9974" s="19"/>
      <c r="E9974" s="57"/>
      <c r="H9974" s="18"/>
    </row>
    <row r="9975">
      <c r="C9975" s="18"/>
      <c r="D9975" s="19"/>
      <c r="E9975" s="57"/>
      <c r="H9975" s="18"/>
    </row>
    <row r="9976">
      <c r="C9976" s="18"/>
      <c r="D9976" s="19"/>
      <c r="E9976" s="57"/>
      <c r="H9976" s="18"/>
    </row>
    <row r="9977">
      <c r="C9977" s="18"/>
      <c r="D9977" s="19"/>
      <c r="E9977" s="57"/>
      <c r="H9977" s="18"/>
    </row>
    <row r="9978">
      <c r="C9978" s="18"/>
      <c r="D9978" s="19"/>
      <c r="E9978" s="57"/>
      <c r="H9978" s="18"/>
    </row>
    <row r="9979">
      <c r="C9979" s="18"/>
      <c r="D9979" s="19"/>
      <c r="E9979" s="57"/>
      <c r="H9979" s="18"/>
    </row>
    <row r="9980">
      <c r="C9980" s="18"/>
      <c r="D9980" s="19"/>
      <c r="E9980" s="57"/>
      <c r="H9980" s="18"/>
    </row>
    <row r="9981">
      <c r="C9981" s="18"/>
      <c r="D9981" s="19"/>
      <c r="E9981" s="57"/>
      <c r="H9981" s="18"/>
    </row>
    <row r="9982">
      <c r="C9982" s="18"/>
      <c r="D9982" s="19"/>
      <c r="E9982" s="57"/>
      <c r="H9982" s="18"/>
    </row>
    <row r="9983">
      <c r="C9983" s="18"/>
      <c r="D9983" s="19"/>
      <c r="E9983" s="57"/>
      <c r="H9983" s="18"/>
    </row>
    <row r="9984">
      <c r="C9984" s="18"/>
      <c r="D9984" s="19"/>
      <c r="E9984" s="57"/>
      <c r="H9984" s="18"/>
    </row>
    <row r="9985">
      <c r="C9985" s="18"/>
      <c r="D9985" s="19"/>
      <c r="E9985" s="57"/>
      <c r="H9985" s="18"/>
    </row>
    <row r="9986">
      <c r="C9986" s="18"/>
      <c r="D9986" s="19"/>
      <c r="E9986" s="57"/>
      <c r="H9986" s="18"/>
    </row>
    <row r="9987">
      <c r="C9987" s="18"/>
      <c r="D9987" s="19"/>
      <c r="E9987" s="57"/>
      <c r="H9987" s="18"/>
    </row>
    <row r="9988">
      <c r="C9988" s="18"/>
      <c r="D9988" s="19"/>
      <c r="E9988" s="57"/>
      <c r="H9988" s="18"/>
    </row>
    <row r="9989">
      <c r="C9989" s="18"/>
      <c r="D9989" s="19"/>
      <c r="E9989" s="57"/>
      <c r="H9989" s="18"/>
    </row>
    <row r="9990">
      <c r="C9990" s="18"/>
      <c r="D9990" s="19"/>
      <c r="E9990" s="57"/>
      <c r="H9990" s="18"/>
    </row>
    <row r="9991">
      <c r="C9991" s="18"/>
      <c r="D9991" s="19"/>
      <c r="E9991" s="57"/>
      <c r="H9991" s="18"/>
    </row>
    <row r="9992">
      <c r="C9992" s="18"/>
      <c r="D9992" s="19"/>
      <c r="E9992" s="57"/>
      <c r="H9992" s="18"/>
    </row>
    <row r="9993">
      <c r="C9993" s="18"/>
      <c r="D9993" s="19"/>
      <c r="E9993" s="57"/>
      <c r="H9993" s="18"/>
    </row>
    <row r="9994">
      <c r="C9994" s="18"/>
      <c r="D9994" s="19"/>
      <c r="E9994" s="57"/>
      <c r="H9994" s="18"/>
    </row>
    <row r="9995">
      <c r="C9995" s="18"/>
      <c r="D9995" s="19"/>
      <c r="E9995" s="57"/>
      <c r="H9995" s="18"/>
    </row>
    <row r="9996">
      <c r="C9996" s="18"/>
      <c r="D9996" s="19"/>
      <c r="E9996" s="57"/>
      <c r="H9996" s="18"/>
    </row>
    <row r="9997">
      <c r="C9997" s="18"/>
      <c r="D9997" s="19"/>
      <c r="E9997" s="57"/>
      <c r="H9997" s="18"/>
    </row>
    <row r="9998">
      <c r="C9998" s="18"/>
      <c r="D9998" s="19"/>
      <c r="E9998" s="57"/>
      <c r="H9998" s="18"/>
    </row>
    <row r="9999">
      <c r="C9999" s="18"/>
      <c r="D9999" s="19"/>
      <c r="E9999" s="57"/>
      <c r="H9999" s="18"/>
    </row>
    <row r="10000">
      <c r="C10000" s="18"/>
      <c r="D10000" s="19"/>
      <c r="E10000" s="57"/>
      <c r="H10000" s="18"/>
    </row>
    <row r="10001">
      <c r="C10001" s="18"/>
      <c r="D10001" s="19"/>
      <c r="E10001" s="57"/>
      <c r="H10001" s="18"/>
    </row>
    <row r="10002">
      <c r="C10002" s="18"/>
      <c r="D10002" s="19"/>
      <c r="E10002" s="57"/>
      <c r="H10002" s="18"/>
    </row>
    <row r="10003">
      <c r="C10003" s="18"/>
      <c r="D10003" s="19"/>
      <c r="E10003" s="57"/>
      <c r="H10003" s="18"/>
    </row>
    <row r="10004">
      <c r="C10004" s="18"/>
      <c r="D10004" s="19"/>
      <c r="E10004" s="57"/>
      <c r="H10004" s="18"/>
    </row>
    <row r="10005">
      <c r="C10005" s="18"/>
      <c r="D10005" s="19"/>
      <c r="E10005" s="57"/>
      <c r="H10005" s="18"/>
    </row>
    <row r="10006">
      <c r="C10006" s="18"/>
      <c r="D10006" s="19"/>
      <c r="E10006" s="57"/>
      <c r="H10006" s="18"/>
    </row>
    <row r="10007">
      <c r="C10007" s="18"/>
      <c r="D10007" s="19"/>
      <c r="E10007" s="57"/>
      <c r="H10007" s="18"/>
    </row>
    <row r="10008">
      <c r="C10008" s="18"/>
      <c r="D10008" s="19"/>
      <c r="E10008" s="57"/>
      <c r="H10008" s="18"/>
    </row>
    <row r="10009">
      <c r="C10009" s="18"/>
      <c r="D10009" s="19"/>
      <c r="E10009" s="57"/>
      <c r="H10009" s="18"/>
    </row>
    <row r="10010">
      <c r="C10010" s="18"/>
      <c r="D10010" s="19"/>
      <c r="E10010" s="57"/>
      <c r="H10010" s="18"/>
    </row>
    <row r="10011">
      <c r="C10011" s="18"/>
      <c r="D10011" s="19"/>
      <c r="E10011" s="57"/>
      <c r="H10011" s="18"/>
    </row>
    <row r="10012">
      <c r="C10012" s="18"/>
      <c r="D10012" s="19"/>
      <c r="E10012" s="57"/>
      <c r="H10012" s="18"/>
    </row>
    <row r="10013">
      <c r="C10013" s="18"/>
      <c r="D10013" s="19"/>
      <c r="E10013" s="57"/>
      <c r="H10013" s="18"/>
    </row>
    <row r="10014">
      <c r="C10014" s="18"/>
      <c r="D10014" s="19"/>
      <c r="E10014" s="57"/>
      <c r="H10014" s="18"/>
    </row>
    <row r="10015">
      <c r="C10015" s="18"/>
      <c r="D10015" s="19"/>
      <c r="E10015" s="57"/>
      <c r="H10015" s="18"/>
    </row>
    <row r="10016">
      <c r="C10016" s="18"/>
      <c r="D10016" s="19"/>
      <c r="E10016" s="57"/>
      <c r="H10016" s="18"/>
    </row>
    <row r="10017">
      <c r="C10017" s="18"/>
      <c r="D10017" s="19"/>
      <c r="E10017" s="57"/>
      <c r="H10017" s="18"/>
    </row>
    <row r="10018">
      <c r="C10018" s="18"/>
      <c r="D10018" s="19"/>
      <c r="E10018" s="57"/>
      <c r="H10018" s="18"/>
    </row>
    <row r="10019">
      <c r="C10019" s="18"/>
      <c r="D10019" s="19"/>
      <c r="E10019" s="57"/>
      <c r="H10019" s="18"/>
    </row>
    <row r="10020">
      <c r="C10020" s="18"/>
      <c r="D10020" s="19"/>
      <c r="E10020" s="57"/>
      <c r="H10020" s="18"/>
    </row>
    <row r="10021">
      <c r="C10021" s="18"/>
      <c r="D10021" s="19"/>
      <c r="E10021" s="57"/>
      <c r="H10021" s="18"/>
    </row>
    <row r="10022">
      <c r="C10022" s="18"/>
      <c r="D10022" s="19"/>
      <c r="E10022" s="57"/>
      <c r="H10022" s="18"/>
    </row>
    <row r="10023">
      <c r="C10023" s="18"/>
      <c r="D10023" s="19"/>
      <c r="E10023" s="57"/>
      <c r="H10023" s="18"/>
    </row>
    <row r="10024">
      <c r="C10024" s="18"/>
      <c r="D10024" s="19"/>
      <c r="E10024" s="57"/>
      <c r="H10024" s="18"/>
    </row>
    <row r="10025">
      <c r="C10025" s="18"/>
      <c r="D10025" s="19"/>
      <c r="E10025" s="57"/>
      <c r="H10025" s="18"/>
    </row>
    <row r="10026">
      <c r="C10026" s="18"/>
      <c r="D10026" s="19"/>
      <c r="E10026" s="57"/>
      <c r="H10026" s="18"/>
    </row>
    <row r="10027">
      <c r="C10027" s="18"/>
      <c r="D10027" s="19"/>
      <c r="E10027" s="57"/>
      <c r="H10027" s="18"/>
    </row>
    <row r="10028">
      <c r="C10028" s="18"/>
      <c r="D10028" s="19"/>
      <c r="E10028" s="57"/>
      <c r="H10028" s="18"/>
    </row>
    <row r="10029">
      <c r="C10029" s="18"/>
      <c r="D10029" s="19"/>
      <c r="E10029" s="57"/>
      <c r="H10029" s="18"/>
    </row>
    <row r="10030">
      <c r="C10030" s="18"/>
      <c r="D10030" s="19"/>
      <c r="E10030" s="57"/>
      <c r="H10030" s="18"/>
    </row>
    <row r="10031">
      <c r="C10031" s="18"/>
      <c r="D10031" s="19"/>
      <c r="E10031" s="57"/>
      <c r="H10031" s="18"/>
    </row>
    <row r="10032">
      <c r="C10032" s="18"/>
      <c r="D10032" s="19"/>
      <c r="E10032" s="57"/>
      <c r="H10032" s="18"/>
    </row>
    <row r="10033">
      <c r="C10033" s="18"/>
      <c r="D10033" s="19"/>
      <c r="E10033" s="57"/>
      <c r="H10033" s="18"/>
    </row>
    <row r="10034">
      <c r="C10034" s="18"/>
      <c r="D10034" s="19"/>
      <c r="E10034" s="57"/>
      <c r="H10034" s="18"/>
    </row>
    <row r="10035">
      <c r="C10035" s="18"/>
      <c r="D10035" s="19"/>
      <c r="E10035" s="57"/>
      <c r="H10035" s="18"/>
    </row>
    <row r="10036">
      <c r="C10036" s="18"/>
      <c r="D10036" s="19"/>
      <c r="E10036" s="57"/>
      <c r="H10036" s="18"/>
    </row>
    <row r="10037">
      <c r="C10037" s="18"/>
      <c r="D10037" s="19"/>
      <c r="E10037" s="57"/>
      <c r="H10037" s="18"/>
    </row>
    <row r="10038">
      <c r="C10038" s="18"/>
      <c r="D10038" s="19"/>
      <c r="E10038" s="57"/>
      <c r="H10038" s="18"/>
    </row>
    <row r="10039">
      <c r="C10039" s="18"/>
      <c r="D10039" s="19"/>
      <c r="E10039" s="57"/>
      <c r="H10039" s="18"/>
    </row>
    <row r="10040">
      <c r="C10040" s="18"/>
      <c r="D10040" s="19"/>
      <c r="E10040" s="57"/>
      <c r="H10040" s="18"/>
    </row>
    <row r="10041">
      <c r="C10041" s="18"/>
      <c r="D10041" s="19"/>
      <c r="E10041" s="57"/>
      <c r="H10041" s="18"/>
    </row>
    <row r="10042">
      <c r="C10042" s="18"/>
      <c r="D10042" s="19"/>
      <c r="E10042" s="57"/>
      <c r="H10042" s="18"/>
    </row>
    <row r="10043">
      <c r="C10043" s="18"/>
      <c r="D10043" s="19"/>
      <c r="E10043" s="57"/>
      <c r="H10043" s="18"/>
    </row>
    <row r="10044">
      <c r="C10044" s="18"/>
      <c r="D10044" s="19"/>
      <c r="E10044" s="57"/>
      <c r="H10044" s="18"/>
    </row>
    <row r="10045">
      <c r="C10045" s="18"/>
      <c r="D10045" s="19"/>
      <c r="E10045" s="57"/>
      <c r="H10045" s="18"/>
    </row>
    <row r="10046">
      <c r="C10046" s="18"/>
      <c r="D10046" s="19"/>
      <c r="E10046" s="57"/>
      <c r="H10046" s="18"/>
    </row>
    <row r="10047">
      <c r="C10047" s="18"/>
      <c r="D10047" s="19"/>
      <c r="E10047" s="57"/>
      <c r="H10047" s="18"/>
    </row>
    <row r="10048">
      <c r="C10048" s="18"/>
      <c r="D10048" s="19"/>
      <c r="E10048" s="57"/>
      <c r="H10048" s="18"/>
    </row>
    <row r="10049">
      <c r="C10049" s="18"/>
      <c r="D10049" s="19"/>
      <c r="E10049" s="57"/>
      <c r="H10049" s="18"/>
    </row>
    <row r="10050">
      <c r="C10050" s="18"/>
      <c r="D10050" s="19"/>
      <c r="E10050" s="57"/>
      <c r="H10050" s="18"/>
    </row>
    <row r="10051">
      <c r="C10051" s="18"/>
      <c r="D10051" s="19"/>
      <c r="E10051" s="57"/>
      <c r="H10051" s="18"/>
    </row>
    <row r="10052">
      <c r="C10052" s="18"/>
      <c r="D10052" s="19"/>
      <c r="E10052" s="57"/>
      <c r="H10052" s="18"/>
    </row>
    <row r="10053">
      <c r="C10053" s="18"/>
      <c r="D10053" s="19"/>
      <c r="E10053" s="57"/>
      <c r="H10053" s="18"/>
    </row>
    <row r="10054">
      <c r="C10054" s="18"/>
      <c r="D10054" s="19"/>
      <c r="E10054" s="57"/>
      <c r="H10054" s="18"/>
    </row>
    <row r="10055">
      <c r="C10055" s="18"/>
      <c r="D10055" s="19"/>
      <c r="E10055" s="57"/>
      <c r="H10055" s="18"/>
    </row>
    <row r="10056">
      <c r="C10056" s="18"/>
      <c r="D10056" s="19"/>
      <c r="E10056" s="57"/>
      <c r="H10056" s="18"/>
    </row>
    <row r="10057">
      <c r="C10057" s="18"/>
      <c r="D10057" s="19"/>
      <c r="E10057" s="57"/>
      <c r="H10057" s="18"/>
    </row>
    <row r="10058">
      <c r="C10058" s="18"/>
      <c r="D10058" s="19"/>
      <c r="E10058" s="57"/>
      <c r="H10058" s="18"/>
    </row>
    <row r="10059">
      <c r="C10059" s="18"/>
      <c r="D10059" s="19"/>
      <c r="E10059" s="57"/>
      <c r="H10059" s="18"/>
    </row>
    <row r="10060">
      <c r="C10060" s="18"/>
      <c r="D10060" s="19"/>
      <c r="E10060" s="57"/>
      <c r="H10060" s="18"/>
    </row>
    <row r="10061">
      <c r="C10061" s="18"/>
      <c r="D10061" s="19"/>
      <c r="E10061" s="57"/>
      <c r="H10061" s="18"/>
    </row>
    <row r="10062">
      <c r="C10062" s="18"/>
      <c r="D10062" s="19"/>
      <c r="E10062" s="57"/>
      <c r="H10062" s="18"/>
    </row>
    <row r="10063">
      <c r="C10063" s="18"/>
      <c r="D10063" s="19"/>
      <c r="E10063" s="57"/>
      <c r="H10063" s="18"/>
    </row>
    <row r="10064">
      <c r="C10064" s="18"/>
      <c r="D10064" s="19"/>
      <c r="E10064" s="57"/>
      <c r="H10064" s="18"/>
    </row>
    <row r="10065">
      <c r="C10065" s="18"/>
      <c r="D10065" s="19"/>
      <c r="E10065" s="57"/>
      <c r="H10065" s="18"/>
    </row>
    <row r="10066">
      <c r="C10066" s="18"/>
      <c r="D10066" s="19"/>
      <c r="E10066" s="57"/>
      <c r="H10066" s="18"/>
    </row>
    <row r="10067">
      <c r="C10067" s="18"/>
      <c r="D10067" s="19"/>
      <c r="E10067" s="57"/>
      <c r="H10067" s="18"/>
    </row>
    <row r="10068">
      <c r="C10068" s="18"/>
      <c r="D10068" s="19"/>
      <c r="E10068" s="57"/>
      <c r="H10068" s="18"/>
    </row>
    <row r="10069">
      <c r="C10069" s="18"/>
      <c r="D10069" s="19"/>
      <c r="E10069" s="57"/>
      <c r="H10069" s="18"/>
    </row>
    <row r="10070">
      <c r="C10070" s="18"/>
      <c r="D10070" s="19"/>
      <c r="E10070" s="57"/>
      <c r="H10070" s="18"/>
    </row>
    <row r="10071">
      <c r="C10071" s="18"/>
      <c r="D10071" s="19"/>
      <c r="E10071" s="57"/>
      <c r="H10071" s="18"/>
    </row>
    <row r="10072">
      <c r="C10072" s="18"/>
      <c r="D10072" s="19"/>
      <c r="E10072" s="57"/>
      <c r="H10072" s="18"/>
    </row>
    <row r="10073">
      <c r="C10073" s="18"/>
      <c r="D10073" s="19"/>
      <c r="E10073" s="57"/>
      <c r="H10073" s="18"/>
    </row>
    <row r="10074">
      <c r="C10074" s="18"/>
      <c r="D10074" s="19"/>
      <c r="E10074" s="57"/>
      <c r="H10074" s="18"/>
    </row>
    <row r="10075">
      <c r="C10075" s="18"/>
      <c r="D10075" s="19"/>
      <c r="E10075" s="57"/>
      <c r="H10075" s="18"/>
    </row>
    <row r="10076">
      <c r="C10076" s="18"/>
      <c r="D10076" s="19"/>
      <c r="E10076" s="57"/>
      <c r="H10076" s="18"/>
    </row>
    <row r="10077">
      <c r="C10077" s="18"/>
      <c r="D10077" s="19"/>
      <c r="E10077" s="57"/>
      <c r="H10077" s="18"/>
    </row>
    <row r="10078">
      <c r="C10078" s="18"/>
      <c r="D10078" s="19"/>
      <c r="E10078" s="57"/>
      <c r="H10078" s="18"/>
    </row>
    <row r="10079">
      <c r="C10079" s="18"/>
      <c r="D10079" s="19"/>
      <c r="E10079" s="57"/>
      <c r="H10079" s="18"/>
    </row>
    <row r="10080">
      <c r="C10080" s="18"/>
      <c r="D10080" s="19"/>
      <c r="E10080" s="57"/>
      <c r="H10080" s="18"/>
    </row>
    <row r="10081">
      <c r="C10081" s="18"/>
      <c r="D10081" s="19"/>
      <c r="E10081" s="57"/>
      <c r="H10081" s="18"/>
    </row>
    <row r="10082">
      <c r="C10082" s="18"/>
      <c r="D10082" s="19"/>
      <c r="E10082" s="57"/>
      <c r="H10082" s="18"/>
    </row>
    <row r="10083">
      <c r="C10083" s="18"/>
      <c r="D10083" s="19"/>
      <c r="E10083" s="57"/>
      <c r="H10083" s="18"/>
    </row>
    <row r="10084">
      <c r="C10084" s="18"/>
      <c r="D10084" s="19"/>
      <c r="E10084" s="57"/>
      <c r="H10084" s="18"/>
    </row>
    <row r="10085">
      <c r="C10085" s="18"/>
      <c r="D10085" s="19"/>
      <c r="E10085" s="57"/>
      <c r="H10085" s="18"/>
    </row>
    <row r="10086">
      <c r="C10086" s="18"/>
      <c r="D10086" s="19"/>
      <c r="E10086" s="57"/>
      <c r="H10086" s="18"/>
    </row>
    <row r="10087">
      <c r="C10087" s="18"/>
      <c r="D10087" s="19"/>
      <c r="E10087" s="57"/>
      <c r="H10087" s="18"/>
    </row>
    <row r="10088">
      <c r="C10088" s="18"/>
      <c r="D10088" s="19"/>
      <c r="E10088" s="57"/>
      <c r="H10088" s="18"/>
    </row>
    <row r="10089">
      <c r="C10089" s="18"/>
      <c r="D10089" s="19"/>
      <c r="E10089" s="57"/>
      <c r="H10089" s="18"/>
    </row>
    <row r="10090">
      <c r="C10090" s="18"/>
      <c r="D10090" s="19"/>
      <c r="E10090" s="57"/>
      <c r="H10090" s="18"/>
    </row>
    <row r="10091">
      <c r="C10091" s="18"/>
      <c r="D10091" s="19"/>
      <c r="E10091" s="57"/>
      <c r="H10091" s="18"/>
    </row>
    <row r="10092">
      <c r="C10092" s="18"/>
      <c r="D10092" s="19"/>
      <c r="E10092" s="57"/>
      <c r="H10092" s="18"/>
    </row>
    <row r="10093">
      <c r="C10093" s="18"/>
      <c r="D10093" s="19"/>
      <c r="E10093" s="57"/>
      <c r="H10093" s="18"/>
    </row>
    <row r="10094">
      <c r="C10094" s="18"/>
      <c r="D10094" s="19"/>
      <c r="E10094" s="57"/>
      <c r="H10094" s="18"/>
    </row>
    <row r="10095">
      <c r="C10095" s="18"/>
      <c r="D10095" s="19"/>
      <c r="E10095" s="57"/>
      <c r="H10095" s="18"/>
    </row>
    <row r="10096">
      <c r="C10096" s="18"/>
      <c r="D10096" s="19"/>
      <c r="E10096" s="57"/>
      <c r="H10096" s="18"/>
    </row>
    <row r="10097">
      <c r="C10097" s="18"/>
      <c r="D10097" s="19"/>
      <c r="E10097" s="57"/>
      <c r="H10097" s="18"/>
    </row>
    <row r="10098">
      <c r="C10098" s="18"/>
      <c r="D10098" s="19"/>
      <c r="E10098" s="57"/>
      <c r="H10098" s="18"/>
    </row>
    <row r="10099">
      <c r="C10099" s="18"/>
      <c r="D10099" s="19"/>
      <c r="E10099" s="57"/>
      <c r="H10099" s="18"/>
    </row>
    <row r="10100">
      <c r="C10100" s="18"/>
      <c r="D10100" s="19"/>
      <c r="E10100" s="57"/>
      <c r="H10100" s="18"/>
    </row>
    <row r="10101">
      <c r="C10101" s="18"/>
      <c r="D10101" s="19"/>
      <c r="E10101" s="57"/>
      <c r="H10101" s="18"/>
    </row>
    <row r="10102">
      <c r="C10102" s="18"/>
      <c r="D10102" s="19"/>
      <c r="E10102" s="57"/>
      <c r="H10102" s="18"/>
    </row>
    <row r="10103">
      <c r="C10103" s="18"/>
      <c r="D10103" s="19"/>
      <c r="E10103" s="57"/>
      <c r="H10103" s="18"/>
    </row>
    <row r="10104">
      <c r="C10104" s="18"/>
      <c r="D10104" s="19"/>
      <c r="E10104" s="57"/>
      <c r="H10104" s="18"/>
    </row>
    <row r="10105">
      <c r="C10105" s="18"/>
      <c r="D10105" s="19"/>
      <c r="E10105" s="57"/>
      <c r="H10105" s="18"/>
    </row>
    <row r="10106">
      <c r="C10106" s="18"/>
      <c r="D10106" s="19"/>
      <c r="E10106" s="57"/>
      <c r="H10106" s="18"/>
    </row>
    <row r="10107">
      <c r="C10107" s="18"/>
      <c r="D10107" s="19"/>
      <c r="E10107" s="57"/>
      <c r="H10107" s="18"/>
    </row>
    <row r="10108">
      <c r="C10108" s="18"/>
      <c r="D10108" s="19"/>
      <c r="E10108" s="57"/>
      <c r="H10108" s="18"/>
    </row>
    <row r="10109">
      <c r="C10109" s="18"/>
      <c r="D10109" s="19"/>
      <c r="E10109" s="57"/>
      <c r="H10109" s="18"/>
    </row>
    <row r="10110">
      <c r="C10110" s="18"/>
      <c r="D10110" s="19"/>
      <c r="E10110" s="57"/>
      <c r="H10110" s="18"/>
    </row>
    <row r="10111">
      <c r="C10111" s="18"/>
      <c r="D10111" s="19"/>
      <c r="E10111" s="57"/>
      <c r="H10111" s="18"/>
    </row>
    <row r="10112">
      <c r="C10112" s="18"/>
      <c r="D10112" s="19"/>
      <c r="E10112" s="57"/>
      <c r="H10112" s="18"/>
    </row>
    <row r="10113">
      <c r="C10113" s="18"/>
      <c r="D10113" s="19"/>
      <c r="E10113" s="57"/>
      <c r="H10113" s="18"/>
    </row>
    <row r="10114">
      <c r="C10114" s="18"/>
      <c r="D10114" s="19"/>
      <c r="E10114" s="57"/>
      <c r="H10114" s="18"/>
    </row>
    <row r="10115">
      <c r="C10115" s="18"/>
      <c r="D10115" s="19"/>
      <c r="E10115" s="57"/>
      <c r="H10115" s="18"/>
    </row>
    <row r="10116">
      <c r="C10116" s="18"/>
      <c r="D10116" s="19"/>
      <c r="E10116" s="57"/>
      <c r="H10116" s="18"/>
    </row>
    <row r="10117">
      <c r="C10117" s="18"/>
      <c r="D10117" s="19"/>
      <c r="E10117" s="57"/>
      <c r="H10117" s="18"/>
    </row>
    <row r="10118">
      <c r="C10118" s="18"/>
      <c r="D10118" s="19"/>
      <c r="E10118" s="57"/>
      <c r="H10118" s="18"/>
    </row>
    <row r="10119">
      <c r="C10119" s="18"/>
      <c r="D10119" s="19"/>
      <c r="E10119" s="57"/>
      <c r="H10119" s="18"/>
    </row>
    <row r="10120">
      <c r="C10120" s="18"/>
      <c r="D10120" s="19"/>
      <c r="E10120" s="57"/>
      <c r="H10120" s="18"/>
    </row>
    <row r="10121">
      <c r="C10121" s="18"/>
      <c r="D10121" s="19"/>
      <c r="E10121" s="57"/>
      <c r="H10121" s="18"/>
    </row>
    <row r="10122">
      <c r="C10122" s="18"/>
      <c r="D10122" s="19"/>
      <c r="E10122" s="57"/>
      <c r="H10122" s="18"/>
    </row>
    <row r="10123">
      <c r="C10123" s="18"/>
      <c r="D10123" s="19"/>
      <c r="E10123" s="57"/>
      <c r="H10123" s="18"/>
    </row>
    <row r="10124">
      <c r="C10124" s="18"/>
      <c r="D10124" s="19"/>
      <c r="E10124" s="57"/>
      <c r="H10124" s="18"/>
    </row>
    <row r="10125">
      <c r="C10125" s="18"/>
      <c r="D10125" s="19"/>
      <c r="E10125" s="57"/>
      <c r="H10125" s="18"/>
    </row>
    <row r="10126">
      <c r="C10126" s="18"/>
      <c r="D10126" s="19"/>
      <c r="E10126" s="57"/>
      <c r="H10126" s="18"/>
    </row>
    <row r="10127">
      <c r="C10127" s="18"/>
      <c r="D10127" s="19"/>
      <c r="E10127" s="57"/>
      <c r="H10127" s="18"/>
    </row>
    <row r="10128">
      <c r="C10128" s="18"/>
      <c r="D10128" s="19"/>
      <c r="E10128" s="57"/>
      <c r="H10128" s="18"/>
    </row>
    <row r="10129">
      <c r="C10129" s="18"/>
      <c r="D10129" s="19"/>
      <c r="E10129" s="57"/>
      <c r="H10129" s="18"/>
    </row>
    <row r="10130">
      <c r="C10130" s="18"/>
      <c r="D10130" s="19"/>
      <c r="E10130" s="57"/>
      <c r="H10130" s="18"/>
    </row>
    <row r="10131">
      <c r="C10131" s="18"/>
      <c r="D10131" s="19"/>
      <c r="E10131" s="57"/>
      <c r="H10131" s="18"/>
    </row>
    <row r="10132">
      <c r="C10132" s="18"/>
      <c r="D10132" s="19"/>
      <c r="E10132" s="57"/>
      <c r="H10132" s="18"/>
    </row>
    <row r="10133">
      <c r="C10133" s="18"/>
      <c r="D10133" s="19"/>
      <c r="E10133" s="57"/>
      <c r="H10133" s="18"/>
    </row>
    <row r="10134">
      <c r="C10134" s="18"/>
      <c r="D10134" s="19"/>
      <c r="E10134" s="57"/>
      <c r="H10134" s="18"/>
    </row>
    <row r="10135">
      <c r="C10135" s="18"/>
      <c r="D10135" s="19"/>
      <c r="E10135" s="57"/>
      <c r="H10135" s="18"/>
    </row>
    <row r="10136">
      <c r="C10136" s="18"/>
      <c r="D10136" s="19"/>
      <c r="E10136" s="57"/>
      <c r="H10136" s="18"/>
    </row>
    <row r="10137">
      <c r="C10137" s="18"/>
      <c r="D10137" s="19"/>
      <c r="E10137" s="57"/>
      <c r="H10137" s="18"/>
    </row>
    <row r="10138">
      <c r="C10138" s="18"/>
      <c r="D10138" s="19"/>
      <c r="E10138" s="57"/>
      <c r="H10138" s="18"/>
    </row>
    <row r="10139">
      <c r="C10139" s="18"/>
      <c r="D10139" s="19"/>
      <c r="E10139" s="57"/>
      <c r="H10139" s="18"/>
    </row>
    <row r="10140">
      <c r="C10140" s="18"/>
      <c r="D10140" s="19"/>
      <c r="E10140" s="57"/>
      <c r="H10140" s="18"/>
    </row>
    <row r="10141">
      <c r="C10141" s="18"/>
      <c r="D10141" s="19"/>
      <c r="E10141" s="57"/>
      <c r="H10141" s="18"/>
    </row>
    <row r="10142">
      <c r="C10142" s="18"/>
      <c r="D10142" s="19"/>
      <c r="E10142" s="57"/>
      <c r="H10142" s="18"/>
    </row>
    <row r="10143">
      <c r="C10143" s="18"/>
      <c r="D10143" s="19"/>
      <c r="E10143" s="57"/>
      <c r="H10143" s="18"/>
    </row>
    <row r="10144">
      <c r="C10144" s="18"/>
      <c r="D10144" s="19"/>
      <c r="E10144" s="57"/>
      <c r="H10144" s="18"/>
    </row>
    <row r="10145">
      <c r="C10145" s="18"/>
      <c r="D10145" s="19"/>
      <c r="E10145" s="57"/>
      <c r="H10145" s="18"/>
    </row>
    <row r="10146">
      <c r="C10146" s="18"/>
      <c r="D10146" s="19"/>
      <c r="E10146" s="57"/>
      <c r="H10146" s="18"/>
    </row>
    <row r="10147">
      <c r="C10147" s="18"/>
      <c r="D10147" s="19"/>
      <c r="E10147" s="57"/>
      <c r="H10147" s="18"/>
    </row>
    <row r="10148">
      <c r="C10148" s="18"/>
      <c r="D10148" s="19"/>
      <c r="E10148" s="57"/>
      <c r="H10148" s="18"/>
    </row>
    <row r="10149">
      <c r="C10149" s="18"/>
      <c r="D10149" s="19"/>
      <c r="E10149" s="57"/>
      <c r="H10149" s="18"/>
    </row>
    <row r="10150">
      <c r="C10150" s="18"/>
      <c r="D10150" s="19"/>
      <c r="E10150" s="57"/>
      <c r="H10150" s="18"/>
    </row>
    <row r="10151">
      <c r="C10151" s="18"/>
      <c r="D10151" s="19"/>
      <c r="E10151" s="57"/>
      <c r="H10151" s="18"/>
    </row>
    <row r="10152">
      <c r="C10152" s="18"/>
      <c r="D10152" s="19"/>
      <c r="E10152" s="57"/>
      <c r="H10152" s="18"/>
    </row>
    <row r="10153">
      <c r="C10153" s="18"/>
      <c r="D10153" s="19"/>
      <c r="E10153" s="57"/>
      <c r="H10153" s="18"/>
    </row>
    <row r="10154">
      <c r="C10154" s="18"/>
      <c r="D10154" s="19"/>
      <c r="E10154" s="57"/>
      <c r="H10154" s="18"/>
    </row>
    <row r="10155">
      <c r="C10155" s="18"/>
      <c r="D10155" s="19"/>
      <c r="E10155" s="57"/>
      <c r="H10155" s="18"/>
    </row>
    <row r="10156">
      <c r="C10156" s="18"/>
      <c r="D10156" s="19"/>
      <c r="E10156" s="57"/>
      <c r="H10156" s="18"/>
    </row>
    <row r="10157">
      <c r="C10157" s="18"/>
      <c r="D10157" s="19"/>
      <c r="E10157" s="57"/>
      <c r="H10157" s="18"/>
    </row>
    <row r="10158">
      <c r="C10158" s="18"/>
      <c r="D10158" s="19"/>
      <c r="E10158" s="57"/>
      <c r="H10158" s="18"/>
    </row>
    <row r="10159">
      <c r="C10159" s="18"/>
      <c r="D10159" s="19"/>
      <c r="E10159" s="57"/>
      <c r="H10159" s="18"/>
    </row>
    <row r="10160">
      <c r="C10160" s="18"/>
      <c r="D10160" s="19"/>
      <c r="E10160" s="57"/>
      <c r="H10160" s="18"/>
    </row>
    <row r="10161">
      <c r="C10161" s="18"/>
      <c r="D10161" s="19"/>
      <c r="E10161" s="57"/>
      <c r="H10161" s="18"/>
    </row>
    <row r="10162">
      <c r="C10162" s="18"/>
      <c r="D10162" s="19"/>
      <c r="E10162" s="57"/>
      <c r="H10162" s="18"/>
    </row>
    <row r="10163">
      <c r="C10163" s="18"/>
      <c r="D10163" s="19"/>
      <c r="E10163" s="57"/>
      <c r="H10163" s="18"/>
    </row>
    <row r="10164">
      <c r="C10164" s="18"/>
      <c r="D10164" s="19"/>
      <c r="E10164" s="57"/>
      <c r="H10164" s="18"/>
    </row>
    <row r="10165">
      <c r="C10165" s="18"/>
      <c r="D10165" s="19"/>
      <c r="E10165" s="57"/>
      <c r="H10165" s="18"/>
    </row>
    <row r="10166">
      <c r="C10166" s="18"/>
      <c r="D10166" s="19"/>
      <c r="E10166" s="57"/>
      <c r="H10166" s="18"/>
    </row>
    <row r="10167">
      <c r="C10167" s="18"/>
      <c r="D10167" s="19"/>
      <c r="E10167" s="57"/>
      <c r="H10167" s="18"/>
    </row>
    <row r="10168">
      <c r="C10168" s="18"/>
      <c r="D10168" s="19"/>
      <c r="E10168" s="57"/>
      <c r="H10168" s="18"/>
    </row>
    <row r="10169">
      <c r="C10169" s="18"/>
      <c r="D10169" s="19"/>
      <c r="E10169" s="57"/>
      <c r="H10169" s="18"/>
    </row>
    <row r="10170">
      <c r="C10170" s="18"/>
      <c r="D10170" s="19"/>
      <c r="E10170" s="57"/>
      <c r="H10170" s="18"/>
    </row>
    <row r="10171">
      <c r="C10171" s="18"/>
      <c r="D10171" s="19"/>
      <c r="E10171" s="57"/>
      <c r="H10171" s="18"/>
    </row>
    <row r="10172">
      <c r="C10172" s="18"/>
      <c r="D10172" s="19"/>
      <c r="E10172" s="57"/>
      <c r="H10172" s="18"/>
    </row>
    <row r="10173">
      <c r="C10173" s="18"/>
      <c r="D10173" s="19"/>
      <c r="E10173" s="57"/>
      <c r="H10173" s="18"/>
    </row>
    <row r="10174">
      <c r="C10174" s="18"/>
      <c r="D10174" s="19"/>
      <c r="E10174" s="57"/>
      <c r="H10174" s="18"/>
    </row>
    <row r="10175">
      <c r="C10175" s="18"/>
      <c r="D10175" s="19"/>
      <c r="E10175" s="57"/>
      <c r="H10175" s="18"/>
    </row>
    <row r="10176">
      <c r="C10176" s="18"/>
      <c r="D10176" s="19"/>
      <c r="E10176" s="57"/>
      <c r="H10176" s="18"/>
    </row>
    <row r="10177">
      <c r="C10177" s="18"/>
      <c r="D10177" s="19"/>
      <c r="E10177" s="57"/>
      <c r="H10177" s="18"/>
    </row>
    <row r="10178">
      <c r="C10178" s="18"/>
      <c r="D10178" s="19"/>
      <c r="E10178" s="57"/>
      <c r="H10178" s="18"/>
    </row>
    <row r="10179">
      <c r="C10179" s="18"/>
      <c r="D10179" s="19"/>
      <c r="E10179" s="57"/>
      <c r="H10179" s="18"/>
    </row>
    <row r="10180">
      <c r="C10180" s="18"/>
      <c r="D10180" s="19"/>
      <c r="E10180" s="57"/>
      <c r="H10180" s="18"/>
    </row>
    <row r="10181">
      <c r="C10181" s="18"/>
      <c r="D10181" s="19"/>
      <c r="E10181" s="57"/>
      <c r="H10181" s="18"/>
    </row>
    <row r="10182">
      <c r="C10182" s="18"/>
      <c r="D10182" s="19"/>
      <c r="E10182" s="57"/>
      <c r="H10182" s="18"/>
    </row>
    <row r="10183">
      <c r="C10183" s="18"/>
      <c r="D10183" s="19"/>
      <c r="E10183" s="57"/>
      <c r="H10183" s="18"/>
    </row>
    <row r="10184">
      <c r="C10184" s="18"/>
      <c r="D10184" s="19"/>
      <c r="E10184" s="57"/>
      <c r="H10184" s="18"/>
    </row>
    <row r="10185">
      <c r="C10185" s="18"/>
      <c r="D10185" s="19"/>
      <c r="E10185" s="57"/>
      <c r="H10185" s="18"/>
    </row>
    <row r="10186">
      <c r="C10186" s="18"/>
      <c r="D10186" s="19"/>
      <c r="E10186" s="57"/>
      <c r="H10186" s="18"/>
    </row>
    <row r="10187">
      <c r="C10187" s="18"/>
      <c r="D10187" s="19"/>
      <c r="E10187" s="57"/>
      <c r="H10187" s="18"/>
    </row>
    <row r="10188">
      <c r="C10188" s="18"/>
      <c r="D10188" s="19"/>
      <c r="E10188" s="57"/>
      <c r="H10188" s="18"/>
    </row>
    <row r="10189">
      <c r="C10189" s="18"/>
      <c r="D10189" s="19"/>
      <c r="E10189" s="57"/>
      <c r="H10189" s="18"/>
    </row>
    <row r="10190">
      <c r="C10190" s="18"/>
      <c r="D10190" s="19"/>
      <c r="E10190" s="57"/>
      <c r="H10190" s="18"/>
    </row>
    <row r="10191">
      <c r="C10191" s="18"/>
      <c r="D10191" s="19"/>
      <c r="E10191" s="57"/>
      <c r="H10191" s="18"/>
    </row>
    <row r="10192">
      <c r="C10192" s="18"/>
      <c r="D10192" s="19"/>
      <c r="E10192" s="57"/>
      <c r="H10192" s="18"/>
    </row>
    <row r="10193">
      <c r="C10193" s="18"/>
      <c r="D10193" s="19"/>
      <c r="E10193" s="57"/>
      <c r="H10193" s="18"/>
    </row>
    <row r="10194">
      <c r="C10194" s="18"/>
      <c r="D10194" s="19"/>
      <c r="E10194" s="57"/>
      <c r="H10194" s="18"/>
    </row>
    <row r="10195">
      <c r="C10195" s="18"/>
      <c r="D10195" s="19"/>
      <c r="E10195" s="57"/>
      <c r="H10195" s="18"/>
    </row>
    <row r="10196">
      <c r="C10196" s="18"/>
      <c r="D10196" s="19"/>
      <c r="E10196" s="57"/>
      <c r="H10196" s="18"/>
    </row>
    <row r="10197">
      <c r="C10197" s="18"/>
      <c r="D10197" s="19"/>
      <c r="E10197" s="57"/>
      <c r="H10197" s="18"/>
    </row>
    <row r="10198">
      <c r="C10198" s="18"/>
      <c r="D10198" s="19"/>
      <c r="E10198" s="57"/>
      <c r="H10198" s="18"/>
    </row>
    <row r="10199">
      <c r="C10199" s="18"/>
      <c r="D10199" s="19"/>
      <c r="E10199" s="57"/>
      <c r="H10199" s="18"/>
    </row>
    <row r="10200">
      <c r="C10200" s="18"/>
      <c r="D10200" s="19"/>
      <c r="E10200" s="57"/>
      <c r="H10200" s="18"/>
    </row>
    <row r="10201">
      <c r="C10201" s="18"/>
      <c r="D10201" s="19"/>
      <c r="E10201" s="57"/>
      <c r="H10201" s="18"/>
    </row>
    <row r="10202">
      <c r="C10202" s="18"/>
      <c r="D10202" s="19"/>
      <c r="E10202" s="57"/>
      <c r="H10202" s="18"/>
    </row>
    <row r="10203">
      <c r="C10203" s="18"/>
      <c r="D10203" s="19"/>
      <c r="E10203" s="57"/>
      <c r="H10203" s="18"/>
    </row>
    <row r="10204">
      <c r="C10204" s="18"/>
      <c r="D10204" s="19"/>
      <c r="E10204" s="57"/>
      <c r="H10204" s="18"/>
    </row>
    <row r="10205">
      <c r="C10205" s="18"/>
      <c r="D10205" s="19"/>
      <c r="E10205" s="57"/>
      <c r="H10205" s="18"/>
    </row>
    <row r="10206">
      <c r="C10206" s="18"/>
      <c r="D10206" s="19"/>
      <c r="E10206" s="57"/>
      <c r="H10206" s="18"/>
    </row>
    <row r="10207">
      <c r="C10207" s="18"/>
      <c r="D10207" s="19"/>
      <c r="E10207" s="57"/>
      <c r="H10207" s="18"/>
    </row>
    <row r="10208">
      <c r="C10208" s="18"/>
      <c r="D10208" s="19"/>
      <c r="E10208" s="57"/>
      <c r="H10208" s="18"/>
    </row>
    <row r="10209">
      <c r="C10209" s="18"/>
      <c r="D10209" s="19"/>
      <c r="E10209" s="57"/>
      <c r="H10209" s="18"/>
    </row>
    <row r="10210">
      <c r="C10210" s="18"/>
      <c r="D10210" s="19"/>
      <c r="E10210" s="57"/>
      <c r="H10210" s="18"/>
    </row>
    <row r="10211">
      <c r="C10211" s="18"/>
      <c r="D10211" s="19"/>
      <c r="E10211" s="57"/>
      <c r="H10211" s="18"/>
    </row>
    <row r="10212">
      <c r="C10212" s="18"/>
      <c r="D10212" s="19"/>
      <c r="E10212" s="57"/>
      <c r="H10212" s="18"/>
    </row>
    <row r="10213">
      <c r="C10213" s="18"/>
      <c r="D10213" s="19"/>
      <c r="E10213" s="57"/>
      <c r="H10213" s="18"/>
    </row>
    <row r="10214">
      <c r="C10214" s="18"/>
      <c r="D10214" s="19"/>
      <c r="E10214" s="57"/>
      <c r="H10214" s="18"/>
    </row>
    <row r="10215">
      <c r="C10215" s="18"/>
      <c r="D10215" s="19"/>
      <c r="E10215" s="57"/>
      <c r="H10215" s="18"/>
    </row>
    <row r="10216">
      <c r="C10216" s="18"/>
      <c r="D10216" s="19"/>
      <c r="E10216" s="57"/>
      <c r="H10216" s="18"/>
    </row>
    <row r="10217">
      <c r="C10217" s="18"/>
      <c r="D10217" s="19"/>
      <c r="E10217" s="57"/>
      <c r="H10217" s="18"/>
    </row>
    <row r="10218">
      <c r="C10218" s="18"/>
      <c r="D10218" s="19"/>
      <c r="E10218" s="57"/>
      <c r="H10218" s="18"/>
    </row>
    <row r="10219">
      <c r="C10219" s="18"/>
      <c r="D10219" s="19"/>
      <c r="E10219" s="57"/>
      <c r="H10219" s="18"/>
    </row>
    <row r="10220">
      <c r="C10220" s="18"/>
      <c r="D10220" s="19"/>
      <c r="E10220" s="57"/>
      <c r="H10220" s="18"/>
    </row>
    <row r="10221">
      <c r="C10221" s="18"/>
      <c r="D10221" s="19"/>
      <c r="E10221" s="57"/>
      <c r="H10221" s="18"/>
    </row>
    <row r="10222">
      <c r="C10222" s="18"/>
      <c r="D10222" s="19"/>
      <c r="E10222" s="57"/>
      <c r="H10222" s="18"/>
    </row>
    <row r="10223">
      <c r="C10223" s="18"/>
      <c r="D10223" s="19"/>
      <c r="E10223" s="57"/>
      <c r="H10223" s="18"/>
    </row>
    <row r="10224">
      <c r="C10224" s="18"/>
      <c r="D10224" s="19"/>
      <c r="E10224" s="57"/>
      <c r="H10224" s="18"/>
    </row>
    <row r="10225">
      <c r="C10225" s="18"/>
      <c r="D10225" s="19"/>
      <c r="E10225" s="57"/>
      <c r="H10225" s="18"/>
    </row>
    <row r="10226">
      <c r="C10226" s="18"/>
      <c r="D10226" s="19"/>
      <c r="E10226" s="57"/>
      <c r="H10226" s="18"/>
    </row>
    <row r="10227">
      <c r="C10227" s="18"/>
      <c r="D10227" s="19"/>
      <c r="E10227" s="57"/>
      <c r="H10227" s="18"/>
    </row>
    <row r="10228">
      <c r="C10228" s="18"/>
      <c r="D10228" s="19"/>
      <c r="E10228" s="57"/>
      <c r="H10228" s="18"/>
    </row>
    <row r="10229">
      <c r="C10229" s="18"/>
      <c r="D10229" s="19"/>
      <c r="E10229" s="57"/>
      <c r="H10229" s="18"/>
    </row>
    <row r="10230">
      <c r="C10230" s="18"/>
      <c r="D10230" s="19"/>
      <c r="E10230" s="57"/>
      <c r="H10230" s="18"/>
    </row>
    <row r="10231">
      <c r="C10231" s="18"/>
      <c r="D10231" s="19"/>
      <c r="E10231" s="57"/>
      <c r="H10231" s="18"/>
    </row>
    <row r="10232">
      <c r="C10232" s="18"/>
      <c r="D10232" s="19"/>
      <c r="E10232" s="57"/>
      <c r="H10232" s="18"/>
    </row>
    <row r="10233">
      <c r="C10233" s="18"/>
      <c r="D10233" s="19"/>
      <c r="E10233" s="57"/>
      <c r="H10233" s="18"/>
    </row>
    <row r="10234">
      <c r="C10234" s="18"/>
      <c r="D10234" s="19"/>
      <c r="E10234" s="57"/>
      <c r="H10234" s="18"/>
    </row>
    <row r="10235">
      <c r="C10235" s="18"/>
      <c r="D10235" s="19"/>
      <c r="E10235" s="57"/>
      <c r="H10235" s="18"/>
    </row>
    <row r="10236">
      <c r="C10236" s="18"/>
      <c r="D10236" s="19"/>
      <c r="E10236" s="57"/>
      <c r="H10236" s="18"/>
    </row>
    <row r="10237">
      <c r="C10237" s="18"/>
      <c r="D10237" s="19"/>
      <c r="E10237" s="57"/>
      <c r="H10237" s="18"/>
    </row>
    <row r="10238">
      <c r="C10238" s="18"/>
      <c r="D10238" s="19"/>
      <c r="E10238" s="57"/>
      <c r="H10238" s="18"/>
    </row>
    <row r="10239">
      <c r="C10239" s="18"/>
      <c r="D10239" s="19"/>
      <c r="E10239" s="57"/>
      <c r="H10239" s="18"/>
    </row>
    <row r="10240">
      <c r="C10240" s="18"/>
      <c r="D10240" s="19"/>
      <c r="E10240" s="57"/>
      <c r="H10240" s="18"/>
    </row>
    <row r="10241">
      <c r="C10241" s="18"/>
      <c r="D10241" s="19"/>
      <c r="E10241" s="57"/>
      <c r="H10241" s="18"/>
    </row>
    <row r="10242">
      <c r="C10242" s="18"/>
      <c r="D10242" s="19"/>
      <c r="E10242" s="57"/>
      <c r="H10242" s="18"/>
    </row>
    <row r="10243">
      <c r="C10243" s="18"/>
      <c r="D10243" s="19"/>
      <c r="E10243" s="57"/>
      <c r="H10243" s="18"/>
    </row>
    <row r="10244">
      <c r="C10244" s="18"/>
      <c r="D10244" s="19"/>
      <c r="E10244" s="57"/>
      <c r="H10244" s="18"/>
    </row>
    <row r="10245">
      <c r="C10245" s="18"/>
      <c r="D10245" s="19"/>
      <c r="E10245" s="57"/>
      <c r="H10245" s="18"/>
    </row>
    <row r="10246">
      <c r="C10246" s="18"/>
      <c r="D10246" s="19"/>
      <c r="E10246" s="57"/>
      <c r="H10246" s="18"/>
    </row>
    <row r="10247">
      <c r="C10247" s="18"/>
      <c r="D10247" s="19"/>
      <c r="E10247" s="57"/>
      <c r="H10247" s="18"/>
    </row>
    <row r="10248">
      <c r="C10248" s="18"/>
      <c r="D10248" s="19"/>
      <c r="E10248" s="57"/>
      <c r="H10248" s="18"/>
    </row>
    <row r="10249">
      <c r="C10249" s="18"/>
      <c r="D10249" s="19"/>
      <c r="E10249" s="57"/>
      <c r="H10249" s="18"/>
    </row>
    <row r="10250">
      <c r="C10250" s="18"/>
      <c r="D10250" s="19"/>
      <c r="E10250" s="57"/>
      <c r="H10250" s="18"/>
    </row>
    <row r="10251">
      <c r="C10251" s="18"/>
      <c r="D10251" s="19"/>
      <c r="E10251" s="57"/>
      <c r="H10251" s="18"/>
    </row>
    <row r="10252">
      <c r="C10252" s="18"/>
      <c r="D10252" s="19"/>
      <c r="E10252" s="57"/>
      <c r="H10252" s="18"/>
    </row>
    <row r="10253">
      <c r="C10253" s="18"/>
      <c r="D10253" s="19"/>
      <c r="E10253" s="57"/>
      <c r="H10253" s="18"/>
    </row>
    <row r="10254">
      <c r="C10254" s="18"/>
      <c r="D10254" s="19"/>
      <c r="E10254" s="57"/>
      <c r="H10254" s="18"/>
    </row>
    <row r="10255">
      <c r="C10255" s="18"/>
      <c r="D10255" s="19"/>
      <c r="E10255" s="57"/>
      <c r="H10255" s="18"/>
    </row>
    <row r="10256">
      <c r="C10256" s="18"/>
      <c r="D10256" s="19"/>
      <c r="E10256" s="57"/>
      <c r="H10256" s="18"/>
    </row>
    <row r="10257">
      <c r="C10257" s="18"/>
      <c r="D10257" s="19"/>
      <c r="E10257" s="57"/>
      <c r="H10257" s="18"/>
    </row>
    <row r="10258">
      <c r="C10258" s="18"/>
      <c r="D10258" s="19"/>
      <c r="E10258" s="57"/>
      <c r="H10258" s="18"/>
    </row>
    <row r="10259">
      <c r="C10259" s="18"/>
      <c r="D10259" s="19"/>
      <c r="E10259" s="57"/>
      <c r="H10259" s="18"/>
    </row>
    <row r="10260">
      <c r="C10260" s="18"/>
      <c r="D10260" s="19"/>
      <c r="E10260" s="57"/>
      <c r="H10260" s="18"/>
    </row>
    <row r="10261">
      <c r="C10261" s="18"/>
      <c r="D10261" s="19"/>
      <c r="E10261" s="57"/>
      <c r="H10261" s="18"/>
    </row>
    <row r="10262">
      <c r="C10262" s="18"/>
      <c r="D10262" s="19"/>
      <c r="E10262" s="57"/>
      <c r="H10262" s="18"/>
    </row>
    <row r="10263">
      <c r="C10263" s="18"/>
      <c r="D10263" s="19"/>
      <c r="E10263" s="57"/>
      <c r="H10263" s="18"/>
    </row>
    <row r="10264">
      <c r="C10264" s="18"/>
      <c r="D10264" s="19"/>
      <c r="E10264" s="57"/>
      <c r="H10264" s="18"/>
    </row>
    <row r="10265">
      <c r="C10265" s="18"/>
      <c r="D10265" s="19"/>
      <c r="E10265" s="57"/>
      <c r="H10265" s="18"/>
    </row>
    <row r="10266">
      <c r="C10266" s="18"/>
      <c r="D10266" s="19"/>
      <c r="E10266" s="57"/>
      <c r="H10266" s="18"/>
    </row>
    <row r="10267">
      <c r="C10267" s="18"/>
      <c r="D10267" s="19"/>
      <c r="E10267" s="57"/>
      <c r="H10267" s="18"/>
    </row>
    <row r="10268">
      <c r="C10268" s="18"/>
      <c r="D10268" s="19"/>
      <c r="E10268" s="57"/>
      <c r="H10268" s="18"/>
    </row>
    <row r="10269">
      <c r="C10269" s="18"/>
      <c r="D10269" s="19"/>
      <c r="E10269" s="57"/>
      <c r="H10269" s="18"/>
    </row>
    <row r="10270">
      <c r="C10270" s="18"/>
      <c r="D10270" s="19"/>
      <c r="E10270" s="57"/>
      <c r="H10270" s="18"/>
    </row>
    <row r="10271">
      <c r="C10271" s="18"/>
      <c r="D10271" s="19"/>
      <c r="E10271" s="57"/>
      <c r="H10271" s="18"/>
    </row>
    <row r="10272">
      <c r="C10272" s="18"/>
      <c r="D10272" s="19"/>
      <c r="E10272" s="57"/>
      <c r="H10272" s="18"/>
    </row>
    <row r="10273">
      <c r="C10273" s="18"/>
      <c r="D10273" s="19"/>
      <c r="E10273" s="57"/>
      <c r="H10273" s="18"/>
    </row>
    <row r="10274">
      <c r="C10274" s="18"/>
      <c r="D10274" s="19"/>
      <c r="E10274" s="57"/>
      <c r="H10274" s="18"/>
    </row>
    <row r="10275">
      <c r="C10275" s="18"/>
      <c r="D10275" s="19"/>
      <c r="E10275" s="57"/>
      <c r="H10275" s="18"/>
    </row>
    <row r="10276">
      <c r="C10276" s="18"/>
      <c r="D10276" s="19"/>
      <c r="E10276" s="57"/>
      <c r="H10276" s="18"/>
    </row>
    <row r="10277">
      <c r="C10277" s="18"/>
      <c r="D10277" s="19"/>
      <c r="E10277" s="57"/>
      <c r="H10277" s="18"/>
    </row>
    <row r="10278">
      <c r="C10278" s="18"/>
      <c r="D10278" s="19"/>
      <c r="E10278" s="57"/>
      <c r="H10278" s="18"/>
    </row>
    <row r="10279">
      <c r="C10279" s="18"/>
      <c r="D10279" s="19"/>
      <c r="E10279" s="57"/>
      <c r="H10279" s="18"/>
    </row>
    <row r="10280">
      <c r="C10280" s="18"/>
      <c r="D10280" s="19"/>
      <c r="E10280" s="57"/>
      <c r="H10280" s="18"/>
    </row>
    <row r="10281">
      <c r="C10281" s="18"/>
      <c r="D10281" s="19"/>
      <c r="E10281" s="57"/>
      <c r="H10281" s="18"/>
    </row>
    <row r="10282">
      <c r="C10282" s="18"/>
      <c r="D10282" s="19"/>
      <c r="E10282" s="57"/>
      <c r="H10282" s="18"/>
    </row>
    <row r="10283">
      <c r="C10283" s="18"/>
      <c r="D10283" s="19"/>
      <c r="E10283" s="57"/>
      <c r="H10283" s="18"/>
    </row>
    <row r="10284">
      <c r="C10284" s="18"/>
      <c r="D10284" s="19"/>
      <c r="E10284" s="57"/>
      <c r="H10284" s="18"/>
    </row>
    <row r="10285">
      <c r="C10285" s="18"/>
      <c r="D10285" s="19"/>
      <c r="E10285" s="57"/>
      <c r="H10285" s="18"/>
    </row>
    <row r="10286">
      <c r="C10286" s="18"/>
      <c r="D10286" s="19"/>
      <c r="E10286" s="57"/>
      <c r="H10286" s="18"/>
    </row>
    <row r="10287">
      <c r="C10287" s="18"/>
      <c r="D10287" s="19"/>
      <c r="E10287" s="57"/>
      <c r="H10287" s="18"/>
    </row>
    <row r="10288">
      <c r="C10288" s="18"/>
      <c r="D10288" s="19"/>
      <c r="E10288" s="57"/>
      <c r="H10288" s="18"/>
    </row>
    <row r="10289">
      <c r="C10289" s="18"/>
      <c r="D10289" s="19"/>
      <c r="E10289" s="57"/>
      <c r="H10289" s="18"/>
    </row>
    <row r="10290">
      <c r="C10290" s="18"/>
      <c r="D10290" s="19"/>
      <c r="E10290" s="57"/>
      <c r="H10290" s="18"/>
    </row>
    <row r="10291">
      <c r="C10291" s="18"/>
      <c r="D10291" s="19"/>
      <c r="E10291" s="57"/>
      <c r="H10291" s="18"/>
    </row>
    <row r="10292">
      <c r="C10292" s="18"/>
      <c r="D10292" s="19"/>
      <c r="E10292" s="57"/>
      <c r="H10292" s="18"/>
    </row>
    <row r="10293">
      <c r="C10293" s="18"/>
      <c r="D10293" s="19"/>
      <c r="E10293" s="57"/>
      <c r="H10293" s="18"/>
    </row>
    <row r="10294">
      <c r="C10294" s="18"/>
      <c r="D10294" s="19"/>
      <c r="E10294" s="57"/>
      <c r="H10294" s="18"/>
    </row>
    <row r="10295">
      <c r="C10295" s="18"/>
      <c r="D10295" s="19"/>
      <c r="E10295" s="57"/>
      <c r="H10295" s="18"/>
    </row>
    <row r="10296">
      <c r="C10296" s="18"/>
      <c r="D10296" s="19"/>
      <c r="E10296" s="57"/>
      <c r="H10296" s="18"/>
    </row>
    <row r="10297">
      <c r="C10297" s="18"/>
      <c r="D10297" s="19"/>
      <c r="E10297" s="57"/>
      <c r="H10297" s="18"/>
    </row>
    <row r="10298">
      <c r="C10298" s="18"/>
      <c r="D10298" s="19"/>
      <c r="E10298" s="57"/>
      <c r="H10298" s="18"/>
    </row>
    <row r="10299">
      <c r="C10299" s="18"/>
      <c r="D10299" s="19"/>
      <c r="E10299" s="57"/>
      <c r="H10299" s="18"/>
    </row>
    <row r="10300">
      <c r="C10300" s="18"/>
      <c r="D10300" s="19"/>
      <c r="E10300" s="57"/>
      <c r="H10300" s="18"/>
    </row>
    <row r="10301">
      <c r="C10301" s="18"/>
      <c r="D10301" s="19"/>
      <c r="E10301" s="57"/>
      <c r="H10301" s="18"/>
    </row>
    <row r="10302">
      <c r="C10302" s="18"/>
      <c r="D10302" s="19"/>
      <c r="E10302" s="57"/>
      <c r="H10302" s="18"/>
    </row>
    <row r="10303">
      <c r="C10303" s="18"/>
      <c r="D10303" s="19"/>
      <c r="E10303" s="57"/>
      <c r="H10303" s="18"/>
    </row>
    <row r="10304">
      <c r="C10304" s="18"/>
      <c r="D10304" s="19"/>
      <c r="E10304" s="57"/>
      <c r="H10304" s="18"/>
    </row>
    <row r="10305">
      <c r="C10305" s="18"/>
      <c r="D10305" s="19"/>
      <c r="E10305" s="57"/>
      <c r="H10305" s="18"/>
    </row>
    <row r="10306">
      <c r="C10306" s="18"/>
      <c r="D10306" s="19"/>
      <c r="E10306" s="57"/>
      <c r="H10306" s="18"/>
    </row>
    <row r="10307">
      <c r="C10307" s="18"/>
      <c r="D10307" s="19"/>
      <c r="E10307" s="57"/>
      <c r="H10307" s="18"/>
    </row>
    <row r="10308">
      <c r="C10308" s="18"/>
      <c r="D10308" s="19"/>
      <c r="E10308" s="57"/>
      <c r="H10308" s="18"/>
    </row>
    <row r="10309">
      <c r="C10309" s="18"/>
      <c r="D10309" s="19"/>
      <c r="E10309" s="57"/>
      <c r="H10309" s="18"/>
    </row>
    <row r="10310">
      <c r="C10310" s="18"/>
      <c r="D10310" s="19"/>
      <c r="E10310" s="57"/>
      <c r="H10310" s="18"/>
    </row>
    <row r="10311">
      <c r="C10311" s="18"/>
      <c r="D10311" s="19"/>
      <c r="E10311" s="57"/>
      <c r="H10311" s="18"/>
    </row>
    <row r="10312">
      <c r="C10312" s="18"/>
      <c r="D10312" s="19"/>
      <c r="E10312" s="57"/>
      <c r="H10312" s="18"/>
    </row>
    <row r="10313">
      <c r="C10313" s="18"/>
      <c r="D10313" s="19"/>
      <c r="E10313" s="57"/>
      <c r="H10313" s="18"/>
    </row>
    <row r="10314">
      <c r="C10314" s="18"/>
      <c r="D10314" s="19"/>
      <c r="E10314" s="57"/>
      <c r="H10314" s="18"/>
    </row>
    <row r="10315">
      <c r="C10315" s="18"/>
      <c r="D10315" s="19"/>
      <c r="E10315" s="57"/>
      <c r="H10315" s="18"/>
    </row>
    <row r="10316">
      <c r="C10316" s="18"/>
      <c r="D10316" s="19"/>
      <c r="E10316" s="57"/>
      <c r="H10316" s="18"/>
    </row>
    <row r="10317">
      <c r="C10317" s="18"/>
      <c r="D10317" s="19"/>
      <c r="E10317" s="57"/>
      <c r="H10317" s="18"/>
    </row>
    <row r="10318">
      <c r="C10318" s="18"/>
      <c r="D10318" s="19"/>
      <c r="E10318" s="57"/>
      <c r="H10318" s="18"/>
    </row>
    <row r="10319">
      <c r="C10319" s="18"/>
      <c r="D10319" s="19"/>
      <c r="E10319" s="57"/>
      <c r="H10319" s="18"/>
    </row>
    <row r="10320">
      <c r="C10320" s="18"/>
      <c r="D10320" s="19"/>
      <c r="E10320" s="57"/>
      <c r="H10320" s="18"/>
    </row>
    <row r="10321">
      <c r="C10321" s="18"/>
      <c r="D10321" s="19"/>
      <c r="E10321" s="57"/>
      <c r="H10321" s="18"/>
    </row>
    <row r="10322">
      <c r="C10322" s="18"/>
      <c r="D10322" s="19"/>
      <c r="E10322" s="57"/>
      <c r="H10322" s="18"/>
    </row>
    <row r="10323">
      <c r="C10323" s="18"/>
      <c r="D10323" s="19"/>
      <c r="E10323" s="57"/>
      <c r="H10323" s="18"/>
    </row>
    <row r="10324">
      <c r="C10324" s="18"/>
      <c r="D10324" s="19"/>
      <c r="E10324" s="57"/>
      <c r="H10324" s="18"/>
    </row>
    <row r="10325">
      <c r="C10325" s="18"/>
      <c r="D10325" s="19"/>
      <c r="E10325" s="57"/>
      <c r="H10325" s="18"/>
    </row>
    <row r="10326">
      <c r="C10326" s="18"/>
      <c r="D10326" s="19"/>
      <c r="E10326" s="57"/>
      <c r="H10326" s="18"/>
    </row>
    <row r="10327">
      <c r="C10327" s="18"/>
      <c r="D10327" s="19"/>
      <c r="E10327" s="57"/>
      <c r="H10327" s="18"/>
    </row>
    <row r="10328">
      <c r="C10328" s="18"/>
      <c r="D10328" s="19"/>
      <c r="E10328" s="57"/>
      <c r="H10328" s="18"/>
    </row>
    <row r="10329">
      <c r="C10329" s="18"/>
      <c r="D10329" s="19"/>
      <c r="E10329" s="57"/>
      <c r="H10329" s="18"/>
    </row>
    <row r="10330">
      <c r="C10330" s="18"/>
      <c r="D10330" s="19"/>
      <c r="E10330" s="57"/>
      <c r="H10330" s="18"/>
    </row>
    <row r="10331">
      <c r="C10331" s="18"/>
      <c r="D10331" s="19"/>
      <c r="E10331" s="57"/>
      <c r="H10331" s="18"/>
    </row>
    <row r="10332">
      <c r="C10332" s="18"/>
      <c r="D10332" s="19"/>
      <c r="E10332" s="57"/>
      <c r="H10332" s="18"/>
    </row>
    <row r="10333">
      <c r="C10333" s="18"/>
      <c r="D10333" s="19"/>
      <c r="E10333" s="57"/>
      <c r="H10333" s="18"/>
    </row>
    <row r="10334">
      <c r="C10334" s="18"/>
      <c r="D10334" s="19"/>
      <c r="E10334" s="57"/>
      <c r="H10334" s="18"/>
    </row>
    <row r="10335">
      <c r="C10335" s="18"/>
      <c r="D10335" s="19"/>
      <c r="E10335" s="57"/>
      <c r="H10335" s="18"/>
    </row>
    <row r="10336">
      <c r="C10336" s="18"/>
      <c r="D10336" s="19"/>
      <c r="E10336" s="57"/>
      <c r="H10336" s="18"/>
    </row>
    <row r="10337">
      <c r="C10337" s="18"/>
      <c r="D10337" s="19"/>
      <c r="E10337" s="57"/>
      <c r="H10337" s="18"/>
    </row>
    <row r="10338">
      <c r="C10338" s="18"/>
      <c r="D10338" s="19"/>
      <c r="E10338" s="57"/>
      <c r="H10338" s="18"/>
    </row>
    <row r="10339">
      <c r="C10339" s="18"/>
      <c r="D10339" s="19"/>
      <c r="E10339" s="57"/>
      <c r="H10339" s="18"/>
    </row>
    <row r="10340">
      <c r="C10340" s="18"/>
      <c r="D10340" s="19"/>
      <c r="E10340" s="57"/>
      <c r="H10340" s="18"/>
    </row>
    <row r="10341">
      <c r="C10341" s="18"/>
      <c r="D10341" s="19"/>
      <c r="E10341" s="57"/>
      <c r="H10341" s="18"/>
    </row>
    <row r="10342">
      <c r="C10342" s="18"/>
      <c r="D10342" s="19"/>
      <c r="E10342" s="57"/>
      <c r="H10342" s="18"/>
    </row>
    <row r="10343">
      <c r="C10343" s="18"/>
      <c r="D10343" s="19"/>
      <c r="E10343" s="57"/>
      <c r="H10343" s="18"/>
    </row>
    <row r="10344">
      <c r="C10344" s="18"/>
      <c r="D10344" s="19"/>
      <c r="E10344" s="57"/>
      <c r="H10344" s="18"/>
    </row>
    <row r="10345">
      <c r="C10345" s="18"/>
      <c r="D10345" s="19"/>
      <c r="E10345" s="57"/>
      <c r="H10345" s="18"/>
    </row>
    <row r="10346">
      <c r="C10346" s="18"/>
      <c r="D10346" s="19"/>
      <c r="E10346" s="57"/>
      <c r="H10346" s="18"/>
    </row>
    <row r="10347">
      <c r="C10347" s="18"/>
      <c r="D10347" s="19"/>
      <c r="E10347" s="57"/>
      <c r="H10347" s="18"/>
    </row>
    <row r="10348">
      <c r="C10348" s="18"/>
      <c r="D10348" s="19"/>
      <c r="E10348" s="57"/>
      <c r="H10348" s="18"/>
    </row>
    <row r="10349">
      <c r="C10349" s="18"/>
      <c r="D10349" s="19"/>
      <c r="E10349" s="57"/>
      <c r="H10349" s="18"/>
    </row>
    <row r="10350">
      <c r="C10350" s="18"/>
      <c r="D10350" s="19"/>
      <c r="E10350" s="57"/>
      <c r="H10350" s="18"/>
    </row>
    <row r="10351">
      <c r="C10351" s="18"/>
      <c r="D10351" s="19"/>
      <c r="E10351" s="57"/>
      <c r="H10351" s="18"/>
    </row>
    <row r="10352">
      <c r="C10352" s="18"/>
      <c r="D10352" s="19"/>
      <c r="E10352" s="57"/>
      <c r="H10352" s="18"/>
    </row>
    <row r="10353">
      <c r="C10353" s="18"/>
      <c r="D10353" s="19"/>
      <c r="E10353" s="57"/>
      <c r="H10353" s="18"/>
    </row>
    <row r="10354">
      <c r="C10354" s="18"/>
      <c r="D10354" s="19"/>
      <c r="E10354" s="57"/>
      <c r="H10354" s="18"/>
    </row>
    <row r="10355">
      <c r="C10355" s="18"/>
      <c r="D10355" s="19"/>
      <c r="E10355" s="57"/>
      <c r="H10355" s="18"/>
    </row>
    <row r="10356">
      <c r="C10356" s="18"/>
      <c r="D10356" s="19"/>
      <c r="E10356" s="57"/>
      <c r="H10356" s="18"/>
    </row>
    <row r="10357">
      <c r="C10357" s="18"/>
      <c r="D10357" s="19"/>
      <c r="E10357" s="57"/>
      <c r="H10357" s="18"/>
    </row>
    <row r="10358">
      <c r="C10358" s="18"/>
      <c r="D10358" s="19"/>
      <c r="E10358" s="57"/>
      <c r="H10358" s="18"/>
    </row>
    <row r="10359">
      <c r="C10359" s="18"/>
      <c r="D10359" s="19"/>
      <c r="E10359" s="57"/>
      <c r="H10359" s="18"/>
    </row>
    <row r="10360">
      <c r="C10360" s="18"/>
      <c r="D10360" s="19"/>
      <c r="E10360" s="57"/>
      <c r="H10360" s="18"/>
    </row>
    <row r="10361">
      <c r="C10361" s="18"/>
      <c r="D10361" s="19"/>
      <c r="E10361" s="57"/>
      <c r="H10361" s="18"/>
    </row>
    <row r="10362">
      <c r="C10362" s="18"/>
      <c r="D10362" s="19"/>
      <c r="E10362" s="57"/>
      <c r="H10362" s="18"/>
    </row>
    <row r="10363">
      <c r="C10363" s="18"/>
      <c r="D10363" s="19"/>
      <c r="E10363" s="57"/>
      <c r="H10363" s="18"/>
    </row>
    <row r="10364">
      <c r="C10364" s="18"/>
      <c r="D10364" s="19"/>
      <c r="E10364" s="57"/>
      <c r="H10364" s="18"/>
    </row>
    <row r="10365">
      <c r="C10365" s="18"/>
      <c r="D10365" s="19"/>
      <c r="E10365" s="57"/>
      <c r="H10365" s="18"/>
    </row>
    <row r="10366">
      <c r="C10366" s="18"/>
      <c r="D10366" s="19"/>
      <c r="E10366" s="57"/>
      <c r="H10366" s="18"/>
    </row>
    <row r="10367">
      <c r="C10367" s="18"/>
      <c r="D10367" s="19"/>
      <c r="E10367" s="57"/>
      <c r="H10367" s="18"/>
    </row>
    <row r="10368">
      <c r="C10368" s="18"/>
      <c r="D10368" s="19"/>
      <c r="E10368" s="57"/>
      <c r="H10368" s="18"/>
    </row>
    <row r="10369">
      <c r="C10369" s="18"/>
      <c r="D10369" s="19"/>
      <c r="E10369" s="57"/>
      <c r="H10369" s="18"/>
    </row>
    <row r="10370">
      <c r="C10370" s="18"/>
      <c r="D10370" s="19"/>
      <c r="E10370" s="57"/>
      <c r="H10370" s="18"/>
    </row>
    <row r="10371">
      <c r="C10371" s="18"/>
      <c r="D10371" s="19"/>
      <c r="E10371" s="57"/>
      <c r="H10371" s="18"/>
    </row>
    <row r="10372">
      <c r="C10372" s="18"/>
      <c r="D10372" s="19"/>
      <c r="E10372" s="57"/>
      <c r="H10372" s="18"/>
    </row>
    <row r="10373">
      <c r="C10373" s="18"/>
      <c r="D10373" s="19"/>
      <c r="E10373" s="57"/>
      <c r="H10373" s="18"/>
    </row>
    <row r="10374">
      <c r="C10374" s="18"/>
      <c r="D10374" s="19"/>
      <c r="E10374" s="57"/>
      <c r="H10374" s="18"/>
    </row>
    <row r="10375">
      <c r="C10375" s="18"/>
      <c r="D10375" s="19"/>
      <c r="E10375" s="57"/>
      <c r="H10375" s="18"/>
    </row>
    <row r="10376">
      <c r="C10376" s="18"/>
      <c r="D10376" s="19"/>
      <c r="E10376" s="57"/>
      <c r="H10376" s="18"/>
    </row>
    <row r="10377">
      <c r="C10377" s="18"/>
      <c r="D10377" s="19"/>
      <c r="E10377" s="57"/>
      <c r="H10377" s="18"/>
    </row>
    <row r="10378">
      <c r="C10378" s="18"/>
      <c r="D10378" s="19"/>
      <c r="E10378" s="57"/>
      <c r="H10378" s="18"/>
    </row>
    <row r="10379">
      <c r="C10379" s="18"/>
      <c r="D10379" s="19"/>
      <c r="E10379" s="57"/>
      <c r="H10379" s="18"/>
    </row>
    <row r="10380">
      <c r="C10380" s="18"/>
      <c r="D10380" s="19"/>
      <c r="E10380" s="57"/>
      <c r="H10380" s="18"/>
    </row>
    <row r="10381">
      <c r="C10381" s="18"/>
      <c r="D10381" s="19"/>
      <c r="E10381" s="57"/>
      <c r="H10381" s="18"/>
    </row>
    <row r="10382">
      <c r="C10382" s="18"/>
      <c r="D10382" s="19"/>
      <c r="E10382" s="57"/>
      <c r="H10382" s="18"/>
    </row>
    <row r="10383">
      <c r="C10383" s="18"/>
      <c r="D10383" s="19"/>
      <c r="E10383" s="57"/>
      <c r="H10383" s="18"/>
    </row>
    <row r="10384">
      <c r="C10384" s="18"/>
      <c r="D10384" s="19"/>
      <c r="E10384" s="57"/>
      <c r="H10384" s="18"/>
    </row>
    <row r="10385">
      <c r="C10385" s="18"/>
      <c r="D10385" s="19"/>
      <c r="E10385" s="57"/>
      <c r="H10385" s="18"/>
    </row>
    <row r="10386">
      <c r="C10386" s="18"/>
      <c r="D10386" s="19"/>
      <c r="E10386" s="57"/>
      <c r="H10386" s="18"/>
    </row>
    <row r="10387">
      <c r="C10387" s="18"/>
      <c r="D10387" s="19"/>
      <c r="E10387" s="57"/>
      <c r="H10387" s="18"/>
    </row>
    <row r="10388">
      <c r="C10388" s="18"/>
      <c r="D10388" s="19"/>
      <c r="E10388" s="57"/>
      <c r="H10388" s="18"/>
    </row>
    <row r="10389">
      <c r="C10389" s="18"/>
      <c r="D10389" s="19"/>
      <c r="E10389" s="57"/>
      <c r="H10389" s="18"/>
    </row>
    <row r="10390">
      <c r="C10390" s="18"/>
      <c r="D10390" s="19"/>
      <c r="E10390" s="57"/>
      <c r="H10390" s="18"/>
    </row>
    <row r="10391">
      <c r="C10391" s="18"/>
      <c r="D10391" s="19"/>
      <c r="E10391" s="57"/>
      <c r="H10391" s="18"/>
    </row>
    <row r="10392">
      <c r="C10392" s="18"/>
      <c r="D10392" s="19"/>
      <c r="E10392" s="57"/>
      <c r="H10392" s="18"/>
    </row>
    <row r="10393">
      <c r="C10393" s="18"/>
      <c r="D10393" s="19"/>
      <c r="E10393" s="57"/>
      <c r="H10393" s="18"/>
    </row>
    <row r="10394">
      <c r="C10394" s="18"/>
      <c r="D10394" s="19"/>
      <c r="E10394" s="57"/>
      <c r="H10394" s="18"/>
    </row>
    <row r="10395">
      <c r="C10395" s="18"/>
      <c r="D10395" s="19"/>
      <c r="E10395" s="57"/>
      <c r="H10395" s="18"/>
    </row>
    <row r="10396">
      <c r="C10396" s="18"/>
      <c r="D10396" s="19"/>
      <c r="E10396" s="57"/>
      <c r="H10396" s="18"/>
    </row>
    <row r="10397">
      <c r="C10397" s="18"/>
      <c r="D10397" s="19"/>
      <c r="E10397" s="57"/>
      <c r="H10397" s="18"/>
    </row>
    <row r="10398">
      <c r="C10398" s="18"/>
      <c r="D10398" s="19"/>
      <c r="E10398" s="57"/>
      <c r="H10398" s="18"/>
    </row>
    <row r="10399">
      <c r="C10399" s="18"/>
      <c r="D10399" s="19"/>
      <c r="E10399" s="57"/>
      <c r="H10399" s="18"/>
    </row>
    <row r="10400">
      <c r="C10400" s="18"/>
      <c r="D10400" s="19"/>
      <c r="E10400" s="57"/>
      <c r="H10400" s="18"/>
    </row>
    <row r="10401">
      <c r="C10401" s="18"/>
      <c r="D10401" s="19"/>
      <c r="E10401" s="57"/>
      <c r="H10401" s="18"/>
    </row>
    <row r="10402">
      <c r="C10402" s="18"/>
      <c r="D10402" s="19"/>
      <c r="E10402" s="57"/>
      <c r="H10402" s="18"/>
    </row>
    <row r="10403">
      <c r="C10403" s="18"/>
      <c r="D10403" s="19"/>
      <c r="E10403" s="57"/>
      <c r="H10403" s="18"/>
    </row>
    <row r="10404">
      <c r="C10404" s="18"/>
      <c r="D10404" s="19"/>
      <c r="E10404" s="57"/>
      <c r="H10404" s="18"/>
    </row>
    <row r="10405">
      <c r="C10405" s="18"/>
      <c r="D10405" s="19"/>
      <c r="E10405" s="57"/>
      <c r="H10405" s="18"/>
    </row>
    <row r="10406">
      <c r="C10406" s="18"/>
      <c r="D10406" s="19"/>
      <c r="E10406" s="57"/>
      <c r="H10406" s="18"/>
    </row>
    <row r="10407">
      <c r="C10407" s="18"/>
      <c r="D10407" s="19"/>
      <c r="E10407" s="57"/>
      <c r="H10407" s="18"/>
    </row>
    <row r="10408">
      <c r="C10408" s="18"/>
      <c r="D10408" s="19"/>
      <c r="E10408" s="57"/>
      <c r="H10408" s="18"/>
    </row>
    <row r="10409">
      <c r="C10409" s="18"/>
      <c r="D10409" s="19"/>
      <c r="E10409" s="57"/>
      <c r="H10409" s="18"/>
    </row>
    <row r="10410">
      <c r="C10410" s="18"/>
      <c r="D10410" s="19"/>
      <c r="E10410" s="57"/>
      <c r="H10410" s="18"/>
    </row>
    <row r="10411">
      <c r="C10411" s="18"/>
      <c r="D10411" s="19"/>
      <c r="E10411" s="57"/>
      <c r="H10411" s="18"/>
    </row>
    <row r="10412">
      <c r="C10412" s="18"/>
      <c r="D10412" s="19"/>
      <c r="E10412" s="57"/>
      <c r="H10412" s="18"/>
    </row>
    <row r="10413">
      <c r="C10413" s="18"/>
      <c r="D10413" s="19"/>
      <c r="E10413" s="57"/>
      <c r="H10413" s="18"/>
    </row>
    <row r="10414">
      <c r="C10414" s="18"/>
      <c r="D10414" s="19"/>
      <c r="E10414" s="57"/>
      <c r="H10414" s="18"/>
    </row>
    <row r="10415">
      <c r="C10415" s="18"/>
      <c r="D10415" s="19"/>
      <c r="E10415" s="57"/>
      <c r="H10415" s="18"/>
    </row>
    <row r="10416">
      <c r="C10416" s="18"/>
      <c r="D10416" s="19"/>
      <c r="E10416" s="57"/>
      <c r="H10416" s="18"/>
    </row>
    <row r="10417">
      <c r="C10417" s="18"/>
      <c r="D10417" s="19"/>
      <c r="E10417" s="57"/>
      <c r="H10417" s="18"/>
    </row>
    <row r="10418">
      <c r="C10418" s="18"/>
      <c r="D10418" s="19"/>
      <c r="E10418" s="57"/>
      <c r="H10418" s="18"/>
    </row>
    <row r="10419">
      <c r="C10419" s="18"/>
      <c r="D10419" s="19"/>
      <c r="E10419" s="57"/>
      <c r="H10419" s="18"/>
    </row>
    <row r="10420">
      <c r="C10420" s="18"/>
      <c r="D10420" s="19"/>
      <c r="E10420" s="57"/>
      <c r="H10420" s="18"/>
    </row>
    <row r="10421">
      <c r="C10421" s="18"/>
      <c r="D10421" s="19"/>
      <c r="E10421" s="57"/>
      <c r="H10421" s="18"/>
    </row>
    <row r="10422">
      <c r="C10422" s="18"/>
      <c r="D10422" s="19"/>
      <c r="E10422" s="57"/>
      <c r="H10422" s="18"/>
    </row>
    <row r="10423">
      <c r="C10423" s="18"/>
      <c r="D10423" s="19"/>
      <c r="E10423" s="57"/>
      <c r="H10423" s="18"/>
    </row>
    <row r="10424">
      <c r="C10424" s="18"/>
      <c r="D10424" s="19"/>
      <c r="E10424" s="57"/>
      <c r="H10424" s="18"/>
    </row>
    <row r="10425">
      <c r="C10425" s="18"/>
      <c r="D10425" s="19"/>
      <c r="E10425" s="57"/>
      <c r="H10425" s="18"/>
    </row>
    <row r="10426">
      <c r="C10426" s="18"/>
      <c r="D10426" s="19"/>
      <c r="E10426" s="57"/>
      <c r="H10426" s="18"/>
    </row>
    <row r="10427">
      <c r="C10427" s="18"/>
      <c r="D10427" s="19"/>
      <c r="E10427" s="57"/>
      <c r="H10427" s="18"/>
    </row>
    <row r="10428">
      <c r="C10428" s="18"/>
      <c r="D10428" s="19"/>
      <c r="E10428" s="57"/>
      <c r="H10428" s="18"/>
    </row>
    <row r="10429">
      <c r="C10429" s="18"/>
      <c r="D10429" s="19"/>
      <c r="E10429" s="57"/>
      <c r="H10429" s="18"/>
    </row>
    <row r="10430">
      <c r="C10430" s="18"/>
      <c r="D10430" s="19"/>
      <c r="E10430" s="57"/>
      <c r="H10430" s="18"/>
    </row>
    <row r="10431">
      <c r="C10431" s="18"/>
      <c r="D10431" s="19"/>
      <c r="E10431" s="57"/>
      <c r="H10431" s="18"/>
    </row>
    <row r="10432">
      <c r="C10432" s="18"/>
      <c r="D10432" s="19"/>
      <c r="E10432" s="57"/>
      <c r="H10432" s="18"/>
    </row>
    <row r="10433">
      <c r="C10433" s="18"/>
      <c r="D10433" s="19"/>
      <c r="E10433" s="57"/>
      <c r="H10433" s="18"/>
    </row>
    <row r="10434">
      <c r="C10434" s="18"/>
      <c r="D10434" s="19"/>
      <c r="E10434" s="57"/>
      <c r="H10434" s="18"/>
    </row>
    <row r="10435">
      <c r="C10435" s="18"/>
      <c r="D10435" s="19"/>
      <c r="E10435" s="57"/>
      <c r="H10435" s="18"/>
    </row>
    <row r="10436">
      <c r="C10436" s="18"/>
      <c r="D10436" s="19"/>
      <c r="E10436" s="57"/>
      <c r="H10436" s="18"/>
    </row>
    <row r="10437">
      <c r="C10437" s="18"/>
      <c r="D10437" s="19"/>
      <c r="E10437" s="57"/>
      <c r="H10437" s="18"/>
    </row>
    <row r="10438">
      <c r="C10438" s="18"/>
      <c r="D10438" s="19"/>
      <c r="E10438" s="57"/>
      <c r="H10438" s="18"/>
    </row>
    <row r="10439">
      <c r="C10439" s="18"/>
      <c r="D10439" s="19"/>
      <c r="E10439" s="57"/>
      <c r="H10439" s="18"/>
    </row>
    <row r="10440">
      <c r="C10440" s="18"/>
      <c r="D10440" s="19"/>
      <c r="E10440" s="57"/>
      <c r="H10440" s="18"/>
    </row>
    <row r="10441">
      <c r="C10441" s="18"/>
      <c r="D10441" s="19"/>
      <c r="E10441" s="57"/>
      <c r="H10441" s="18"/>
    </row>
    <row r="10442">
      <c r="C10442" s="18"/>
      <c r="D10442" s="19"/>
      <c r="E10442" s="57"/>
      <c r="H10442" s="18"/>
    </row>
    <row r="10443">
      <c r="C10443" s="18"/>
      <c r="D10443" s="19"/>
      <c r="E10443" s="57"/>
      <c r="H10443" s="18"/>
    </row>
    <row r="10444">
      <c r="C10444" s="18"/>
      <c r="D10444" s="19"/>
      <c r="E10444" s="57"/>
      <c r="H10444" s="18"/>
    </row>
    <row r="10445">
      <c r="C10445" s="18"/>
      <c r="D10445" s="19"/>
      <c r="E10445" s="57"/>
      <c r="H10445" s="18"/>
    </row>
    <row r="10446">
      <c r="C10446" s="18"/>
      <c r="D10446" s="19"/>
      <c r="E10446" s="57"/>
      <c r="H10446" s="18"/>
    </row>
    <row r="10447">
      <c r="C10447" s="18"/>
      <c r="D10447" s="19"/>
      <c r="E10447" s="57"/>
      <c r="H10447" s="18"/>
    </row>
    <row r="10448">
      <c r="C10448" s="18"/>
      <c r="D10448" s="19"/>
      <c r="E10448" s="57"/>
      <c r="H10448" s="18"/>
    </row>
    <row r="10449">
      <c r="C10449" s="18"/>
      <c r="D10449" s="19"/>
      <c r="E10449" s="57"/>
      <c r="H10449" s="18"/>
    </row>
    <row r="10450">
      <c r="C10450" s="18"/>
      <c r="D10450" s="19"/>
      <c r="E10450" s="57"/>
      <c r="H10450" s="18"/>
    </row>
    <row r="10451">
      <c r="C10451" s="18"/>
      <c r="D10451" s="19"/>
      <c r="E10451" s="57"/>
      <c r="H10451" s="18"/>
    </row>
    <row r="10452">
      <c r="C10452" s="18"/>
      <c r="D10452" s="19"/>
      <c r="E10452" s="57"/>
      <c r="H10452" s="18"/>
    </row>
    <row r="10453">
      <c r="C10453" s="18"/>
      <c r="D10453" s="19"/>
      <c r="E10453" s="57"/>
      <c r="H10453" s="18"/>
    </row>
    <row r="10454">
      <c r="C10454" s="18"/>
      <c r="D10454" s="19"/>
      <c r="E10454" s="57"/>
      <c r="H10454" s="18"/>
    </row>
    <row r="10455">
      <c r="C10455" s="18"/>
      <c r="D10455" s="19"/>
      <c r="E10455" s="57"/>
      <c r="H10455" s="18"/>
    </row>
    <row r="10456">
      <c r="C10456" s="18"/>
      <c r="D10456" s="19"/>
      <c r="E10456" s="57"/>
      <c r="H10456" s="18"/>
    </row>
    <row r="10457">
      <c r="C10457" s="18"/>
      <c r="D10457" s="19"/>
      <c r="E10457" s="57"/>
      <c r="H10457" s="18"/>
    </row>
    <row r="10458">
      <c r="C10458" s="18"/>
      <c r="D10458" s="19"/>
      <c r="E10458" s="57"/>
      <c r="H10458" s="18"/>
    </row>
    <row r="10459">
      <c r="C10459" s="18"/>
      <c r="D10459" s="19"/>
      <c r="E10459" s="57"/>
      <c r="H10459" s="18"/>
    </row>
    <row r="10460">
      <c r="C10460" s="18"/>
      <c r="D10460" s="19"/>
      <c r="E10460" s="57"/>
      <c r="H10460" s="18"/>
    </row>
    <row r="10461">
      <c r="C10461" s="18"/>
      <c r="D10461" s="19"/>
      <c r="E10461" s="57"/>
      <c r="H10461" s="18"/>
    </row>
    <row r="10462">
      <c r="C10462" s="18"/>
      <c r="D10462" s="19"/>
      <c r="E10462" s="57"/>
      <c r="H10462" s="18"/>
    </row>
    <row r="10463">
      <c r="C10463" s="18"/>
      <c r="D10463" s="19"/>
      <c r="E10463" s="57"/>
      <c r="H10463" s="18"/>
    </row>
    <row r="10464">
      <c r="C10464" s="18"/>
      <c r="D10464" s="19"/>
      <c r="E10464" s="57"/>
      <c r="H10464" s="18"/>
    </row>
    <row r="10465">
      <c r="C10465" s="18"/>
      <c r="D10465" s="19"/>
      <c r="E10465" s="57"/>
      <c r="H10465" s="18"/>
    </row>
    <row r="10466">
      <c r="C10466" s="18"/>
      <c r="D10466" s="19"/>
      <c r="E10466" s="57"/>
      <c r="H10466" s="18"/>
    </row>
    <row r="10467">
      <c r="C10467" s="18"/>
      <c r="D10467" s="19"/>
      <c r="E10467" s="57"/>
      <c r="H10467" s="18"/>
    </row>
    <row r="10468">
      <c r="C10468" s="18"/>
      <c r="D10468" s="19"/>
      <c r="E10468" s="57"/>
      <c r="H10468" s="18"/>
    </row>
    <row r="10469">
      <c r="C10469" s="18"/>
      <c r="D10469" s="19"/>
      <c r="E10469" s="57"/>
      <c r="H10469" s="18"/>
    </row>
    <row r="10470">
      <c r="C10470" s="18"/>
      <c r="D10470" s="19"/>
      <c r="E10470" s="57"/>
      <c r="H10470" s="18"/>
    </row>
    <row r="10471">
      <c r="C10471" s="18"/>
      <c r="D10471" s="19"/>
      <c r="E10471" s="57"/>
      <c r="H10471" s="18"/>
    </row>
    <row r="10472">
      <c r="C10472" s="18"/>
      <c r="D10472" s="19"/>
      <c r="E10472" s="57"/>
      <c r="H10472" s="18"/>
    </row>
    <row r="10473">
      <c r="C10473" s="18"/>
      <c r="D10473" s="19"/>
      <c r="E10473" s="57"/>
      <c r="H10473" s="18"/>
    </row>
    <row r="10474">
      <c r="C10474" s="18"/>
      <c r="D10474" s="19"/>
      <c r="E10474" s="57"/>
      <c r="H10474" s="18"/>
    </row>
    <row r="10475">
      <c r="C10475" s="18"/>
      <c r="D10475" s="19"/>
      <c r="E10475" s="57"/>
      <c r="H10475" s="18"/>
    </row>
    <row r="10476">
      <c r="C10476" s="18"/>
      <c r="D10476" s="19"/>
      <c r="E10476" s="57"/>
      <c r="H10476" s="18"/>
    </row>
    <row r="10477">
      <c r="C10477" s="18"/>
      <c r="D10477" s="19"/>
      <c r="E10477" s="57"/>
      <c r="H10477" s="18"/>
    </row>
    <row r="10478">
      <c r="C10478" s="18"/>
      <c r="D10478" s="19"/>
      <c r="E10478" s="57"/>
      <c r="H10478" s="18"/>
    </row>
    <row r="10479">
      <c r="C10479" s="18"/>
      <c r="D10479" s="19"/>
      <c r="E10479" s="57"/>
      <c r="H10479" s="18"/>
    </row>
    <row r="10480">
      <c r="C10480" s="18"/>
      <c r="D10480" s="19"/>
      <c r="E10480" s="57"/>
      <c r="H10480" s="18"/>
    </row>
    <row r="10481">
      <c r="C10481" s="18"/>
      <c r="D10481" s="19"/>
      <c r="E10481" s="57"/>
      <c r="H10481" s="18"/>
    </row>
    <row r="10482">
      <c r="C10482" s="18"/>
      <c r="D10482" s="19"/>
      <c r="E10482" s="57"/>
      <c r="H10482" s="18"/>
    </row>
    <row r="10483">
      <c r="C10483" s="18"/>
      <c r="D10483" s="19"/>
      <c r="E10483" s="57"/>
      <c r="H10483" s="18"/>
    </row>
    <row r="10484">
      <c r="C10484" s="18"/>
      <c r="D10484" s="19"/>
      <c r="E10484" s="57"/>
      <c r="H10484" s="18"/>
    </row>
    <row r="10485">
      <c r="C10485" s="18"/>
      <c r="D10485" s="19"/>
      <c r="E10485" s="57"/>
      <c r="H10485" s="18"/>
    </row>
    <row r="10486">
      <c r="C10486" s="18"/>
      <c r="D10486" s="19"/>
      <c r="E10486" s="57"/>
      <c r="H10486" s="18"/>
    </row>
    <row r="10487">
      <c r="C10487" s="18"/>
      <c r="D10487" s="19"/>
      <c r="E10487" s="57"/>
      <c r="H10487" s="18"/>
    </row>
    <row r="10488">
      <c r="C10488" s="18"/>
      <c r="D10488" s="19"/>
      <c r="E10488" s="57"/>
      <c r="H10488" s="18"/>
    </row>
    <row r="10489">
      <c r="C10489" s="18"/>
      <c r="D10489" s="19"/>
      <c r="E10489" s="57"/>
      <c r="H10489" s="18"/>
    </row>
    <row r="10490">
      <c r="C10490" s="18"/>
      <c r="D10490" s="19"/>
      <c r="E10490" s="57"/>
      <c r="H10490" s="18"/>
    </row>
    <row r="10491">
      <c r="C10491" s="18"/>
      <c r="D10491" s="19"/>
      <c r="E10491" s="57"/>
      <c r="H10491" s="18"/>
    </row>
    <row r="10492">
      <c r="C10492" s="18"/>
      <c r="D10492" s="19"/>
      <c r="E10492" s="57"/>
      <c r="H10492" s="18"/>
    </row>
    <row r="10493">
      <c r="C10493" s="18"/>
      <c r="D10493" s="19"/>
      <c r="E10493" s="57"/>
      <c r="H10493" s="18"/>
    </row>
    <row r="10494">
      <c r="C10494" s="18"/>
      <c r="D10494" s="19"/>
      <c r="E10494" s="57"/>
      <c r="H10494" s="18"/>
    </row>
    <row r="10495">
      <c r="C10495" s="18"/>
      <c r="D10495" s="19"/>
      <c r="E10495" s="57"/>
      <c r="H10495" s="18"/>
    </row>
    <row r="10496">
      <c r="C10496" s="18"/>
      <c r="D10496" s="19"/>
      <c r="E10496" s="57"/>
      <c r="H10496" s="18"/>
    </row>
    <row r="10497">
      <c r="C10497" s="18"/>
      <c r="D10497" s="19"/>
      <c r="E10497" s="57"/>
      <c r="H10497" s="18"/>
    </row>
    <row r="10498">
      <c r="C10498" s="18"/>
      <c r="D10498" s="19"/>
      <c r="E10498" s="57"/>
      <c r="H10498" s="18"/>
    </row>
    <row r="10499">
      <c r="C10499" s="18"/>
      <c r="D10499" s="19"/>
      <c r="E10499" s="57"/>
      <c r="H10499" s="18"/>
    </row>
    <row r="10500">
      <c r="C10500" s="18"/>
      <c r="D10500" s="19"/>
      <c r="E10500" s="57"/>
      <c r="H10500" s="18"/>
    </row>
    <row r="10501">
      <c r="C10501" s="18"/>
      <c r="D10501" s="19"/>
      <c r="E10501" s="57"/>
      <c r="H10501" s="18"/>
    </row>
    <row r="10502">
      <c r="C10502" s="18"/>
      <c r="D10502" s="19"/>
      <c r="E10502" s="57"/>
      <c r="H10502" s="18"/>
    </row>
    <row r="10503">
      <c r="C10503" s="18"/>
      <c r="D10503" s="19"/>
      <c r="E10503" s="57"/>
      <c r="H10503" s="18"/>
    </row>
    <row r="10504">
      <c r="C10504" s="18"/>
      <c r="D10504" s="19"/>
      <c r="E10504" s="57"/>
      <c r="H10504" s="18"/>
    </row>
    <row r="10505">
      <c r="C10505" s="18"/>
      <c r="D10505" s="19"/>
      <c r="E10505" s="57"/>
      <c r="H10505" s="18"/>
    </row>
    <row r="10506">
      <c r="C10506" s="18"/>
      <c r="D10506" s="19"/>
      <c r="E10506" s="57"/>
      <c r="H10506" s="18"/>
    </row>
    <row r="10507">
      <c r="C10507" s="18"/>
      <c r="D10507" s="19"/>
      <c r="E10507" s="57"/>
      <c r="H10507" s="18"/>
    </row>
    <row r="10508">
      <c r="C10508" s="18"/>
      <c r="D10508" s="19"/>
      <c r="E10508" s="57"/>
      <c r="H10508" s="18"/>
    </row>
    <row r="10509">
      <c r="C10509" s="18"/>
      <c r="D10509" s="19"/>
      <c r="E10509" s="57"/>
      <c r="H10509" s="18"/>
    </row>
    <row r="10510">
      <c r="C10510" s="18"/>
      <c r="D10510" s="19"/>
      <c r="E10510" s="57"/>
      <c r="H10510" s="18"/>
    </row>
    <row r="10511">
      <c r="C10511" s="18"/>
      <c r="D10511" s="19"/>
      <c r="E10511" s="57"/>
      <c r="H10511" s="18"/>
    </row>
    <row r="10512">
      <c r="C10512" s="18"/>
      <c r="D10512" s="19"/>
      <c r="E10512" s="57"/>
      <c r="H10512" s="18"/>
    </row>
    <row r="10513">
      <c r="C10513" s="18"/>
      <c r="D10513" s="19"/>
      <c r="E10513" s="57"/>
      <c r="H10513" s="18"/>
    </row>
    <row r="10514">
      <c r="C10514" s="18"/>
      <c r="D10514" s="19"/>
      <c r="E10514" s="57"/>
      <c r="H10514" s="18"/>
    </row>
    <row r="10515">
      <c r="C10515" s="18"/>
      <c r="D10515" s="19"/>
      <c r="E10515" s="57"/>
      <c r="H10515" s="18"/>
    </row>
    <row r="10516">
      <c r="C10516" s="18"/>
      <c r="D10516" s="19"/>
      <c r="E10516" s="57"/>
      <c r="H10516" s="18"/>
    </row>
    <row r="10517">
      <c r="C10517" s="18"/>
      <c r="D10517" s="19"/>
      <c r="E10517" s="57"/>
      <c r="H10517" s="18"/>
    </row>
    <row r="10518">
      <c r="C10518" s="18"/>
      <c r="D10518" s="19"/>
      <c r="E10518" s="57"/>
      <c r="H10518" s="18"/>
    </row>
    <row r="10519">
      <c r="C10519" s="18"/>
      <c r="D10519" s="19"/>
      <c r="E10519" s="57"/>
      <c r="H10519" s="18"/>
    </row>
    <row r="10520">
      <c r="C10520" s="18"/>
      <c r="D10520" s="19"/>
      <c r="E10520" s="57"/>
      <c r="H10520" s="18"/>
    </row>
    <row r="10521">
      <c r="C10521" s="18"/>
      <c r="D10521" s="19"/>
      <c r="E10521" s="57"/>
      <c r="H10521" s="18"/>
    </row>
    <row r="10522">
      <c r="C10522" s="18"/>
      <c r="D10522" s="19"/>
      <c r="E10522" s="57"/>
      <c r="H10522" s="18"/>
    </row>
    <row r="10523">
      <c r="C10523" s="18"/>
      <c r="D10523" s="19"/>
      <c r="E10523" s="57"/>
      <c r="H10523" s="18"/>
    </row>
    <row r="10524">
      <c r="C10524" s="18"/>
      <c r="D10524" s="19"/>
      <c r="E10524" s="57"/>
      <c r="H10524" s="18"/>
    </row>
    <row r="10525">
      <c r="C10525" s="18"/>
      <c r="D10525" s="19"/>
      <c r="E10525" s="57"/>
      <c r="H10525" s="18"/>
    </row>
    <row r="10526">
      <c r="C10526" s="18"/>
      <c r="D10526" s="19"/>
      <c r="E10526" s="57"/>
      <c r="H10526" s="18"/>
    </row>
    <row r="10527">
      <c r="C10527" s="18"/>
      <c r="D10527" s="19"/>
      <c r="E10527" s="57"/>
      <c r="H10527" s="18"/>
    </row>
    <row r="10528">
      <c r="C10528" s="18"/>
      <c r="D10528" s="19"/>
      <c r="E10528" s="57"/>
      <c r="H10528" s="18"/>
    </row>
    <row r="10529">
      <c r="C10529" s="18"/>
      <c r="D10529" s="19"/>
      <c r="E10529" s="57"/>
      <c r="H10529" s="18"/>
    </row>
    <row r="10530">
      <c r="C10530" s="18"/>
      <c r="D10530" s="19"/>
      <c r="E10530" s="57"/>
      <c r="H10530" s="18"/>
    </row>
    <row r="10531">
      <c r="C10531" s="18"/>
      <c r="D10531" s="19"/>
      <c r="E10531" s="57"/>
      <c r="H10531" s="18"/>
    </row>
    <row r="10532">
      <c r="C10532" s="18"/>
      <c r="D10532" s="19"/>
      <c r="E10532" s="57"/>
      <c r="H10532" s="18"/>
    </row>
    <row r="10533">
      <c r="C10533" s="18"/>
      <c r="D10533" s="19"/>
      <c r="E10533" s="57"/>
      <c r="H10533" s="18"/>
    </row>
    <row r="10534">
      <c r="C10534" s="18"/>
      <c r="D10534" s="19"/>
      <c r="E10534" s="57"/>
      <c r="H10534" s="18"/>
    </row>
    <row r="10535">
      <c r="C10535" s="18"/>
      <c r="D10535" s="19"/>
      <c r="E10535" s="57"/>
      <c r="H10535" s="18"/>
    </row>
    <row r="10536">
      <c r="C10536" s="18"/>
      <c r="D10536" s="19"/>
      <c r="E10536" s="57"/>
      <c r="H10536" s="18"/>
    </row>
    <row r="10537">
      <c r="C10537" s="18"/>
      <c r="D10537" s="19"/>
      <c r="E10537" s="57"/>
      <c r="H10537" s="18"/>
    </row>
    <row r="10538">
      <c r="C10538" s="18"/>
      <c r="D10538" s="19"/>
      <c r="E10538" s="57"/>
      <c r="H10538" s="18"/>
    </row>
    <row r="10539">
      <c r="C10539" s="18"/>
      <c r="D10539" s="19"/>
      <c r="E10539" s="57"/>
      <c r="H10539" s="18"/>
    </row>
    <row r="10540">
      <c r="C10540" s="18"/>
      <c r="D10540" s="19"/>
      <c r="E10540" s="57"/>
      <c r="H10540" s="18"/>
    </row>
    <row r="10541">
      <c r="C10541" s="18"/>
      <c r="D10541" s="19"/>
      <c r="E10541" s="57"/>
      <c r="H10541" s="18"/>
    </row>
    <row r="10542">
      <c r="C10542" s="18"/>
      <c r="D10542" s="19"/>
      <c r="E10542" s="57"/>
      <c r="H10542" s="18"/>
    </row>
    <row r="10543">
      <c r="C10543" s="18"/>
      <c r="D10543" s="19"/>
      <c r="E10543" s="57"/>
      <c r="H10543" s="18"/>
    </row>
    <row r="10544">
      <c r="C10544" s="18"/>
      <c r="D10544" s="19"/>
      <c r="E10544" s="57"/>
      <c r="H10544" s="18"/>
    </row>
    <row r="10545">
      <c r="C10545" s="18"/>
      <c r="D10545" s="19"/>
      <c r="E10545" s="57"/>
      <c r="H10545" s="18"/>
    </row>
    <row r="10546">
      <c r="C10546" s="18"/>
      <c r="D10546" s="19"/>
      <c r="E10546" s="57"/>
      <c r="H10546" s="18"/>
    </row>
    <row r="10547">
      <c r="C10547" s="18"/>
      <c r="D10547" s="19"/>
      <c r="E10547" s="57"/>
      <c r="H10547" s="18"/>
    </row>
    <row r="10548">
      <c r="C10548" s="18"/>
      <c r="D10548" s="19"/>
      <c r="E10548" s="57"/>
      <c r="H10548" s="18"/>
    </row>
    <row r="10549">
      <c r="C10549" s="18"/>
      <c r="D10549" s="19"/>
      <c r="E10549" s="57"/>
      <c r="H10549" s="18"/>
    </row>
    <row r="10550">
      <c r="C10550" s="18"/>
      <c r="D10550" s="19"/>
      <c r="E10550" s="57"/>
      <c r="H10550" s="18"/>
    </row>
    <row r="10551">
      <c r="C10551" s="18"/>
      <c r="D10551" s="19"/>
      <c r="E10551" s="57"/>
      <c r="H10551" s="18"/>
    </row>
    <row r="10552">
      <c r="C10552" s="18"/>
      <c r="D10552" s="19"/>
      <c r="E10552" s="57"/>
      <c r="H10552" s="18"/>
    </row>
    <row r="10553">
      <c r="C10553" s="18"/>
      <c r="D10553" s="19"/>
      <c r="E10553" s="57"/>
      <c r="H10553" s="18"/>
    </row>
    <row r="10554">
      <c r="C10554" s="18"/>
      <c r="D10554" s="19"/>
      <c r="E10554" s="57"/>
      <c r="H10554" s="18"/>
    </row>
    <row r="10555">
      <c r="C10555" s="18"/>
      <c r="D10555" s="19"/>
      <c r="E10555" s="57"/>
      <c r="H10555" s="18"/>
    </row>
    <row r="10556">
      <c r="C10556" s="18"/>
      <c r="D10556" s="19"/>
      <c r="E10556" s="57"/>
      <c r="H10556" s="18"/>
    </row>
    <row r="10557">
      <c r="C10557" s="18"/>
      <c r="D10557" s="19"/>
      <c r="E10557" s="57"/>
      <c r="H10557" s="18"/>
    </row>
    <row r="10558">
      <c r="C10558" s="18"/>
      <c r="D10558" s="19"/>
      <c r="E10558" s="57"/>
      <c r="H10558" s="18"/>
    </row>
    <row r="10559">
      <c r="C10559" s="18"/>
      <c r="D10559" s="19"/>
      <c r="E10559" s="57"/>
      <c r="H10559" s="18"/>
    </row>
    <row r="10560">
      <c r="C10560" s="18"/>
      <c r="D10560" s="19"/>
      <c r="E10560" s="57"/>
      <c r="H10560" s="18"/>
    </row>
    <row r="10561">
      <c r="C10561" s="18"/>
      <c r="D10561" s="19"/>
      <c r="E10561" s="57"/>
      <c r="H10561" s="18"/>
    </row>
    <row r="10562">
      <c r="C10562" s="18"/>
      <c r="D10562" s="19"/>
      <c r="E10562" s="57"/>
      <c r="H10562" s="18"/>
    </row>
    <row r="10563">
      <c r="C10563" s="18"/>
      <c r="D10563" s="19"/>
      <c r="E10563" s="57"/>
      <c r="H10563" s="18"/>
    </row>
    <row r="10564">
      <c r="C10564" s="18"/>
      <c r="D10564" s="19"/>
      <c r="E10564" s="57"/>
      <c r="H10564" s="18"/>
    </row>
    <row r="10565">
      <c r="C10565" s="18"/>
      <c r="D10565" s="19"/>
      <c r="E10565" s="57"/>
      <c r="H10565" s="18"/>
    </row>
    <row r="10566">
      <c r="C10566" s="18"/>
      <c r="D10566" s="19"/>
      <c r="E10566" s="57"/>
      <c r="H10566" s="18"/>
    </row>
    <row r="10567">
      <c r="C10567" s="18"/>
      <c r="D10567" s="19"/>
      <c r="E10567" s="57"/>
      <c r="H10567" s="18"/>
    </row>
    <row r="10568">
      <c r="C10568" s="18"/>
      <c r="D10568" s="19"/>
      <c r="E10568" s="57"/>
      <c r="H10568" s="18"/>
    </row>
    <row r="10569">
      <c r="C10569" s="18"/>
      <c r="D10569" s="19"/>
      <c r="E10569" s="57"/>
      <c r="H10569" s="18"/>
    </row>
    <row r="10570">
      <c r="C10570" s="18"/>
      <c r="D10570" s="19"/>
      <c r="E10570" s="57"/>
      <c r="H10570" s="18"/>
    </row>
    <row r="10571">
      <c r="C10571" s="18"/>
      <c r="D10571" s="19"/>
      <c r="E10571" s="57"/>
      <c r="H10571" s="18"/>
    </row>
    <row r="10572">
      <c r="C10572" s="18"/>
      <c r="D10572" s="19"/>
      <c r="E10572" s="57"/>
      <c r="H10572" s="18"/>
    </row>
    <row r="10573">
      <c r="C10573" s="18"/>
      <c r="D10573" s="19"/>
      <c r="E10573" s="57"/>
      <c r="H10573" s="18"/>
    </row>
    <row r="10574">
      <c r="C10574" s="18"/>
      <c r="D10574" s="19"/>
      <c r="E10574" s="57"/>
      <c r="H10574" s="18"/>
    </row>
    <row r="10575">
      <c r="C10575" s="18"/>
      <c r="D10575" s="19"/>
      <c r="E10575" s="57"/>
      <c r="H10575" s="18"/>
    </row>
    <row r="10576">
      <c r="C10576" s="18"/>
      <c r="D10576" s="19"/>
      <c r="E10576" s="57"/>
      <c r="H10576" s="18"/>
    </row>
    <row r="10577">
      <c r="C10577" s="18"/>
      <c r="D10577" s="19"/>
      <c r="E10577" s="57"/>
      <c r="H10577" s="18"/>
    </row>
    <row r="10578">
      <c r="C10578" s="18"/>
      <c r="D10578" s="19"/>
      <c r="E10578" s="57"/>
      <c r="H10578" s="18"/>
    </row>
    <row r="10579">
      <c r="C10579" s="18"/>
      <c r="D10579" s="19"/>
      <c r="E10579" s="57"/>
      <c r="H10579" s="18"/>
    </row>
    <row r="10580">
      <c r="C10580" s="18"/>
      <c r="D10580" s="19"/>
      <c r="E10580" s="57"/>
      <c r="H10580" s="18"/>
    </row>
    <row r="10581">
      <c r="C10581" s="18"/>
      <c r="D10581" s="19"/>
      <c r="E10581" s="57"/>
      <c r="H10581" s="18"/>
    </row>
    <row r="10582">
      <c r="C10582" s="18"/>
      <c r="D10582" s="19"/>
      <c r="E10582" s="57"/>
      <c r="H10582" s="18"/>
    </row>
    <row r="10583">
      <c r="C10583" s="18"/>
      <c r="D10583" s="19"/>
      <c r="E10583" s="57"/>
      <c r="H10583" s="18"/>
    </row>
    <row r="10584">
      <c r="C10584" s="18"/>
      <c r="D10584" s="19"/>
      <c r="E10584" s="57"/>
      <c r="H10584" s="18"/>
    </row>
    <row r="10585">
      <c r="C10585" s="18"/>
      <c r="D10585" s="19"/>
      <c r="E10585" s="57"/>
      <c r="H10585" s="18"/>
    </row>
    <row r="10586">
      <c r="C10586" s="18"/>
      <c r="D10586" s="19"/>
      <c r="E10586" s="57"/>
      <c r="H10586" s="18"/>
    </row>
    <row r="10587">
      <c r="C10587" s="18"/>
      <c r="D10587" s="19"/>
      <c r="E10587" s="57"/>
      <c r="H10587" s="18"/>
    </row>
    <row r="10588">
      <c r="C10588" s="18"/>
      <c r="D10588" s="19"/>
      <c r="E10588" s="57"/>
      <c r="H10588" s="18"/>
    </row>
    <row r="10589">
      <c r="C10589" s="18"/>
      <c r="D10589" s="19"/>
      <c r="E10589" s="57"/>
      <c r="H10589" s="18"/>
    </row>
    <row r="10590">
      <c r="C10590" s="18"/>
      <c r="D10590" s="19"/>
      <c r="E10590" s="57"/>
      <c r="H10590" s="18"/>
    </row>
    <row r="10591">
      <c r="C10591" s="18"/>
      <c r="D10591" s="19"/>
      <c r="E10591" s="57"/>
      <c r="H10591" s="18"/>
    </row>
    <row r="10592">
      <c r="C10592" s="18"/>
      <c r="D10592" s="19"/>
      <c r="E10592" s="57"/>
      <c r="H10592" s="18"/>
    </row>
    <row r="10593">
      <c r="C10593" s="18"/>
      <c r="D10593" s="19"/>
      <c r="E10593" s="57"/>
      <c r="H10593" s="18"/>
    </row>
    <row r="10594">
      <c r="C10594" s="18"/>
      <c r="D10594" s="19"/>
      <c r="E10594" s="57"/>
      <c r="H10594" s="18"/>
    </row>
    <row r="10595">
      <c r="C10595" s="18"/>
      <c r="D10595" s="19"/>
      <c r="E10595" s="57"/>
      <c r="H10595" s="18"/>
    </row>
    <row r="10596">
      <c r="C10596" s="18"/>
      <c r="D10596" s="19"/>
      <c r="E10596" s="57"/>
      <c r="H10596" s="18"/>
    </row>
    <row r="10597">
      <c r="C10597" s="18"/>
      <c r="D10597" s="19"/>
      <c r="E10597" s="57"/>
      <c r="H10597" s="18"/>
    </row>
    <row r="10598">
      <c r="C10598" s="18"/>
      <c r="D10598" s="19"/>
      <c r="E10598" s="57"/>
      <c r="H10598" s="18"/>
    </row>
    <row r="10599">
      <c r="C10599" s="18"/>
      <c r="D10599" s="19"/>
      <c r="E10599" s="57"/>
      <c r="H10599" s="18"/>
    </row>
    <row r="10600">
      <c r="C10600" s="18"/>
      <c r="D10600" s="19"/>
      <c r="E10600" s="57"/>
      <c r="H10600" s="18"/>
    </row>
    <row r="10601">
      <c r="C10601" s="18"/>
      <c r="D10601" s="19"/>
      <c r="E10601" s="57"/>
      <c r="H10601" s="18"/>
    </row>
    <row r="10602">
      <c r="C10602" s="18"/>
      <c r="D10602" s="19"/>
      <c r="E10602" s="57"/>
      <c r="H10602" s="18"/>
    </row>
    <row r="10603">
      <c r="C10603" s="18"/>
      <c r="D10603" s="19"/>
      <c r="E10603" s="57"/>
      <c r="H10603" s="18"/>
    </row>
    <row r="10604">
      <c r="C10604" s="18"/>
      <c r="D10604" s="19"/>
      <c r="E10604" s="57"/>
      <c r="H10604" s="18"/>
    </row>
    <row r="10605">
      <c r="C10605" s="18"/>
      <c r="D10605" s="19"/>
      <c r="E10605" s="57"/>
      <c r="H10605" s="18"/>
    </row>
    <row r="10606">
      <c r="C10606" s="18"/>
      <c r="D10606" s="19"/>
      <c r="E10606" s="57"/>
      <c r="H10606" s="18"/>
    </row>
    <row r="10607">
      <c r="C10607" s="18"/>
      <c r="D10607" s="19"/>
      <c r="E10607" s="57"/>
      <c r="H10607" s="18"/>
    </row>
    <row r="10608">
      <c r="C10608" s="18"/>
      <c r="D10608" s="19"/>
      <c r="E10608" s="57"/>
      <c r="H10608" s="18"/>
    </row>
    <row r="10609">
      <c r="C10609" s="18"/>
      <c r="D10609" s="19"/>
      <c r="E10609" s="57"/>
      <c r="H10609" s="18"/>
    </row>
    <row r="10610">
      <c r="C10610" s="18"/>
      <c r="D10610" s="19"/>
      <c r="E10610" s="57"/>
      <c r="H10610" s="18"/>
    </row>
    <row r="10611">
      <c r="C10611" s="18"/>
      <c r="D10611" s="19"/>
      <c r="E10611" s="57"/>
      <c r="H10611" s="18"/>
    </row>
    <row r="10612">
      <c r="C10612" s="18"/>
      <c r="D10612" s="19"/>
      <c r="E10612" s="57"/>
      <c r="H10612" s="18"/>
    </row>
    <row r="10613">
      <c r="C10613" s="18"/>
      <c r="D10613" s="19"/>
      <c r="E10613" s="57"/>
      <c r="H10613" s="18"/>
    </row>
    <row r="10614">
      <c r="C10614" s="18"/>
      <c r="D10614" s="19"/>
      <c r="E10614" s="57"/>
      <c r="H10614" s="18"/>
    </row>
    <row r="10615">
      <c r="C10615" s="18"/>
      <c r="D10615" s="19"/>
      <c r="E10615" s="57"/>
      <c r="H10615" s="18"/>
    </row>
    <row r="10616">
      <c r="C10616" s="18"/>
      <c r="D10616" s="19"/>
      <c r="E10616" s="57"/>
      <c r="H10616" s="18"/>
    </row>
    <row r="10617">
      <c r="C10617" s="18"/>
      <c r="D10617" s="19"/>
      <c r="E10617" s="57"/>
      <c r="H10617" s="18"/>
    </row>
    <row r="10618">
      <c r="C10618" s="18"/>
      <c r="D10618" s="19"/>
      <c r="E10618" s="57"/>
      <c r="H10618" s="18"/>
    </row>
    <row r="10619">
      <c r="C10619" s="18"/>
      <c r="D10619" s="19"/>
      <c r="E10619" s="57"/>
      <c r="H10619" s="18"/>
    </row>
    <row r="10620">
      <c r="C10620" s="18"/>
      <c r="D10620" s="19"/>
      <c r="E10620" s="57"/>
      <c r="H10620" s="18"/>
    </row>
    <row r="10621">
      <c r="C10621" s="18"/>
      <c r="D10621" s="19"/>
      <c r="E10621" s="57"/>
      <c r="H10621" s="18"/>
    </row>
    <row r="10622">
      <c r="C10622" s="18"/>
      <c r="D10622" s="19"/>
      <c r="E10622" s="57"/>
      <c r="H10622" s="18"/>
    </row>
    <row r="10623">
      <c r="C10623" s="18"/>
      <c r="D10623" s="19"/>
      <c r="E10623" s="57"/>
      <c r="H10623" s="18"/>
    </row>
    <row r="10624">
      <c r="C10624" s="18"/>
      <c r="D10624" s="19"/>
      <c r="E10624" s="57"/>
      <c r="H10624" s="18"/>
    </row>
    <row r="10625">
      <c r="C10625" s="18"/>
      <c r="D10625" s="19"/>
      <c r="E10625" s="57"/>
      <c r="H10625" s="18"/>
    </row>
    <row r="10626">
      <c r="C10626" s="18"/>
      <c r="D10626" s="19"/>
      <c r="E10626" s="57"/>
      <c r="H10626" s="18"/>
    </row>
    <row r="10627">
      <c r="C10627" s="18"/>
      <c r="D10627" s="19"/>
      <c r="E10627" s="57"/>
      <c r="H10627" s="18"/>
    </row>
    <row r="10628">
      <c r="C10628" s="18"/>
      <c r="D10628" s="19"/>
      <c r="E10628" s="57"/>
      <c r="H10628" s="18"/>
    </row>
    <row r="10629">
      <c r="C10629" s="18"/>
      <c r="D10629" s="19"/>
      <c r="E10629" s="57"/>
      <c r="H10629" s="18"/>
    </row>
    <row r="10630">
      <c r="C10630" s="18"/>
      <c r="D10630" s="19"/>
      <c r="E10630" s="57"/>
      <c r="H10630" s="18"/>
    </row>
    <row r="10631">
      <c r="C10631" s="18"/>
      <c r="D10631" s="19"/>
      <c r="E10631" s="57"/>
      <c r="H10631" s="18"/>
    </row>
    <row r="10632">
      <c r="C10632" s="18"/>
      <c r="D10632" s="19"/>
      <c r="E10632" s="57"/>
      <c r="H10632" s="18"/>
    </row>
    <row r="10633">
      <c r="C10633" s="18"/>
      <c r="D10633" s="19"/>
      <c r="E10633" s="57"/>
      <c r="H10633" s="18"/>
    </row>
    <row r="10634">
      <c r="C10634" s="18"/>
      <c r="D10634" s="19"/>
      <c r="E10634" s="57"/>
      <c r="H10634" s="18"/>
    </row>
    <row r="10635">
      <c r="C10635" s="18"/>
      <c r="D10635" s="19"/>
      <c r="E10635" s="57"/>
      <c r="H10635" s="18"/>
    </row>
    <row r="10636">
      <c r="C10636" s="18"/>
      <c r="D10636" s="19"/>
      <c r="E10636" s="57"/>
      <c r="H10636" s="18"/>
    </row>
    <row r="10637">
      <c r="C10637" s="18"/>
      <c r="D10637" s="19"/>
      <c r="E10637" s="57"/>
      <c r="H10637" s="18"/>
    </row>
    <row r="10638">
      <c r="C10638" s="18"/>
      <c r="D10638" s="19"/>
      <c r="E10638" s="57"/>
      <c r="H10638" s="18"/>
    </row>
    <row r="10639">
      <c r="C10639" s="18"/>
      <c r="D10639" s="19"/>
      <c r="E10639" s="57"/>
      <c r="H10639" s="18"/>
    </row>
    <row r="10640">
      <c r="C10640" s="18"/>
      <c r="D10640" s="19"/>
      <c r="E10640" s="57"/>
      <c r="H10640" s="18"/>
    </row>
    <row r="10641">
      <c r="C10641" s="18"/>
      <c r="D10641" s="19"/>
      <c r="E10641" s="57"/>
      <c r="H10641" s="18"/>
    </row>
    <row r="10642">
      <c r="C10642" s="18"/>
      <c r="D10642" s="19"/>
      <c r="E10642" s="57"/>
      <c r="H10642" s="18"/>
    </row>
    <row r="10643">
      <c r="C10643" s="18"/>
      <c r="D10643" s="19"/>
      <c r="E10643" s="57"/>
      <c r="H10643" s="18"/>
    </row>
    <row r="10644">
      <c r="C10644" s="18"/>
      <c r="D10644" s="19"/>
      <c r="E10644" s="57"/>
      <c r="H10644" s="18"/>
    </row>
    <row r="10645">
      <c r="C10645" s="18"/>
      <c r="D10645" s="19"/>
      <c r="E10645" s="57"/>
      <c r="H10645" s="18"/>
    </row>
    <row r="10646">
      <c r="C10646" s="18"/>
      <c r="D10646" s="19"/>
      <c r="E10646" s="57"/>
      <c r="H10646" s="18"/>
    </row>
    <row r="10647">
      <c r="C10647" s="18"/>
      <c r="D10647" s="19"/>
      <c r="E10647" s="57"/>
      <c r="H10647" s="18"/>
    </row>
    <row r="10648">
      <c r="C10648" s="18"/>
      <c r="D10648" s="19"/>
      <c r="E10648" s="57"/>
      <c r="H10648" s="18"/>
    </row>
    <row r="10649">
      <c r="C10649" s="18"/>
      <c r="D10649" s="19"/>
      <c r="E10649" s="57"/>
      <c r="H10649" s="18"/>
    </row>
    <row r="10650">
      <c r="C10650" s="18"/>
      <c r="D10650" s="19"/>
      <c r="E10650" s="57"/>
      <c r="H10650" s="18"/>
    </row>
    <row r="10651">
      <c r="C10651" s="18"/>
      <c r="D10651" s="19"/>
      <c r="E10651" s="57"/>
      <c r="H10651" s="18"/>
    </row>
    <row r="10652">
      <c r="C10652" s="18"/>
      <c r="D10652" s="19"/>
      <c r="E10652" s="57"/>
      <c r="H10652" s="18"/>
    </row>
    <row r="10653">
      <c r="C10653" s="18"/>
      <c r="D10653" s="19"/>
      <c r="E10653" s="57"/>
      <c r="H10653" s="18"/>
    </row>
    <row r="10654">
      <c r="C10654" s="18"/>
      <c r="D10654" s="19"/>
      <c r="E10654" s="57"/>
      <c r="H10654" s="18"/>
    </row>
    <row r="10655">
      <c r="C10655" s="18"/>
      <c r="D10655" s="19"/>
      <c r="E10655" s="57"/>
      <c r="H10655" s="18"/>
    </row>
    <row r="10656">
      <c r="C10656" s="18"/>
      <c r="D10656" s="19"/>
      <c r="E10656" s="57"/>
      <c r="H10656" s="18"/>
    </row>
    <row r="10657">
      <c r="C10657" s="18"/>
      <c r="D10657" s="19"/>
      <c r="E10657" s="57"/>
      <c r="H10657" s="18"/>
    </row>
    <row r="10658">
      <c r="C10658" s="18"/>
      <c r="D10658" s="19"/>
      <c r="E10658" s="57"/>
      <c r="H10658" s="18"/>
    </row>
    <row r="10659">
      <c r="C10659" s="18"/>
      <c r="D10659" s="19"/>
      <c r="E10659" s="57"/>
      <c r="H10659" s="18"/>
    </row>
    <row r="10660">
      <c r="C10660" s="18"/>
      <c r="D10660" s="19"/>
      <c r="E10660" s="57"/>
      <c r="H10660" s="18"/>
    </row>
    <row r="10661">
      <c r="C10661" s="18"/>
      <c r="D10661" s="19"/>
      <c r="E10661" s="57"/>
      <c r="H10661" s="18"/>
    </row>
    <row r="10662">
      <c r="C10662" s="18"/>
      <c r="D10662" s="19"/>
      <c r="E10662" s="57"/>
      <c r="H10662" s="18"/>
    </row>
    <row r="10663">
      <c r="C10663" s="18"/>
      <c r="D10663" s="19"/>
      <c r="E10663" s="57"/>
      <c r="H10663" s="18"/>
    </row>
    <row r="10664">
      <c r="C10664" s="18"/>
      <c r="D10664" s="19"/>
      <c r="E10664" s="57"/>
      <c r="H10664" s="18"/>
    </row>
    <row r="10665">
      <c r="C10665" s="18"/>
      <c r="D10665" s="19"/>
      <c r="E10665" s="57"/>
      <c r="H10665" s="18"/>
    </row>
    <row r="10666">
      <c r="C10666" s="18"/>
      <c r="D10666" s="19"/>
      <c r="E10666" s="57"/>
      <c r="H10666" s="18"/>
    </row>
    <row r="10667">
      <c r="C10667" s="18"/>
      <c r="D10667" s="19"/>
      <c r="E10667" s="57"/>
      <c r="H10667" s="18"/>
    </row>
    <row r="10668">
      <c r="C10668" s="18"/>
      <c r="D10668" s="19"/>
      <c r="E10668" s="57"/>
      <c r="H10668" s="18"/>
    </row>
    <row r="10669">
      <c r="C10669" s="18"/>
      <c r="D10669" s="19"/>
      <c r="E10669" s="57"/>
      <c r="H10669" s="18"/>
    </row>
    <row r="10670">
      <c r="C10670" s="18"/>
      <c r="D10670" s="19"/>
      <c r="E10670" s="57"/>
      <c r="H10670" s="18"/>
    </row>
    <row r="10671">
      <c r="C10671" s="18"/>
      <c r="D10671" s="19"/>
      <c r="E10671" s="57"/>
      <c r="H10671" s="18"/>
    </row>
    <row r="10672">
      <c r="C10672" s="18"/>
      <c r="D10672" s="19"/>
      <c r="E10672" s="57"/>
      <c r="H10672" s="18"/>
    </row>
    <row r="10673">
      <c r="C10673" s="18"/>
      <c r="D10673" s="19"/>
      <c r="E10673" s="57"/>
      <c r="H10673" s="18"/>
    </row>
    <row r="10674">
      <c r="C10674" s="18"/>
      <c r="D10674" s="19"/>
      <c r="E10674" s="57"/>
      <c r="H10674" s="18"/>
    </row>
    <row r="10675">
      <c r="C10675" s="18"/>
      <c r="D10675" s="19"/>
      <c r="E10675" s="57"/>
      <c r="H10675" s="18"/>
    </row>
    <row r="10676">
      <c r="C10676" s="18"/>
      <c r="D10676" s="19"/>
      <c r="E10676" s="57"/>
      <c r="H10676" s="18"/>
    </row>
    <row r="10677">
      <c r="C10677" s="18"/>
      <c r="D10677" s="19"/>
      <c r="E10677" s="57"/>
      <c r="H10677" s="18"/>
    </row>
    <row r="10678">
      <c r="C10678" s="18"/>
      <c r="D10678" s="19"/>
      <c r="E10678" s="57"/>
      <c r="H10678" s="18"/>
    </row>
    <row r="10679">
      <c r="C10679" s="18"/>
      <c r="D10679" s="19"/>
      <c r="E10679" s="57"/>
      <c r="H10679" s="18"/>
    </row>
    <row r="10680">
      <c r="C10680" s="18"/>
      <c r="D10680" s="19"/>
      <c r="E10680" s="57"/>
      <c r="H10680" s="18"/>
    </row>
    <row r="10681">
      <c r="C10681" s="18"/>
      <c r="D10681" s="19"/>
      <c r="E10681" s="57"/>
      <c r="H10681" s="18"/>
    </row>
    <row r="10682">
      <c r="C10682" s="18"/>
      <c r="D10682" s="19"/>
      <c r="E10682" s="57"/>
      <c r="H10682" s="18"/>
    </row>
    <row r="10683">
      <c r="C10683" s="18"/>
      <c r="D10683" s="19"/>
      <c r="E10683" s="57"/>
      <c r="H10683" s="18"/>
    </row>
    <row r="10684">
      <c r="C10684" s="18"/>
      <c r="D10684" s="19"/>
      <c r="E10684" s="57"/>
      <c r="H10684" s="18"/>
    </row>
    <row r="10685">
      <c r="C10685" s="18"/>
      <c r="D10685" s="19"/>
      <c r="E10685" s="57"/>
      <c r="H10685" s="18"/>
    </row>
    <row r="10686">
      <c r="C10686" s="18"/>
      <c r="D10686" s="19"/>
      <c r="E10686" s="57"/>
      <c r="H10686" s="18"/>
    </row>
    <row r="10687">
      <c r="C10687" s="18"/>
      <c r="D10687" s="19"/>
      <c r="E10687" s="57"/>
      <c r="H10687" s="18"/>
    </row>
    <row r="10688">
      <c r="C10688" s="18"/>
      <c r="D10688" s="19"/>
      <c r="E10688" s="57"/>
      <c r="H10688" s="18"/>
    </row>
    <row r="10689">
      <c r="C10689" s="18"/>
      <c r="D10689" s="19"/>
      <c r="E10689" s="57"/>
      <c r="H10689" s="18"/>
    </row>
    <row r="10690">
      <c r="C10690" s="18"/>
      <c r="D10690" s="19"/>
      <c r="E10690" s="57"/>
      <c r="H10690" s="18"/>
    </row>
    <row r="10691">
      <c r="C10691" s="18"/>
      <c r="D10691" s="19"/>
      <c r="E10691" s="57"/>
      <c r="H10691" s="18"/>
    </row>
    <row r="10692">
      <c r="C10692" s="18"/>
      <c r="D10692" s="19"/>
      <c r="E10692" s="57"/>
      <c r="H10692" s="18"/>
    </row>
    <row r="10693">
      <c r="C10693" s="18"/>
      <c r="D10693" s="19"/>
      <c r="E10693" s="57"/>
      <c r="H10693" s="18"/>
    </row>
    <row r="10694">
      <c r="C10694" s="18"/>
      <c r="D10694" s="19"/>
      <c r="E10694" s="57"/>
      <c r="H10694" s="18"/>
    </row>
    <row r="10695">
      <c r="C10695" s="18"/>
      <c r="D10695" s="19"/>
      <c r="E10695" s="57"/>
      <c r="H10695" s="18"/>
    </row>
    <row r="10696">
      <c r="C10696" s="18"/>
      <c r="D10696" s="19"/>
      <c r="E10696" s="57"/>
      <c r="H10696" s="18"/>
    </row>
    <row r="10697">
      <c r="C10697" s="18"/>
      <c r="D10697" s="19"/>
      <c r="E10697" s="57"/>
      <c r="H10697" s="18"/>
    </row>
    <row r="10698">
      <c r="C10698" s="18"/>
      <c r="D10698" s="19"/>
      <c r="E10698" s="57"/>
      <c r="H10698" s="18"/>
    </row>
    <row r="10699">
      <c r="C10699" s="18"/>
      <c r="D10699" s="19"/>
      <c r="E10699" s="57"/>
      <c r="H10699" s="18"/>
    </row>
    <row r="10700">
      <c r="C10700" s="18"/>
      <c r="D10700" s="19"/>
      <c r="E10700" s="57"/>
      <c r="H10700" s="18"/>
    </row>
    <row r="10701">
      <c r="C10701" s="18"/>
      <c r="D10701" s="19"/>
      <c r="E10701" s="57"/>
      <c r="H10701" s="18"/>
    </row>
    <row r="10702">
      <c r="C10702" s="18"/>
      <c r="D10702" s="19"/>
      <c r="E10702" s="57"/>
      <c r="H10702" s="18"/>
    </row>
    <row r="10703">
      <c r="C10703" s="18"/>
      <c r="D10703" s="19"/>
      <c r="E10703" s="57"/>
      <c r="H10703" s="18"/>
    </row>
    <row r="10704">
      <c r="C10704" s="18"/>
      <c r="D10704" s="19"/>
      <c r="E10704" s="57"/>
      <c r="H10704" s="18"/>
    </row>
    <row r="10705">
      <c r="C10705" s="18"/>
      <c r="D10705" s="19"/>
      <c r="E10705" s="57"/>
      <c r="H10705" s="18"/>
    </row>
    <row r="10706">
      <c r="C10706" s="18"/>
      <c r="D10706" s="19"/>
      <c r="E10706" s="57"/>
      <c r="H10706" s="18"/>
    </row>
    <row r="10707">
      <c r="C10707" s="18"/>
      <c r="D10707" s="19"/>
      <c r="E10707" s="57"/>
      <c r="H10707" s="18"/>
    </row>
    <row r="10708">
      <c r="C10708" s="18"/>
      <c r="D10708" s="19"/>
      <c r="E10708" s="57"/>
      <c r="H10708" s="18"/>
    </row>
    <row r="10709">
      <c r="C10709" s="18"/>
      <c r="D10709" s="19"/>
      <c r="E10709" s="57"/>
      <c r="H10709" s="18"/>
    </row>
    <row r="10710">
      <c r="C10710" s="18"/>
      <c r="D10710" s="19"/>
      <c r="E10710" s="57"/>
      <c r="H10710" s="18"/>
    </row>
    <row r="10711">
      <c r="C10711" s="18"/>
      <c r="D10711" s="19"/>
      <c r="E10711" s="57"/>
      <c r="H10711" s="18"/>
    </row>
    <row r="10712">
      <c r="C10712" s="18"/>
      <c r="D10712" s="19"/>
      <c r="E10712" s="57"/>
      <c r="H10712" s="18"/>
    </row>
    <row r="10713">
      <c r="C10713" s="18"/>
      <c r="D10713" s="19"/>
      <c r="E10713" s="57"/>
      <c r="H10713" s="18"/>
    </row>
    <row r="10714">
      <c r="C10714" s="18"/>
      <c r="D10714" s="19"/>
      <c r="E10714" s="57"/>
      <c r="H10714" s="18"/>
    </row>
    <row r="10715">
      <c r="C10715" s="18"/>
      <c r="D10715" s="19"/>
      <c r="E10715" s="57"/>
      <c r="H10715" s="18"/>
    </row>
    <row r="10716">
      <c r="C10716" s="18"/>
      <c r="D10716" s="19"/>
      <c r="E10716" s="57"/>
      <c r="H10716" s="18"/>
    </row>
    <row r="10717">
      <c r="C10717" s="18"/>
      <c r="D10717" s="19"/>
      <c r="E10717" s="57"/>
      <c r="H10717" s="18"/>
    </row>
    <row r="10718">
      <c r="C10718" s="18"/>
      <c r="D10718" s="19"/>
      <c r="E10718" s="57"/>
      <c r="H10718" s="18"/>
    </row>
    <row r="10719">
      <c r="C10719" s="18"/>
      <c r="D10719" s="19"/>
      <c r="E10719" s="57"/>
      <c r="H10719" s="18"/>
    </row>
    <row r="10720">
      <c r="C10720" s="18"/>
      <c r="D10720" s="19"/>
      <c r="E10720" s="57"/>
      <c r="H10720" s="18"/>
    </row>
    <row r="10721">
      <c r="C10721" s="18"/>
      <c r="D10721" s="19"/>
      <c r="E10721" s="57"/>
      <c r="H10721" s="18"/>
    </row>
    <row r="10722">
      <c r="C10722" s="18"/>
      <c r="D10722" s="19"/>
      <c r="E10722" s="57"/>
      <c r="H10722" s="18"/>
    </row>
    <row r="10723">
      <c r="C10723" s="18"/>
      <c r="D10723" s="19"/>
      <c r="E10723" s="57"/>
      <c r="H10723" s="18"/>
    </row>
    <row r="10724">
      <c r="C10724" s="18"/>
      <c r="D10724" s="19"/>
      <c r="E10724" s="57"/>
      <c r="H10724" s="18"/>
    </row>
    <row r="10725">
      <c r="C10725" s="18"/>
      <c r="D10725" s="19"/>
      <c r="E10725" s="57"/>
      <c r="H10725" s="18"/>
    </row>
    <row r="10726">
      <c r="C10726" s="18"/>
      <c r="D10726" s="19"/>
      <c r="E10726" s="57"/>
      <c r="H10726" s="18"/>
    </row>
    <row r="10727">
      <c r="C10727" s="18"/>
      <c r="D10727" s="19"/>
      <c r="E10727" s="57"/>
      <c r="H10727" s="18"/>
    </row>
    <row r="10728">
      <c r="C10728" s="18"/>
      <c r="D10728" s="19"/>
      <c r="E10728" s="57"/>
      <c r="H10728" s="18"/>
    </row>
    <row r="10729">
      <c r="C10729" s="18"/>
      <c r="D10729" s="19"/>
      <c r="E10729" s="57"/>
      <c r="H10729" s="18"/>
    </row>
    <row r="10730">
      <c r="C10730" s="18"/>
      <c r="D10730" s="19"/>
      <c r="E10730" s="57"/>
      <c r="H10730" s="18"/>
    </row>
    <row r="10731">
      <c r="C10731" s="18"/>
      <c r="D10731" s="19"/>
      <c r="E10731" s="57"/>
      <c r="H10731" s="18"/>
    </row>
    <row r="10732">
      <c r="C10732" s="18"/>
      <c r="D10732" s="19"/>
      <c r="E10732" s="57"/>
      <c r="H10732" s="18"/>
    </row>
    <row r="10733">
      <c r="C10733" s="18"/>
      <c r="D10733" s="19"/>
      <c r="E10733" s="57"/>
      <c r="H10733" s="18"/>
    </row>
    <row r="10734">
      <c r="C10734" s="18"/>
      <c r="D10734" s="19"/>
      <c r="E10734" s="57"/>
      <c r="H10734" s="18"/>
    </row>
    <row r="10735">
      <c r="C10735" s="18"/>
      <c r="D10735" s="19"/>
      <c r="E10735" s="57"/>
      <c r="H10735" s="18"/>
    </row>
    <row r="10736">
      <c r="C10736" s="18"/>
      <c r="D10736" s="19"/>
      <c r="E10736" s="57"/>
      <c r="H10736" s="18"/>
    </row>
    <row r="10737">
      <c r="C10737" s="18"/>
      <c r="D10737" s="19"/>
      <c r="E10737" s="57"/>
      <c r="H10737" s="18"/>
    </row>
    <row r="10738">
      <c r="C10738" s="18"/>
      <c r="D10738" s="19"/>
      <c r="E10738" s="57"/>
      <c r="H10738" s="18"/>
    </row>
    <row r="10739">
      <c r="C10739" s="18"/>
      <c r="D10739" s="19"/>
      <c r="E10739" s="57"/>
      <c r="H10739" s="18"/>
    </row>
    <row r="10740">
      <c r="C10740" s="18"/>
      <c r="D10740" s="19"/>
      <c r="E10740" s="57"/>
      <c r="H10740" s="18"/>
    </row>
    <row r="10741">
      <c r="C10741" s="18"/>
      <c r="D10741" s="19"/>
      <c r="E10741" s="57"/>
      <c r="H10741" s="18"/>
    </row>
    <row r="10742">
      <c r="C10742" s="18"/>
      <c r="D10742" s="19"/>
      <c r="E10742" s="57"/>
      <c r="H10742" s="18"/>
    </row>
    <row r="10743">
      <c r="C10743" s="18"/>
      <c r="D10743" s="19"/>
      <c r="E10743" s="57"/>
      <c r="H10743" s="18"/>
    </row>
    <row r="10744">
      <c r="C10744" s="18"/>
      <c r="D10744" s="19"/>
      <c r="E10744" s="57"/>
      <c r="H10744" s="18"/>
    </row>
    <row r="10745">
      <c r="C10745" s="18"/>
      <c r="D10745" s="19"/>
      <c r="E10745" s="57"/>
      <c r="H10745" s="18"/>
    </row>
    <row r="10746">
      <c r="C10746" s="18"/>
      <c r="D10746" s="19"/>
      <c r="E10746" s="57"/>
      <c r="H10746" s="18"/>
    </row>
    <row r="10747">
      <c r="C10747" s="18"/>
      <c r="D10747" s="19"/>
      <c r="E10747" s="57"/>
      <c r="H10747" s="18"/>
    </row>
    <row r="10748">
      <c r="C10748" s="18"/>
      <c r="D10748" s="19"/>
      <c r="E10748" s="57"/>
      <c r="H10748" s="18"/>
    </row>
    <row r="10749">
      <c r="C10749" s="18"/>
      <c r="D10749" s="19"/>
      <c r="E10749" s="57"/>
      <c r="H10749" s="18"/>
    </row>
    <row r="10750">
      <c r="C10750" s="18"/>
      <c r="D10750" s="19"/>
      <c r="E10750" s="57"/>
      <c r="H10750" s="18"/>
    </row>
    <row r="10751">
      <c r="C10751" s="18"/>
      <c r="D10751" s="19"/>
      <c r="E10751" s="57"/>
      <c r="H10751" s="18"/>
    </row>
    <row r="10752">
      <c r="C10752" s="18"/>
      <c r="D10752" s="19"/>
      <c r="E10752" s="57"/>
      <c r="H10752" s="18"/>
    </row>
    <row r="10753">
      <c r="C10753" s="18"/>
      <c r="D10753" s="19"/>
      <c r="E10753" s="57"/>
      <c r="H10753" s="18"/>
    </row>
    <row r="10754">
      <c r="C10754" s="18"/>
      <c r="D10754" s="19"/>
      <c r="E10754" s="57"/>
      <c r="H10754" s="18"/>
    </row>
    <row r="10755">
      <c r="C10755" s="18"/>
      <c r="D10755" s="19"/>
      <c r="E10755" s="57"/>
      <c r="H10755" s="18"/>
    </row>
    <row r="10756">
      <c r="C10756" s="18"/>
      <c r="D10756" s="19"/>
      <c r="E10756" s="57"/>
      <c r="H10756" s="18"/>
    </row>
    <row r="10757">
      <c r="C10757" s="18"/>
      <c r="D10757" s="19"/>
      <c r="E10757" s="57"/>
      <c r="H10757" s="18"/>
    </row>
    <row r="10758">
      <c r="C10758" s="18"/>
      <c r="D10758" s="19"/>
      <c r="E10758" s="57"/>
      <c r="H10758" s="18"/>
    </row>
    <row r="10759">
      <c r="C10759" s="18"/>
      <c r="D10759" s="19"/>
      <c r="E10759" s="57"/>
      <c r="H10759" s="18"/>
    </row>
    <row r="10760">
      <c r="C10760" s="18"/>
      <c r="D10760" s="19"/>
      <c r="E10760" s="57"/>
      <c r="H10760" s="18"/>
    </row>
    <row r="10761">
      <c r="C10761" s="18"/>
      <c r="D10761" s="19"/>
      <c r="E10761" s="57"/>
      <c r="H10761" s="18"/>
    </row>
    <row r="10762">
      <c r="C10762" s="18"/>
      <c r="D10762" s="19"/>
      <c r="E10762" s="57"/>
      <c r="H10762" s="18"/>
    </row>
    <row r="10763">
      <c r="C10763" s="18"/>
      <c r="D10763" s="19"/>
      <c r="E10763" s="57"/>
      <c r="H10763" s="18"/>
    </row>
    <row r="10764">
      <c r="C10764" s="18"/>
      <c r="D10764" s="19"/>
      <c r="E10764" s="57"/>
      <c r="H10764" s="18"/>
    </row>
    <row r="10765">
      <c r="C10765" s="18"/>
      <c r="D10765" s="19"/>
      <c r="E10765" s="57"/>
      <c r="H10765" s="18"/>
    </row>
    <row r="10766">
      <c r="C10766" s="18"/>
      <c r="D10766" s="19"/>
      <c r="E10766" s="57"/>
      <c r="H10766" s="18"/>
    </row>
    <row r="10767">
      <c r="C10767" s="18"/>
      <c r="D10767" s="19"/>
      <c r="E10767" s="57"/>
      <c r="H10767" s="18"/>
    </row>
    <row r="10768">
      <c r="C10768" s="18"/>
      <c r="D10768" s="19"/>
      <c r="E10768" s="57"/>
      <c r="H10768" s="18"/>
    </row>
    <row r="10769">
      <c r="C10769" s="18"/>
      <c r="D10769" s="19"/>
      <c r="E10769" s="57"/>
      <c r="H10769" s="18"/>
    </row>
    <row r="10770">
      <c r="C10770" s="18"/>
      <c r="D10770" s="19"/>
      <c r="E10770" s="57"/>
      <c r="H10770" s="18"/>
    </row>
    <row r="10771">
      <c r="C10771" s="18"/>
      <c r="D10771" s="19"/>
      <c r="E10771" s="57"/>
      <c r="H10771" s="18"/>
    </row>
    <row r="10772">
      <c r="C10772" s="18"/>
      <c r="D10772" s="19"/>
      <c r="E10772" s="57"/>
      <c r="H10772" s="18"/>
    </row>
    <row r="10773">
      <c r="C10773" s="18"/>
      <c r="D10773" s="19"/>
      <c r="E10773" s="57"/>
      <c r="H10773" s="18"/>
    </row>
    <row r="10774">
      <c r="C10774" s="18"/>
      <c r="D10774" s="19"/>
      <c r="E10774" s="57"/>
      <c r="H10774" s="18"/>
    </row>
    <row r="10775">
      <c r="C10775" s="18"/>
      <c r="D10775" s="19"/>
      <c r="E10775" s="57"/>
      <c r="H10775" s="18"/>
    </row>
    <row r="10776">
      <c r="C10776" s="18"/>
      <c r="D10776" s="19"/>
      <c r="E10776" s="57"/>
      <c r="H10776" s="18"/>
    </row>
    <row r="10777">
      <c r="C10777" s="18"/>
      <c r="D10777" s="19"/>
      <c r="E10777" s="57"/>
      <c r="H10777" s="18"/>
    </row>
    <row r="10778">
      <c r="C10778" s="18"/>
      <c r="D10778" s="19"/>
      <c r="E10778" s="57"/>
      <c r="H10778" s="18"/>
    </row>
    <row r="10779">
      <c r="C10779" s="18"/>
      <c r="D10779" s="19"/>
      <c r="E10779" s="57"/>
      <c r="H10779" s="18"/>
    </row>
    <row r="10780">
      <c r="C10780" s="18"/>
      <c r="D10780" s="19"/>
      <c r="E10780" s="57"/>
      <c r="H10780" s="18"/>
    </row>
    <row r="10781">
      <c r="C10781" s="18"/>
      <c r="D10781" s="19"/>
      <c r="E10781" s="57"/>
      <c r="H10781" s="18"/>
    </row>
    <row r="10782">
      <c r="C10782" s="18"/>
      <c r="D10782" s="19"/>
      <c r="E10782" s="57"/>
      <c r="H10782" s="18"/>
    </row>
    <row r="10783">
      <c r="C10783" s="18"/>
      <c r="D10783" s="19"/>
      <c r="E10783" s="57"/>
      <c r="H10783" s="18"/>
    </row>
    <row r="10784">
      <c r="C10784" s="18"/>
      <c r="D10784" s="19"/>
      <c r="E10784" s="57"/>
      <c r="H10784" s="18"/>
    </row>
    <row r="10785">
      <c r="C10785" s="18"/>
      <c r="D10785" s="19"/>
      <c r="E10785" s="57"/>
      <c r="H10785" s="18"/>
    </row>
    <row r="10786">
      <c r="C10786" s="18"/>
      <c r="D10786" s="19"/>
      <c r="E10786" s="57"/>
      <c r="H10786" s="18"/>
    </row>
    <row r="10787">
      <c r="C10787" s="18"/>
      <c r="D10787" s="19"/>
      <c r="E10787" s="57"/>
      <c r="H10787" s="18"/>
    </row>
    <row r="10788">
      <c r="C10788" s="18"/>
      <c r="D10788" s="19"/>
      <c r="E10788" s="57"/>
      <c r="H10788" s="18"/>
    </row>
    <row r="10789">
      <c r="C10789" s="18"/>
      <c r="D10789" s="19"/>
      <c r="E10789" s="57"/>
      <c r="H10789" s="18"/>
    </row>
    <row r="10790">
      <c r="C10790" s="18"/>
      <c r="D10790" s="19"/>
      <c r="E10790" s="57"/>
      <c r="H10790" s="18"/>
    </row>
    <row r="10791">
      <c r="C10791" s="18"/>
      <c r="D10791" s="19"/>
      <c r="E10791" s="57"/>
      <c r="H10791" s="18"/>
    </row>
    <row r="10792">
      <c r="C10792" s="18"/>
      <c r="D10792" s="19"/>
      <c r="E10792" s="57"/>
      <c r="H10792" s="18"/>
    </row>
    <row r="10793">
      <c r="C10793" s="18"/>
      <c r="D10793" s="19"/>
      <c r="E10793" s="57"/>
      <c r="H10793" s="18"/>
    </row>
    <row r="10794">
      <c r="C10794" s="18"/>
      <c r="D10794" s="19"/>
      <c r="E10794" s="57"/>
      <c r="H10794" s="18"/>
    </row>
    <row r="10795">
      <c r="C10795" s="18"/>
      <c r="D10795" s="19"/>
      <c r="E10795" s="57"/>
      <c r="H10795" s="18"/>
    </row>
    <row r="10796">
      <c r="C10796" s="18"/>
      <c r="D10796" s="19"/>
      <c r="E10796" s="57"/>
      <c r="H10796" s="18"/>
    </row>
    <row r="10797">
      <c r="C10797" s="18"/>
      <c r="D10797" s="19"/>
      <c r="E10797" s="57"/>
      <c r="H10797" s="18"/>
    </row>
    <row r="10798">
      <c r="C10798" s="18"/>
      <c r="D10798" s="19"/>
      <c r="E10798" s="57"/>
      <c r="H10798" s="18"/>
    </row>
    <row r="10799">
      <c r="C10799" s="18"/>
      <c r="D10799" s="19"/>
      <c r="E10799" s="57"/>
      <c r="H10799" s="18"/>
    </row>
    <row r="10800">
      <c r="C10800" s="18"/>
      <c r="D10800" s="19"/>
      <c r="E10800" s="57"/>
      <c r="H10800" s="18"/>
    </row>
    <row r="10801">
      <c r="C10801" s="18"/>
      <c r="D10801" s="19"/>
      <c r="E10801" s="57"/>
      <c r="H10801" s="18"/>
    </row>
    <row r="10802">
      <c r="C10802" s="18"/>
      <c r="D10802" s="19"/>
      <c r="E10802" s="57"/>
      <c r="H10802" s="18"/>
    </row>
    <row r="10803">
      <c r="C10803" s="18"/>
      <c r="D10803" s="19"/>
      <c r="E10803" s="57"/>
      <c r="H10803" s="18"/>
    </row>
    <row r="10804">
      <c r="C10804" s="18"/>
      <c r="D10804" s="19"/>
      <c r="E10804" s="57"/>
      <c r="H10804" s="18"/>
    </row>
    <row r="10805">
      <c r="C10805" s="18"/>
      <c r="D10805" s="19"/>
      <c r="E10805" s="57"/>
      <c r="H10805" s="18"/>
    </row>
    <row r="10806">
      <c r="C10806" s="18"/>
      <c r="D10806" s="19"/>
      <c r="E10806" s="57"/>
      <c r="H10806" s="18"/>
    </row>
    <row r="10807">
      <c r="C10807" s="18"/>
      <c r="D10807" s="19"/>
      <c r="E10807" s="57"/>
      <c r="H10807" s="18"/>
    </row>
    <row r="10808">
      <c r="C10808" s="18"/>
      <c r="D10808" s="19"/>
      <c r="E10808" s="57"/>
      <c r="H10808" s="18"/>
    </row>
    <row r="10809">
      <c r="C10809" s="18"/>
      <c r="D10809" s="19"/>
      <c r="E10809" s="57"/>
      <c r="H10809" s="18"/>
    </row>
    <row r="10810">
      <c r="C10810" s="18"/>
      <c r="D10810" s="19"/>
      <c r="E10810" s="57"/>
      <c r="H10810" s="18"/>
    </row>
    <row r="10811">
      <c r="C10811" s="18"/>
      <c r="D10811" s="19"/>
      <c r="E10811" s="57"/>
      <c r="H10811" s="18"/>
    </row>
    <row r="10812">
      <c r="C10812" s="18"/>
      <c r="D10812" s="19"/>
      <c r="E10812" s="57"/>
      <c r="H10812" s="18"/>
    </row>
    <row r="10813">
      <c r="C10813" s="18"/>
      <c r="D10813" s="19"/>
      <c r="E10813" s="57"/>
      <c r="H10813" s="18"/>
    </row>
    <row r="10814">
      <c r="C10814" s="18"/>
      <c r="D10814" s="19"/>
      <c r="E10814" s="57"/>
      <c r="H10814" s="18"/>
    </row>
    <row r="10815">
      <c r="C10815" s="18"/>
      <c r="D10815" s="19"/>
      <c r="E10815" s="57"/>
      <c r="H10815" s="18"/>
    </row>
    <row r="10816">
      <c r="C10816" s="18"/>
      <c r="D10816" s="19"/>
      <c r="E10816" s="57"/>
      <c r="H10816" s="18"/>
    </row>
    <row r="10817">
      <c r="C10817" s="18"/>
      <c r="D10817" s="19"/>
      <c r="E10817" s="57"/>
      <c r="H10817" s="18"/>
    </row>
    <row r="10818">
      <c r="C10818" s="18"/>
      <c r="D10818" s="19"/>
      <c r="E10818" s="57"/>
      <c r="H10818" s="18"/>
    </row>
    <row r="10819">
      <c r="C10819" s="18"/>
      <c r="D10819" s="19"/>
      <c r="E10819" s="57"/>
      <c r="H10819" s="18"/>
    </row>
    <row r="10820">
      <c r="C10820" s="18"/>
      <c r="D10820" s="19"/>
      <c r="E10820" s="57"/>
      <c r="H10820" s="18"/>
    </row>
    <row r="10821">
      <c r="C10821" s="18"/>
      <c r="D10821" s="19"/>
      <c r="E10821" s="57"/>
      <c r="H10821" s="18"/>
    </row>
    <row r="10822">
      <c r="C10822" s="18"/>
      <c r="D10822" s="19"/>
      <c r="E10822" s="57"/>
      <c r="H10822" s="18"/>
    </row>
    <row r="10823">
      <c r="C10823" s="18"/>
      <c r="D10823" s="19"/>
      <c r="E10823" s="57"/>
      <c r="H10823" s="18"/>
    </row>
    <row r="10824">
      <c r="C10824" s="18"/>
      <c r="D10824" s="19"/>
      <c r="E10824" s="57"/>
      <c r="H10824" s="18"/>
    </row>
    <row r="10825">
      <c r="C10825" s="18"/>
      <c r="D10825" s="19"/>
      <c r="E10825" s="57"/>
      <c r="H10825" s="18"/>
    </row>
    <row r="10826">
      <c r="C10826" s="18"/>
      <c r="D10826" s="19"/>
      <c r="E10826" s="57"/>
      <c r="H10826" s="18"/>
    </row>
    <row r="10827">
      <c r="C10827" s="18"/>
      <c r="D10827" s="19"/>
      <c r="E10827" s="57"/>
      <c r="H10827" s="18"/>
    </row>
    <row r="10828">
      <c r="C10828" s="18"/>
      <c r="D10828" s="19"/>
      <c r="E10828" s="57"/>
      <c r="H10828" s="18"/>
    </row>
    <row r="10829">
      <c r="C10829" s="18"/>
      <c r="D10829" s="19"/>
      <c r="E10829" s="57"/>
      <c r="H10829" s="18"/>
    </row>
    <row r="10830">
      <c r="C10830" s="18"/>
      <c r="D10830" s="19"/>
      <c r="E10830" s="57"/>
      <c r="H10830" s="18"/>
    </row>
    <row r="10831">
      <c r="C10831" s="18"/>
      <c r="D10831" s="19"/>
      <c r="E10831" s="57"/>
      <c r="H10831" s="18"/>
    </row>
    <row r="10832">
      <c r="C10832" s="18"/>
      <c r="D10832" s="19"/>
      <c r="E10832" s="57"/>
      <c r="H10832" s="18"/>
    </row>
    <row r="10833">
      <c r="C10833" s="18"/>
      <c r="D10833" s="19"/>
      <c r="E10833" s="57"/>
      <c r="H10833" s="18"/>
    </row>
    <row r="10834">
      <c r="C10834" s="18"/>
      <c r="D10834" s="19"/>
      <c r="E10834" s="57"/>
      <c r="H10834" s="18"/>
    </row>
    <row r="10835">
      <c r="C10835" s="18"/>
      <c r="D10835" s="19"/>
      <c r="E10835" s="57"/>
      <c r="H10835" s="18"/>
    </row>
    <row r="10836">
      <c r="C10836" s="18"/>
      <c r="D10836" s="19"/>
      <c r="E10836" s="57"/>
      <c r="H10836" s="18"/>
    </row>
    <row r="10837">
      <c r="C10837" s="18"/>
      <c r="D10837" s="19"/>
      <c r="E10837" s="57"/>
      <c r="H10837" s="18"/>
    </row>
    <row r="10838">
      <c r="C10838" s="18"/>
      <c r="D10838" s="19"/>
      <c r="E10838" s="57"/>
      <c r="H10838" s="18"/>
    </row>
    <row r="10839">
      <c r="C10839" s="18"/>
      <c r="D10839" s="19"/>
      <c r="E10839" s="57"/>
      <c r="H10839" s="18"/>
    </row>
    <row r="10840">
      <c r="C10840" s="18"/>
      <c r="D10840" s="19"/>
      <c r="E10840" s="57"/>
      <c r="H10840" s="18"/>
    </row>
    <row r="10841">
      <c r="C10841" s="18"/>
      <c r="D10841" s="19"/>
      <c r="E10841" s="57"/>
      <c r="H10841" s="18"/>
    </row>
    <row r="10842">
      <c r="C10842" s="18"/>
      <c r="D10842" s="19"/>
      <c r="E10842" s="57"/>
      <c r="H10842" s="18"/>
    </row>
    <row r="10843">
      <c r="C10843" s="18"/>
      <c r="D10843" s="19"/>
      <c r="E10843" s="57"/>
      <c r="H10843" s="18"/>
    </row>
    <row r="10844">
      <c r="C10844" s="18"/>
      <c r="D10844" s="19"/>
      <c r="E10844" s="57"/>
      <c r="H10844" s="18"/>
    </row>
    <row r="10845">
      <c r="C10845" s="18"/>
      <c r="D10845" s="19"/>
      <c r="E10845" s="57"/>
      <c r="H10845" s="18"/>
    </row>
    <row r="10846">
      <c r="C10846" s="18"/>
      <c r="D10846" s="19"/>
      <c r="E10846" s="57"/>
      <c r="H10846" s="18"/>
    </row>
    <row r="10847">
      <c r="C10847" s="18"/>
      <c r="D10847" s="19"/>
      <c r="E10847" s="57"/>
      <c r="H10847" s="18"/>
    </row>
    <row r="10848">
      <c r="C10848" s="18"/>
      <c r="D10848" s="19"/>
      <c r="E10848" s="57"/>
      <c r="H10848" s="18"/>
    </row>
    <row r="10849">
      <c r="C10849" s="18"/>
      <c r="D10849" s="19"/>
      <c r="E10849" s="57"/>
      <c r="H10849" s="18"/>
    </row>
    <row r="10850">
      <c r="C10850" s="18"/>
      <c r="D10850" s="19"/>
      <c r="E10850" s="57"/>
      <c r="H10850" s="18"/>
    </row>
    <row r="10851">
      <c r="C10851" s="18"/>
      <c r="D10851" s="19"/>
      <c r="E10851" s="57"/>
      <c r="H10851" s="18"/>
    </row>
    <row r="10852">
      <c r="C10852" s="18"/>
      <c r="D10852" s="19"/>
      <c r="E10852" s="57"/>
      <c r="H10852" s="18"/>
    </row>
    <row r="10853">
      <c r="C10853" s="18"/>
      <c r="D10853" s="19"/>
      <c r="E10853" s="57"/>
      <c r="H10853" s="18"/>
    </row>
    <row r="10854">
      <c r="C10854" s="18"/>
      <c r="D10854" s="19"/>
      <c r="E10854" s="57"/>
      <c r="H10854" s="18"/>
    </row>
    <row r="10855">
      <c r="C10855" s="18"/>
      <c r="D10855" s="19"/>
      <c r="E10855" s="57"/>
      <c r="H10855" s="18"/>
    </row>
    <row r="10856">
      <c r="C10856" s="18"/>
      <c r="D10856" s="19"/>
      <c r="E10856" s="57"/>
      <c r="H10856" s="18"/>
    </row>
    <row r="10857">
      <c r="C10857" s="18"/>
      <c r="D10857" s="19"/>
      <c r="E10857" s="57"/>
      <c r="H10857" s="18"/>
    </row>
    <row r="10858">
      <c r="C10858" s="18"/>
      <c r="D10858" s="19"/>
      <c r="E10858" s="57"/>
      <c r="H10858" s="18"/>
    </row>
    <row r="10859">
      <c r="C10859" s="18"/>
      <c r="D10859" s="19"/>
      <c r="E10859" s="57"/>
      <c r="H10859" s="18"/>
    </row>
    <row r="10860">
      <c r="C10860" s="18"/>
      <c r="D10860" s="19"/>
      <c r="E10860" s="57"/>
      <c r="H10860" s="18"/>
    </row>
    <row r="10861">
      <c r="C10861" s="18"/>
      <c r="D10861" s="19"/>
      <c r="E10861" s="57"/>
      <c r="H10861" s="18"/>
    </row>
    <row r="10862">
      <c r="C10862" s="18"/>
      <c r="D10862" s="19"/>
      <c r="E10862" s="57"/>
      <c r="H10862" s="18"/>
    </row>
    <row r="10863">
      <c r="C10863" s="18"/>
      <c r="D10863" s="19"/>
      <c r="E10863" s="57"/>
      <c r="H10863" s="18"/>
    </row>
    <row r="10864">
      <c r="C10864" s="18"/>
      <c r="D10864" s="19"/>
      <c r="E10864" s="57"/>
      <c r="H10864" s="18"/>
    </row>
    <row r="10865">
      <c r="C10865" s="18"/>
      <c r="D10865" s="19"/>
      <c r="E10865" s="57"/>
      <c r="H10865" s="18"/>
    </row>
    <row r="10866">
      <c r="C10866" s="18"/>
      <c r="D10866" s="19"/>
      <c r="E10866" s="57"/>
      <c r="H10866" s="18"/>
    </row>
    <row r="10867">
      <c r="C10867" s="18"/>
      <c r="D10867" s="19"/>
      <c r="E10867" s="57"/>
      <c r="H10867" s="18"/>
    </row>
    <row r="10868">
      <c r="C10868" s="18"/>
      <c r="D10868" s="19"/>
      <c r="E10868" s="57"/>
      <c r="H10868" s="18"/>
    </row>
    <row r="10869">
      <c r="C10869" s="18"/>
      <c r="D10869" s="19"/>
      <c r="E10869" s="57"/>
      <c r="H10869" s="18"/>
    </row>
    <row r="10870">
      <c r="C10870" s="18"/>
      <c r="D10870" s="19"/>
      <c r="E10870" s="57"/>
      <c r="H10870" s="18"/>
    </row>
    <row r="10871">
      <c r="C10871" s="18"/>
      <c r="D10871" s="19"/>
      <c r="E10871" s="57"/>
      <c r="H10871" s="18"/>
    </row>
    <row r="10872">
      <c r="C10872" s="18"/>
      <c r="D10872" s="19"/>
      <c r="E10872" s="57"/>
      <c r="H10872" s="18"/>
    </row>
    <row r="10873">
      <c r="C10873" s="18"/>
      <c r="D10873" s="19"/>
      <c r="E10873" s="57"/>
      <c r="H10873" s="18"/>
    </row>
    <row r="10874">
      <c r="C10874" s="18"/>
      <c r="D10874" s="19"/>
      <c r="E10874" s="57"/>
      <c r="H10874" s="18"/>
    </row>
    <row r="10875">
      <c r="C10875" s="18"/>
      <c r="D10875" s="19"/>
      <c r="E10875" s="57"/>
      <c r="H10875" s="18"/>
    </row>
    <row r="10876">
      <c r="C10876" s="18"/>
      <c r="D10876" s="19"/>
      <c r="E10876" s="57"/>
      <c r="H10876" s="18"/>
    </row>
    <row r="10877">
      <c r="C10877" s="18"/>
      <c r="D10877" s="19"/>
      <c r="E10877" s="57"/>
      <c r="H10877" s="18"/>
    </row>
    <row r="10878">
      <c r="C10878" s="18"/>
      <c r="D10878" s="19"/>
      <c r="E10878" s="57"/>
      <c r="H10878" s="18"/>
    </row>
    <row r="10879">
      <c r="C10879" s="18"/>
      <c r="D10879" s="19"/>
      <c r="E10879" s="57"/>
      <c r="H10879" s="18"/>
    </row>
    <row r="10880">
      <c r="C10880" s="18"/>
      <c r="D10880" s="19"/>
      <c r="E10880" s="57"/>
      <c r="H10880" s="18"/>
    </row>
    <row r="10881">
      <c r="C10881" s="18"/>
      <c r="D10881" s="19"/>
      <c r="E10881" s="57"/>
      <c r="H10881" s="18"/>
    </row>
    <row r="10882">
      <c r="C10882" s="18"/>
      <c r="D10882" s="19"/>
      <c r="E10882" s="57"/>
      <c r="H10882" s="18"/>
    </row>
    <row r="10883">
      <c r="C10883" s="18"/>
      <c r="D10883" s="19"/>
      <c r="E10883" s="57"/>
      <c r="H10883" s="18"/>
    </row>
    <row r="10884">
      <c r="C10884" s="18"/>
      <c r="D10884" s="19"/>
      <c r="E10884" s="57"/>
      <c r="H10884" s="18"/>
    </row>
    <row r="10885">
      <c r="C10885" s="18"/>
      <c r="D10885" s="19"/>
      <c r="E10885" s="57"/>
      <c r="H10885" s="18"/>
    </row>
    <row r="10886">
      <c r="C10886" s="18"/>
      <c r="D10886" s="19"/>
      <c r="E10886" s="57"/>
      <c r="H10886" s="18"/>
    </row>
    <row r="10887">
      <c r="C10887" s="18"/>
      <c r="D10887" s="19"/>
      <c r="E10887" s="57"/>
      <c r="H10887" s="18"/>
    </row>
    <row r="10888">
      <c r="C10888" s="18"/>
      <c r="D10888" s="19"/>
      <c r="E10888" s="57"/>
      <c r="H10888" s="18"/>
    </row>
    <row r="10889">
      <c r="C10889" s="18"/>
      <c r="D10889" s="19"/>
      <c r="E10889" s="57"/>
      <c r="H10889" s="18"/>
    </row>
    <row r="10890">
      <c r="C10890" s="18"/>
      <c r="D10890" s="19"/>
      <c r="E10890" s="57"/>
      <c r="H10890" s="18"/>
    </row>
    <row r="10891">
      <c r="C10891" s="18"/>
      <c r="D10891" s="19"/>
      <c r="E10891" s="57"/>
      <c r="H10891" s="18"/>
    </row>
    <row r="10892">
      <c r="C10892" s="18"/>
      <c r="D10892" s="19"/>
      <c r="E10892" s="57"/>
      <c r="H10892" s="18"/>
    </row>
    <row r="10893">
      <c r="C10893" s="18"/>
      <c r="D10893" s="19"/>
      <c r="E10893" s="57"/>
      <c r="H10893" s="18"/>
    </row>
    <row r="10894">
      <c r="C10894" s="18"/>
      <c r="D10894" s="19"/>
      <c r="E10894" s="57"/>
      <c r="H10894" s="18"/>
    </row>
    <row r="10895">
      <c r="C10895" s="18"/>
      <c r="D10895" s="19"/>
      <c r="E10895" s="57"/>
      <c r="H10895" s="18"/>
    </row>
    <row r="10896">
      <c r="C10896" s="18"/>
      <c r="D10896" s="19"/>
      <c r="E10896" s="57"/>
      <c r="H10896" s="18"/>
    </row>
    <row r="10897">
      <c r="C10897" s="18"/>
      <c r="D10897" s="19"/>
      <c r="E10897" s="57"/>
      <c r="H10897" s="18"/>
    </row>
    <row r="10898">
      <c r="C10898" s="18"/>
      <c r="D10898" s="19"/>
      <c r="E10898" s="57"/>
      <c r="H10898" s="18"/>
    </row>
    <row r="10899">
      <c r="C10899" s="18"/>
      <c r="D10899" s="19"/>
      <c r="E10899" s="57"/>
      <c r="H10899" s="18"/>
    </row>
    <row r="10900">
      <c r="C10900" s="18"/>
      <c r="D10900" s="19"/>
      <c r="E10900" s="57"/>
      <c r="H10900" s="18"/>
    </row>
    <row r="10901">
      <c r="C10901" s="18"/>
      <c r="D10901" s="19"/>
      <c r="E10901" s="57"/>
      <c r="H10901" s="18"/>
    </row>
    <row r="10902">
      <c r="C10902" s="18"/>
      <c r="D10902" s="19"/>
      <c r="E10902" s="57"/>
      <c r="H10902" s="18"/>
    </row>
    <row r="10903">
      <c r="C10903" s="18"/>
      <c r="D10903" s="19"/>
      <c r="E10903" s="57"/>
      <c r="H10903" s="18"/>
    </row>
    <row r="10904">
      <c r="C10904" s="18"/>
      <c r="D10904" s="19"/>
      <c r="E10904" s="57"/>
      <c r="H10904" s="18"/>
    </row>
    <row r="10905">
      <c r="C10905" s="18"/>
      <c r="D10905" s="19"/>
      <c r="E10905" s="57"/>
      <c r="H10905" s="18"/>
    </row>
    <row r="10906">
      <c r="C10906" s="18"/>
      <c r="D10906" s="19"/>
      <c r="E10906" s="57"/>
      <c r="H10906" s="18"/>
    </row>
    <row r="10907">
      <c r="C10907" s="18"/>
      <c r="D10907" s="19"/>
      <c r="E10907" s="57"/>
      <c r="H10907" s="18"/>
    </row>
    <row r="10908">
      <c r="C10908" s="18"/>
      <c r="D10908" s="19"/>
      <c r="E10908" s="57"/>
      <c r="H10908" s="18"/>
    </row>
    <row r="10909">
      <c r="C10909" s="18"/>
      <c r="D10909" s="19"/>
      <c r="E10909" s="57"/>
      <c r="H10909" s="18"/>
    </row>
    <row r="10910">
      <c r="C10910" s="18"/>
      <c r="D10910" s="19"/>
      <c r="E10910" s="57"/>
      <c r="H10910" s="18"/>
    </row>
    <row r="10911">
      <c r="C10911" s="18"/>
      <c r="D10911" s="19"/>
      <c r="E10911" s="57"/>
      <c r="H10911" s="18"/>
    </row>
    <row r="10912">
      <c r="C10912" s="18"/>
      <c r="D10912" s="19"/>
      <c r="E10912" s="57"/>
      <c r="H10912" s="18"/>
    </row>
    <row r="10913">
      <c r="C10913" s="18"/>
      <c r="D10913" s="19"/>
      <c r="E10913" s="57"/>
      <c r="H10913" s="18"/>
    </row>
    <row r="10914">
      <c r="C10914" s="18"/>
      <c r="D10914" s="19"/>
      <c r="E10914" s="57"/>
      <c r="H10914" s="18"/>
    </row>
    <row r="10915">
      <c r="C10915" s="18"/>
      <c r="D10915" s="19"/>
      <c r="E10915" s="57"/>
      <c r="H10915" s="18"/>
    </row>
    <row r="10916">
      <c r="C10916" s="18"/>
      <c r="D10916" s="19"/>
      <c r="E10916" s="57"/>
      <c r="H10916" s="18"/>
    </row>
    <row r="10917">
      <c r="C10917" s="18"/>
      <c r="D10917" s="19"/>
      <c r="E10917" s="57"/>
      <c r="H10917" s="18"/>
    </row>
    <row r="10918">
      <c r="C10918" s="18"/>
      <c r="D10918" s="19"/>
      <c r="E10918" s="57"/>
      <c r="H10918" s="18"/>
    </row>
    <row r="10919">
      <c r="C10919" s="18"/>
      <c r="D10919" s="19"/>
      <c r="E10919" s="57"/>
      <c r="H10919" s="18"/>
    </row>
    <row r="10920">
      <c r="C10920" s="18"/>
      <c r="D10920" s="19"/>
      <c r="E10920" s="57"/>
      <c r="H10920" s="18"/>
    </row>
    <row r="10921">
      <c r="C10921" s="18"/>
      <c r="D10921" s="19"/>
      <c r="E10921" s="57"/>
      <c r="H10921" s="18"/>
    </row>
    <row r="10922">
      <c r="C10922" s="18"/>
      <c r="D10922" s="19"/>
      <c r="E10922" s="57"/>
      <c r="H10922" s="18"/>
    </row>
    <row r="10923">
      <c r="C10923" s="18"/>
      <c r="D10923" s="19"/>
      <c r="E10923" s="57"/>
      <c r="H10923" s="18"/>
    </row>
    <row r="10924">
      <c r="C10924" s="18"/>
      <c r="D10924" s="19"/>
      <c r="E10924" s="57"/>
      <c r="H10924" s="18"/>
    </row>
    <row r="10925">
      <c r="C10925" s="18"/>
      <c r="D10925" s="19"/>
      <c r="E10925" s="57"/>
      <c r="H10925" s="18"/>
    </row>
    <row r="10926">
      <c r="C10926" s="18"/>
      <c r="D10926" s="19"/>
      <c r="E10926" s="57"/>
      <c r="H10926" s="18"/>
    </row>
    <row r="10927">
      <c r="C10927" s="18"/>
      <c r="D10927" s="19"/>
      <c r="E10927" s="57"/>
      <c r="H10927" s="18"/>
    </row>
    <row r="10928">
      <c r="C10928" s="18"/>
      <c r="D10928" s="19"/>
      <c r="E10928" s="57"/>
      <c r="H10928" s="18"/>
    </row>
    <row r="10929">
      <c r="C10929" s="18"/>
      <c r="D10929" s="19"/>
      <c r="E10929" s="57"/>
      <c r="H10929" s="18"/>
    </row>
    <row r="10930">
      <c r="C10930" s="18"/>
      <c r="D10930" s="19"/>
      <c r="E10930" s="57"/>
      <c r="H10930" s="18"/>
    </row>
    <row r="10931">
      <c r="C10931" s="18"/>
      <c r="D10931" s="19"/>
      <c r="E10931" s="57"/>
      <c r="H10931" s="18"/>
    </row>
    <row r="10932">
      <c r="C10932" s="18"/>
      <c r="D10932" s="19"/>
      <c r="E10932" s="57"/>
      <c r="H10932" s="18"/>
    </row>
    <row r="10933">
      <c r="C10933" s="18"/>
      <c r="D10933" s="19"/>
      <c r="E10933" s="57"/>
      <c r="H10933" s="18"/>
    </row>
    <row r="10934">
      <c r="C10934" s="18"/>
      <c r="D10934" s="19"/>
      <c r="E10934" s="57"/>
      <c r="H10934" s="18"/>
    </row>
    <row r="10935">
      <c r="C10935" s="18"/>
      <c r="D10935" s="19"/>
      <c r="E10935" s="57"/>
      <c r="H10935" s="18"/>
    </row>
    <row r="10936">
      <c r="C10936" s="18"/>
      <c r="D10936" s="19"/>
      <c r="E10936" s="57"/>
      <c r="H10936" s="18"/>
    </row>
    <row r="10937">
      <c r="C10937" s="18"/>
      <c r="D10937" s="19"/>
      <c r="E10937" s="57"/>
      <c r="H10937" s="18"/>
    </row>
    <row r="10938">
      <c r="C10938" s="18"/>
      <c r="D10938" s="19"/>
      <c r="E10938" s="57"/>
      <c r="H10938" s="18"/>
    </row>
    <row r="10939">
      <c r="C10939" s="18"/>
      <c r="D10939" s="19"/>
      <c r="E10939" s="57"/>
      <c r="H10939" s="18"/>
    </row>
    <row r="10940">
      <c r="C10940" s="18"/>
      <c r="D10940" s="19"/>
      <c r="E10940" s="57"/>
      <c r="H10940" s="18"/>
    </row>
    <row r="10941">
      <c r="C10941" s="18"/>
      <c r="D10941" s="19"/>
      <c r="E10941" s="57"/>
      <c r="H10941" s="18"/>
    </row>
    <row r="10942">
      <c r="C10942" s="18"/>
      <c r="D10942" s="19"/>
      <c r="E10942" s="57"/>
      <c r="H10942" s="18"/>
    </row>
    <row r="10943">
      <c r="C10943" s="18"/>
      <c r="D10943" s="19"/>
      <c r="E10943" s="57"/>
      <c r="H10943" s="18"/>
    </row>
    <row r="10944">
      <c r="C10944" s="18"/>
      <c r="D10944" s="19"/>
      <c r="E10944" s="57"/>
      <c r="H10944" s="18"/>
    </row>
    <row r="10945">
      <c r="C10945" s="18"/>
      <c r="D10945" s="19"/>
      <c r="E10945" s="57"/>
      <c r="H10945" s="18"/>
    </row>
    <row r="10946">
      <c r="C10946" s="18"/>
      <c r="D10946" s="19"/>
      <c r="E10946" s="57"/>
      <c r="H10946" s="18"/>
    </row>
    <row r="10947">
      <c r="C10947" s="18"/>
      <c r="D10947" s="19"/>
      <c r="E10947" s="57"/>
      <c r="H10947" s="18"/>
    </row>
    <row r="10948">
      <c r="C10948" s="18"/>
      <c r="D10948" s="19"/>
      <c r="E10948" s="57"/>
      <c r="H10948" s="18"/>
    </row>
    <row r="10949">
      <c r="C10949" s="18"/>
      <c r="D10949" s="19"/>
      <c r="E10949" s="57"/>
      <c r="H10949" s="18"/>
    </row>
    <row r="10950">
      <c r="C10950" s="18"/>
      <c r="D10950" s="19"/>
      <c r="E10950" s="57"/>
      <c r="H10950" s="18"/>
    </row>
    <row r="10951">
      <c r="C10951" s="18"/>
      <c r="D10951" s="19"/>
      <c r="E10951" s="57"/>
      <c r="H10951" s="18"/>
    </row>
    <row r="10952">
      <c r="C10952" s="18"/>
      <c r="D10952" s="19"/>
      <c r="E10952" s="57"/>
      <c r="H10952" s="18"/>
    </row>
    <row r="10953">
      <c r="C10953" s="18"/>
      <c r="D10953" s="19"/>
      <c r="E10953" s="57"/>
      <c r="H10953" s="18"/>
    </row>
    <row r="10954">
      <c r="C10954" s="18"/>
      <c r="D10954" s="19"/>
      <c r="E10954" s="57"/>
      <c r="H10954" s="18"/>
    </row>
    <row r="10955">
      <c r="C10955" s="18"/>
      <c r="D10955" s="19"/>
      <c r="E10955" s="57"/>
      <c r="H10955" s="18"/>
    </row>
    <row r="10956">
      <c r="C10956" s="18"/>
      <c r="D10956" s="19"/>
      <c r="E10956" s="57"/>
      <c r="H10956" s="18"/>
    </row>
    <row r="10957">
      <c r="C10957" s="18"/>
      <c r="D10957" s="19"/>
      <c r="E10957" s="57"/>
      <c r="H10957" s="18"/>
    </row>
    <row r="10958">
      <c r="C10958" s="18"/>
      <c r="D10958" s="19"/>
      <c r="E10958" s="57"/>
      <c r="H10958" s="18"/>
    </row>
    <row r="10959">
      <c r="C10959" s="18"/>
      <c r="D10959" s="19"/>
      <c r="E10959" s="57"/>
      <c r="H10959" s="18"/>
    </row>
    <row r="10960">
      <c r="C10960" s="18"/>
      <c r="D10960" s="19"/>
      <c r="E10960" s="57"/>
      <c r="H10960" s="18"/>
    </row>
    <row r="10961">
      <c r="C10961" s="18"/>
      <c r="D10961" s="19"/>
      <c r="E10961" s="57"/>
      <c r="H10961" s="18"/>
    </row>
    <row r="10962">
      <c r="C10962" s="18"/>
      <c r="D10962" s="19"/>
      <c r="E10962" s="57"/>
      <c r="H10962" s="18"/>
    </row>
    <row r="10963">
      <c r="C10963" s="18"/>
      <c r="D10963" s="19"/>
      <c r="E10963" s="57"/>
      <c r="H10963" s="18"/>
    </row>
    <row r="10964">
      <c r="C10964" s="18"/>
      <c r="D10964" s="19"/>
      <c r="E10964" s="57"/>
      <c r="H10964" s="18"/>
    </row>
    <row r="10965">
      <c r="C10965" s="18"/>
      <c r="D10965" s="19"/>
      <c r="E10965" s="57"/>
      <c r="H10965" s="18"/>
    </row>
    <row r="10966">
      <c r="C10966" s="18"/>
      <c r="D10966" s="19"/>
      <c r="E10966" s="57"/>
      <c r="H10966" s="18"/>
    </row>
    <row r="10967">
      <c r="C10967" s="18"/>
      <c r="D10967" s="19"/>
      <c r="E10967" s="57"/>
      <c r="H10967" s="18"/>
    </row>
    <row r="10968">
      <c r="C10968" s="18"/>
      <c r="D10968" s="19"/>
      <c r="E10968" s="57"/>
      <c r="H10968" s="18"/>
    </row>
    <row r="10969">
      <c r="C10969" s="18"/>
      <c r="D10969" s="19"/>
      <c r="E10969" s="57"/>
      <c r="H10969" s="18"/>
    </row>
    <row r="10970">
      <c r="C10970" s="18"/>
      <c r="D10970" s="19"/>
      <c r="E10970" s="57"/>
      <c r="H10970" s="18"/>
    </row>
    <row r="10971">
      <c r="C10971" s="18"/>
      <c r="D10971" s="19"/>
      <c r="E10971" s="57"/>
      <c r="H10971" s="18"/>
    </row>
    <row r="10972">
      <c r="C10972" s="18"/>
      <c r="D10972" s="19"/>
      <c r="E10972" s="57"/>
      <c r="H10972" s="18"/>
    </row>
    <row r="10973">
      <c r="C10973" s="18"/>
      <c r="D10973" s="19"/>
      <c r="E10973" s="57"/>
      <c r="H10973" s="18"/>
    </row>
    <row r="10974">
      <c r="C10974" s="18"/>
      <c r="D10974" s="19"/>
      <c r="E10974" s="57"/>
      <c r="H10974" s="18"/>
    </row>
    <row r="10975">
      <c r="C10975" s="18"/>
      <c r="D10975" s="19"/>
      <c r="E10975" s="57"/>
      <c r="H10975" s="18"/>
    </row>
    <row r="10976">
      <c r="C10976" s="18"/>
      <c r="D10976" s="19"/>
      <c r="E10976" s="57"/>
      <c r="H10976" s="18"/>
    </row>
    <row r="10977">
      <c r="C10977" s="18"/>
      <c r="D10977" s="19"/>
      <c r="E10977" s="57"/>
      <c r="H10977" s="18"/>
    </row>
    <row r="10978">
      <c r="C10978" s="18"/>
      <c r="D10978" s="19"/>
      <c r="E10978" s="57"/>
      <c r="H10978" s="18"/>
    </row>
    <row r="10979">
      <c r="C10979" s="18"/>
      <c r="D10979" s="19"/>
      <c r="E10979" s="57"/>
      <c r="H10979" s="18"/>
    </row>
    <row r="10980">
      <c r="C10980" s="18"/>
      <c r="D10980" s="19"/>
      <c r="E10980" s="57"/>
      <c r="H10980" s="18"/>
    </row>
    <row r="10981">
      <c r="C10981" s="18"/>
      <c r="D10981" s="19"/>
      <c r="E10981" s="57"/>
      <c r="H10981" s="18"/>
    </row>
    <row r="10982">
      <c r="C10982" s="18"/>
      <c r="D10982" s="19"/>
      <c r="E10982" s="57"/>
      <c r="H10982" s="18"/>
    </row>
    <row r="10983">
      <c r="C10983" s="18"/>
      <c r="D10983" s="19"/>
      <c r="E10983" s="57"/>
      <c r="H10983" s="18"/>
    </row>
    <row r="10984">
      <c r="C10984" s="18"/>
      <c r="D10984" s="19"/>
      <c r="E10984" s="57"/>
      <c r="H10984" s="18"/>
    </row>
    <row r="10985">
      <c r="C10985" s="18"/>
      <c r="D10985" s="19"/>
      <c r="E10985" s="57"/>
      <c r="H10985" s="18"/>
    </row>
    <row r="10986">
      <c r="C10986" s="18"/>
      <c r="D10986" s="19"/>
      <c r="E10986" s="57"/>
      <c r="H10986" s="18"/>
    </row>
    <row r="10987">
      <c r="C10987" s="18"/>
      <c r="D10987" s="19"/>
      <c r="E10987" s="57"/>
      <c r="H10987" s="18"/>
    </row>
    <row r="10988">
      <c r="C10988" s="18"/>
      <c r="D10988" s="19"/>
      <c r="E10988" s="57"/>
      <c r="H10988" s="18"/>
    </row>
    <row r="10989">
      <c r="C10989" s="18"/>
      <c r="D10989" s="19"/>
      <c r="E10989" s="57"/>
      <c r="H10989" s="18"/>
    </row>
    <row r="10990">
      <c r="C10990" s="18"/>
      <c r="D10990" s="19"/>
      <c r="E10990" s="57"/>
      <c r="H10990" s="18"/>
    </row>
    <row r="10991">
      <c r="C10991" s="18"/>
      <c r="D10991" s="19"/>
      <c r="E10991" s="57"/>
      <c r="H10991" s="18"/>
    </row>
    <row r="10992">
      <c r="C10992" s="18"/>
      <c r="D10992" s="19"/>
      <c r="E10992" s="57"/>
      <c r="H10992" s="18"/>
    </row>
    <row r="10993">
      <c r="C10993" s="18"/>
      <c r="D10993" s="19"/>
      <c r="E10993" s="57"/>
      <c r="H10993" s="18"/>
    </row>
    <row r="10994">
      <c r="C10994" s="18"/>
      <c r="D10994" s="19"/>
      <c r="E10994" s="57"/>
      <c r="H10994" s="18"/>
    </row>
    <row r="10995">
      <c r="C10995" s="18"/>
      <c r="D10995" s="19"/>
      <c r="E10995" s="57"/>
      <c r="H10995" s="18"/>
    </row>
    <row r="10996">
      <c r="C10996" s="18"/>
      <c r="D10996" s="19"/>
      <c r="E10996" s="57"/>
      <c r="H10996" s="18"/>
    </row>
    <row r="10997">
      <c r="C10997" s="18"/>
      <c r="D10997" s="19"/>
      <c r="E10997" s="57"/>
      <c r="H10997" s="18"/>
    </row>
    <row r="10998">
      <c r="C10998" s="18"/>
      <c r="D10998" s="19"/>
      <c r="E10998" s="57"/>
      <c r="H10998" s="18"/>
    </row>
    <row r="10999">
      <c r="C10999" s="18"/>
      <c r="D10999" s="19"/>
      <c r="E10999" s="57"/>
      <c r="H10999" s="18"/>
    </row>
    <row r="11000">
      <c r="C11000" s="18"/>
      <c r="D11000" s="19"/>
      <c r="E11000" s="57"/>
      <c r="H11000" s="18"/>
    </row>
    <row r="11001">
      <c r="C11001" s="18"/>
      <c r="D11001" s="19"/>
      <c r="E11001" s="57"/>
      <c r="H11001" s="18"/>
    </row>
    <row r="11002">
      <c r="C11002" s="18"/>
      <c r="D11002" s="19"/>
      <c r="E11002" s="57"/>
      <c r="H11002" s="18"/>
    </row>
    <row r="11003">
      <c r="C11003" s="18"/>
      <c r="D11003" s="19"/>
      <c r="E11003" s="57"/>
      <c r="H11003" s="18"/>
    </row>
    <row r="11004">
      <c r="C11004" s="18"/>
      <c r="D11004" s="19"/>
      <c r="E11004" s="57"/>
      <c r="H11004" s="18"/>
    </row>
    <row r="11005">
      <c r="C11005" s="18"/>
      <c r="D11005" s="19"/>
      <c r="E11005" s="57"/>
      <c r="H11005" s="18"/>
    </row>
    <row r="11006">
      <c r="C11006" s="18"/>
      <c r="D11006" s="19"/>
      <c r="E11006" s="57"/>
      <c r="H11006" s="18"/>
    </row>
    <row r="11007">
      <c r="C11007" s="18"/>
      <c r="D11007" s="19"/>
      <c r="E11007" s="57"/>
      <c r="H11007" s="18"/>
    </row>
    <row r="11008">
      <c r="C11008" s="18"/>
      <c r="D11008" s="19"/>
      <c r="E11008" s="57"/>
      <c r="H11008" s="18"/>
    </row>
    <row r="11009">
      <c r="C11009" s="18"/>
      <c r="D11009" s="19"/>
      <c r="E11009" s="57"/>
      <c r="H11009" s="18"/>
    </row>
    <row r="11010">
      <c r="C11010" s="18"/>
      <c r="D11010" s="19"/>
      <c r="E11010" s="57"/>
      <c r="H11010" s="18"/>
    </row>
    <row r="11011">
      <c r="C11011" s="18"/>
      <c r="D11011" s="19"/>
      <c r="E11011" s="57"/>
      <c r="H11011" s="18"/>
    </row>
    <row r="11012">
      <c r="C11012" s="18"/>
      <c r="D11012" s="19"/>
      <c r="E11012" s="57"/>
      <c r="H11012" s="18"/>
    </row>
    <row r="11013">
      <c r="C11013" s="18"/>
      <c r="D11013" s="19"/>
      <c r="E11013" s="57"/>
      <c r="H11013" s="18"/>
    </row>
    <row r="11014">
      <c r="C11014" s="18"/>
      <c r="D11014" s="19"/>
      <c r="E11014" s="57"/>
      <c r="H11014" s="18"/>
    </row>
    <row r="11015">
      <c r="C11015" s="18"/>
      <c r="D11015" s="19"/>
      <c r="E11015" s="57"/>
      <c r="H11015" s="18"/>
    </row>
    <row r="11016">
      <c r="C11016" s="18"/>
      <c r="D11016" s="19"/>
      <c r="E11016" s="57"/>
      <c r="H11016" s="18"/>
    </row>
    <row r="11017">
      <c r="C11017" s="18"/>
      <c r="D11017" s="19"/>
      <c r="E11017" s="57"/>
      <c r="H11017" s="18"/>
    </row>
    <row r="11018">
      <c r="C11018" s="18"/>
      <c r="D11018" s="19"/>
      <c r="E11018" s="57"/>
      <c r="H11018" s="18"/>
    </row>
    <row r="11019">
      <c r="C11019" s="18"/>
      <c r="D11019" s="19"/>
      <c r="E11019" s="57"/>
      <c r="H11019" s="18"/>
    </row>
    <row r="11020">
      <c r="C11020" s="18"/>
      <c r="D11020" s="19"/>
      <c r="E11020" s="57"/>
      <c r="H11020" s="18"/>
    </row>
    <row r="11021">
      <c r="C11021" s="18"/>
      <c r="D11021" s="19"/>
      <c r="E11021" s="57"/>
      <c r="H11021" s="18"/>
    </row>
    <row r="11022">
      <c r="C11022" s="18"/>
      <c r="D11022" s="19"/>
      <c r="E11022" s="57"/>
      <c r="H11022" s="18"/>
    </row>
    <row r="11023">
      <c r="C11023" s="18"/>
      <c r="D11023" s="19"/>
      <c r="E11023" s="57"/>
      <c r="H11023" s="18"/>
    </row>
    <row r="11024">
      <c r="C11024" s="18"/>
      <c r="D11024" s="19"/>
      <c r="E11024" s="57"/>
      <c r="H11024" s="18"/>
    </row>
    <row r="11025">
      <c r="C11025" s="18"/>
      <c r="D11025" s="19"/>
      <c r="E11025" s="57"/>
      <c r="H11025" s="18"/>
    </row>
    <row r="11026">
      <c r="C11026" s="18"/>
      <c r="D11026" s="19"/>
      <c r="E11026" s="57"/>
      <c r="H11026" s="18"/>
    </row>
    <row r="11027">
      <c r="C11027" s="18"/>
      <c r="D11027" s="19"/>
      <c r="E11027" s="57"/>
      <c r="H11027" s="18"/>
    </row>
    <row r="11028">
      <c r="C11028" s="18"/>
      <c r="D11028" s="19"/>
      <c r="E11028" s="57"/>
      <c r="H11028" s="18"/>
    </row>
    <row r="11029">
      <c r="C11029" s="18"/>
      <c r="D11029" s="19"/>
      <c r="E11029" s="57"/>
      <c r="H11029" s="18"/>
    </row>
    <row r="11030">
      <c r="C11030" s="18"/>
      <c r="D11030" s="19"/>
      <c r="E11030" s="57"/>
      <c r="H11030" s="18"/>
    </row>
    <row r="11031">
      <c r="C11031" s="18"/>
      <c r="D11031" s="19"/>
      <c r="E11031" s="57"/>
      <c r="H11031" s="18"/>
    </row>
    <row r="11032">
      <c r="C11032" s="18"/>
      <c r="D11032" s="19"/>
      <c r="E11032" s="57"/>
      <c r="H11032" s="18"/>
    </row>
    <row r="11033">
      <c r="C11033" s="18"/>
      <c r="D11033" s="19"/>
      <c r="E11033" s="57"/>
      <c r="H11033" s="18"/>
    </row>
    <row r="11034">
      <c r="C11034" s="18"/>
      <c r="D11034" s="19"/>
      <c r="E11034" s="57"/>
      <c r="H11034" s="18"/>
    </row>
    <row r="11035">
      <c r="C11035" s="18"/>
      <c r="D11035" s="19"/>
      <c r="E11035" s="57"/>
      <c r="H11035" s="18"/>
    </row>
    <row r="11036">
      <c r="C11036" s="18"/>
      <c r="D11036" s="19"/>
      <c r="E11036" s="57"/>
      <c r="H11036" s="18"/>
    </row>
    <row r="11037">
      <c r="C11037" s="18"/>
      <c r="D11037" s="19"/>
      <c r="E11037" s="57"/>
      <c r="H11037" s="18"/>
    </row>
    <row r="11038">
      <c r="C11038" s="18"/>
      <c r="D11038" s="19"/>
      <c r="E11038" s="57"/>
      <c r="H11038" s="18"/>
    </row>
    <row r="11039">
      <c r="C11039" s="18"/>
      <c r="D11039" s="19"/>
      <c r="E11039" s="57"/>
      <c r="H11039" s="18"/>
    </row>
    <row r="11040">
      <c r="C11040" s="18"/>
      <c r="D11040" s="19"/>
      <c r="E11040" s="57"/>
      <c r="H11040" s="18"/>
    </row>
    <row r="11041">
      <c r="C11041" s="18"/>
      <c r="D11041" s="19"/>
      <c r="E11041" s="57"/>
      <c r="H11041" s="18"/>
    </row>
    <row r="11042">
      <c r="C11042" s="18"/>
      <c r="D11042" s="19"/>
      <c r="E11042" s="57"/>
      <c r="H11042" s="18"/>
    </row>
    <row r="11043">
      <c r="C11043" s="18"/>
      <c r="D11043" s="19"/>
      <c r="E11043" s="57"/>
      <c r="H11043" s="18"/>
    </row>
    <row r="11044">
      <c r="C11044" s="18"/>
      <c r="D11044" s="19"/>
      <c r="E11044" s="57"/>
      <c r="H11044" s="18"/>
    </row>
    <row r="11045">
      <c r="C11045" s="18"/>
      <c r="D11045" s="19"/>
      <c r="E11045" s="57"/>
      <c r="H11045" s="18"/>
    </row>
    <row r="11046">
      <c r="C11046" s="18"/>
      <c r="D11046" s="19"/>
      <c r="E11046" s="57"/>
      <c r="H11046" s="18"/>
    </row>
    <row r="11047">
      <c r="C11047" s="18"/>
      <c r="D11047" s="19"/>
      <c r="E11047" s="57"/>
      <c r="H11047" s="18"/>
    </row>
    <row r="11048">
      <c r="C11048" s="18"/>
      <c r="D11048" s="19"/>
      <c r="E11048" s="57"/>
      <c r="H11048" s="18"/>
    </row>
    <row r="11049">
      <c r="C11049" s="18"/>
      <c r="D11049" s="19"/>
      <c r="E11049" s="57"/>
      <c r="H11049" s="18"/>
    </row>
    <row r="11050">
      <c r="C11050" s="18"/>
      <c r="D11050" s="19"/>
      <c r="E11050" s="57"/>
      <c r="H11050" s="18"/>
    </row>
    <row r="11051">
      <c r="C11051" s="18"/>
      <c r="D11051" s="19"/>
      <c r="E11051" s="57"/>
      <c r="H11051" s="18"/>
    </row>
    <row r="11052">
      <c r="C11052" s="18"/>
      <c r="D11052" s="19"/>
      <c r="E11052" s="57"/>
      <c r="H11052" s="18"/>
    </row>
    <row r="11053">
      <c r="C11053" s="18"/>
      <c r="D11053" s="19"/>
      <c r="E11053" s="57"/>
      <c r="H11053" s="18"/>
    </row>
    <row r="11054">
      <c r="C11054" s="18"/>
      <c r="D11054" s="19"/>
      <c r="E11054" s="57"/>
      <c r="H11054" s="18"/>
    </row>
    <row r="11055">
      <c r="C11055" s="18"/>
      <c r="D11055" s="19"/>
      <c r="E11055" s="57"/>
      <c r="H11055" s="18"/>
    </row>
    <row r="11056">
      <c r="C11056" s="18"/>
      <c r="D11056" s="19"/>
      <c r="E11056" s="57"/>
      <c r="H11056" s="18"/>
    </row>
    <row r="11057">
      <c r="C11057" s="18"/>
      <c r="D11057" s="19"/>
      <c r="E11057" s="57"/>
      <c r="H11057" s="18"/>
    </row>
    <row r="11058">
      <c r="C11058" s="18"/>
      <c r="D11058" s="19"/>
      <c r="E11058" s="57"/>
      <c r="H11058" s="18"/>
    </row>
    <row r="11059">
      <c r="C11059" s="18"/>
      <c r="D11059" s="19"/>
      <c r="E11059" s="57"/>
      <c r="H11059" s="18"/>
    </row>
    <row r="11060">
      <c r="C11060" s="18"/>
      <c r="D11060" s="19"/>
      <c r="E11060" s="57"/>
      <c r="H11060" s="18"/>
    </row>
    <row r="11061">
      <c r="C11061" s="18"/>
      <c r="D11061" s="19"/>
      <c r="E11061" s="57"/>
      <c r="H11061" s="18"/>
    </row>
    <row r="11062">
      <c r="C11062" s="18"/>
      <c r="D11062" s="19"/>
      <c r="E11062" s="57"/>
      <c r="H11062" s="18"/>
    </row>
    <row r="11063">
      <c r="C11063" s="18"/>
      <c r="D11063" s="19"/>
      <c r="E11063" s="57"/>
      <c r="H11063" s="18"/>
    </row>
    <row r="11064">
      <c r="C11064" s="18"/>
      <c r="D11064" s="19"/>
      <c r="E11064" s="57"/>
      <c r="H11064" s="18"/>
    </row>
    <row r="11065">
      <c r="C11065" s="18"/>
      <c r="D11065" s="19"/>
      <c r="E11065" s="57"/>
      <c r="H11065" s="18"/>
    </row>
    <row r="11066">
      <c r="C11066" s="18"/>
      <c r="D11066" s="19"/>
      <c r="E11066" s="57"/>
      <c r="H11066" s="18"/>
    </row>
    <row r="11067">
      <c r="C11067" s="18"/>
      <c r="D11067" s="19"/>
      <c r="E11067" s="57"/>
      <c r="H11067" s="18"/>
    </row>
    <row r="11068">
      <c r="C11068" s="18"/>
      <c r="D11068" s="19"/>
      <c r="E11068" s="57"/>
      <c r="H11068" s="18"/>
    </row>
    <row r="11069">
      <c r="C11069" s="18"/>
      <c r="D11069" s="19"/>
      <c r="E11069" s="57"/>
      <c r="H11069" s="18"/>
    </row>
    <row r="11070">
      <c r="C11070" s="18"/>
      <c r="D11070" s="19"/>
      <c r="E11070" s="57"/>
      <c r="H11070" s="18"/>
    </row>
    <row r="11071">
      <c r="C11071" s="18"/>
      <c r="D11071" s="19"/>
      <c r="E11071" s="57"/>
      <c r="H11071" s="18"/>
    </row>
    <row r="11072">
      <c r="C11072" s="18"/>
      <c r="D11072" s="19"/>
      <c r="E11072" s="57"/>
      <c r="H11072" s="18"/>
    </row>
    <row r="11073">
      <c r="C11073" s="18"/>
      <c r="D11073" s="19"/>
      <c r="E11073" s="57"/>
      <c r="H11073" s="18"/>
    </row>
    <row r="11074">
      <c r="C11074" s="18"/>
      <c r="D11074" s="19"/>
      <c r="E11074" s="57"/>
      <c r="H11074" s="18"/>
    </row>
    <row r="11075">
      <c r="C11075" s="18"/>
      <c r="D11075" s="19"/>
      <c r="E11075" s="57"/>
      <c r="H11075" s="18"/>
    </row>
    <row r="11076">
      <c r="C11076" s="18"/>
      <c r="D11076" s="19"/>
      <c r="E11076" s="57"/>
      <c r="H11076" s="18"/>
    </row>
    <row r="11077">
      <c r="C11077" s="18"/>
      <c r="D11077" s="19"/>
      <c r="E11077" s="57"/>
      <c r="H11077" s="18"/>
    </row>
    <row r="11078">
      <c r="C11078" s="18"/>
      <c r="D11078" s="19"/>
      <c r="E11078" s="57"/>
      <c r="H11078" s="18"/>
    </row>
    <row r="11079">
      <c r="C11079" s="18"/>
      <c r="D11079" s="19"/>
      <c r="E11079" s="57"/>
      <c r="H11079" s="18"/>
    </row>
    <row r="11080">
      <c r="C11080" s="18"/>
      <c r="D11080" s="19"/>
      <c r="E11080" s="57"/>
      <c r="H11080" s="18"/>
    </row>
    <row r="11081">
      <c r="C11081" s="18"/>
      <c r="D11081" s="19"/>
      <c r="E11081" s="57"/>
      <c r="H11081" s="18"/>
    </row>
    <row r="11082">
      <c r="C11082" s="18"/>
      <c r="D11082" s="19"/>
      <c r="E11082" s="57"/>
      <c r="H11082" s="18"/>
    </row>
    <row r="11083">
      <c r="C11083" s="18"/>
      <c r="D11083" s="19"/>
      <c r="E11083" s="57"/>
      <c r="H11083" s="18"/>
    </row>
    <row r="11084">
      <c r="C11084" s="18"/>
      <c r="D11084" s="19"/>
      <c r="E11084" s="57"/>
      <c r="H11084" s="18"/>
    </row>
    <row r="11085">
      <c r="C11085" s="18"/>
      <c r="D11085" s="19"/>
      <c r="E11085" s="57"/>
      <c r="H11085" s="18"/>
    </row>
    <row r="11086">
      <c r="C11086" s="18"/>
      <c r="D11086" s="19"/>
      <c r="E11086" s="57"/>
      <c r="H11086" s="18"/>
    </row>
    <row r="11087">
      <c r="C11087" s="18"/>
      <c r="D11087" s="19"/>
      <c r="E11087" s="57"/>
      <c r="H11087" s="18"/>
    </row>
    <row r="11088">
      <c r="C11088" s="18"/>
      <c r="D11088" s="19"/>
      <c r="E11088" s="57"/>
      <c r="H11088" s="18"/>
    </row>
    <row r="11089">
      <c r="C11089" s="18"/>
      <c r="D11089" s="19"/>
      <c r="E11089" s="57"/>
      <c r="H11089" s="18"/>
    </row>
    <row r="11090">
      <c r="C11090" s="18"/>
      <c r="D11090" s="19"/>
      <c r="E11090" s="57"/>
      <c r="H11090" s="18"/>
    </row>
    <row r="11091">
      <c r="C11091" s="18"/>
      <c r="D11091" s="19"/>
      <c r="E11091" s="57"/>
      <c r="H11091" s="18"/>
    </row>
    <row r="11092">
      <c r="C11092" s="18"/>
      <c r="D11092" s="19"/>
      <c r="E11092" s="57"/>
      <c r="H11092" s="18"/>
    </row>
    <row r="11093">
      <c r="C11093" s="18"/>
      <c r="D11093" s="19"/>
      <c r="E11093" s="57"/>
      <c r="H11093" s="18"/>
    </row>
    <row r="11094">
      <c r="C11094" s="18"/>
      <c r="D11094" s="19"/>
      <c r="E11094" s="57"/>
      <c r="H11094" s="18"/>
    </row>
    <row r="11095">
      <c r="C11095" s="18"/>
      <c r="D11095" s="19"/>
      <c r="E11095" s="57"/>
      <c r="H11095" s="18"/>
    </row>
    <row r="11096">
      <c r="C11096" s="18"/>
      <c r="D11096" s="19"/>
      <c r="E11096" s="57"/>
      <c r="H11096" s="18"/>
    </row>
    <row r="11097">
      <c r="C11097" s="18"/>
      <c r="D11097" s="19"/>
      <c r="E11097" s="57"/>
      <c r="H11097" s="18"/>
    </row>
    <row r="11098">
      <c r="C11098" s="18"/>
      <c r="D11098" s="19"/>
      <c r="E11098" s="57"/>
      <c r="H11098" s="18"/>
    </row>
    <row r="11099">
      <c r="C11099" s="18"/>
      <c r="D11099" s="19"/>
      <c r="E11099" s="57"/>
      <c r="H11099" s="18"/>
    </row>
    <row r="11100">
      <c r="C11100" s="18"/>
      <c r="D11100" s="19"/>
      <c r="E11100" s="57"/>
      <c r="H11100" s="18"/>
    </row>
    <row r="11101">
      <c r="C11101" s="18"/>
      <c r="D11101" s="19"/>
      <c r="E11101" s="57"/>
      <c r="H11101" s="18"/>
    </row>
    <row r="11102">
      <c r="C11102" s="18"/>
      <c r="D11102" s="19"/>
      <c r="E11102" s="57"/>
      <c r="H11102" s="18"/>
    </row>
    <row r="11103">
      <c r="C11103" s="18"/>
      <c r="D11103" s="19"/>
      <c r="E11103" s="57"/>
      <c r="H11103" s="18"/>
    </row>
    <row r="11104">
      <c r="C11104" s="18"/>
      <c r="D11104" s="19"/>
      <c r="E11104" s="57"/>
      <c r="H11104" s="18"/>
    </row>
    <row r="11105">
      <c r="C11105" s="18"/>
      <c r="D11105" s="19"/>
      <c r="E11105" s="57"/>
      <c r="H11105" s="18"/>
    </row>
    <row r="11106">
      <c r="C11106" s="18"/>
      <c r="D11106" s="19"/>
      <c r="E11106" s="57"/>
      <c r="H11106" s="18"/>
    </row>
    <row r="11107">
      <c r="C11107" s="18"/>
      <c r="D11107" s="19"/>
      <c r="E11107" s="57"/>
      <c r="H11107" s="18"/>
    </row>
    <row r="11108">
      <c r="C11108" s="18"/>
      <c r="D11108" s="19"/>
      <c r="E11108" s="57"/>
      <c r="H11108" s="18"/>
    </row>
    <row r="11109">
      <c r="C11109" s="18"/>
      <c r="D11109" s="19"/>
      <c r="E11109" s="57"/>
      <c r="H11109" s="18"/>
    </row>
    <row r="11110">
      <c r="C11110" s="18"/>
      <c r="D11110" s="19"/>
      <c r="E11110" s="57"/>
      <c r="H11110" s="18"/>
    </row>
    <row r="11111">
      <c r="C11111" s="18"/>
      <c r="D11111" s="19"/>
      <c r="E11111" s="57"/>
      <c r="H11111" s="18"/>
    </row>
    <row r="11112">
      <c r="C11112" s="18"/>
      <c r="D11112" s="19"/>
      <c r="E11112" s="57"/>
      <c r="H11112" s="18"/>
    </row>
    <row r="11113">
      <c r="C11113" s="18"/>
      <c r="D11113" s="19"/>
      <c r="E11113" s="57"/>
      <c r="H11113" s="18"/>
    </row>
    <row r="11114">
      <c r="C11114" s="18"/>
      <c r="D11114" s="19"/>
      <c r="E11114" s="57"/>
      <c r="H11114" s="18"/>
    </row>
    <row r="11115">
      <c r="C11115" s="18"/>
      <c r="D11115" s="19"/>
      <c r="E11115" s="57"/>
      <c r="H11115" s="18"/>
    </row>
    <row r="11116">
      <c r="C11116" s="18"/>
      <c r="D11116" s="19"/>
      <c r="E11116" s="57"/>
      <c r="H11116" s="18"/>
    </row>
    <row r="11117">
      <c r="C11117" s="18"/>
      <c r="D11117" s="19"/>
      <c r="E11117" s="57"/>
      <c r="H11117" s="18"/>
    </row>
    <row r="11118">
      <c r="C11118" s="18"/>
      <c r="D11118" s="19"/>
      <c r="E11118" s="57"/>
      <c r="H11118" s="18"/>
    </row>
    <row r="11119">
      <c r="C11119" s="18"/>
      <c r="D11119" s="19"/>
      <c r="E11119" s="57"/>
      <c r="H11119" s="18"/>
    </row>
    <row r="11120">
      <c r="C11120" s="18"/>
      <c r="D11120" s="19"/>
      <c r="E11120" s="57"/>
      <c r="H11120" s="18"/>
    </row>
    <row r="11121">
      <c r="C11121" s="18"/>
      <c r="D11121" s="19"/>
      <c r="E11121" s="57"/>
      <c r="H11121" s="18"/>
    </row>
    <row r="11122">
      <c r="C11122" s="18"/>
      <c r="D11122" s="19"/>
      <c r="E11122" s="57"/>
      <c r="H11122" s="18"/>
    </row>
    <row r="11123">
      <c r="C11123" s="18"/>
      <c r="D11123" s="19"/>
      <c r="E11123" s="57"/>
      <c r="H11123" s="18"/>
    </row>
    <row r="11124">
      <c r="C11124" s="18"/>
      <c r="D11124" s="19"/>
      <c r="E11124" s="57"/>
      <c r="H11124" s="18"/>
    </row>
    <row r="11125">
      <c r="C11125" s="18"/>
      <c r="D11125" s="19"/>
      <c r="E11125" s="57"/>
      <c r="H11125" s="18"/>
    </row>
    <row r="11126">
      <c r="C11126" s="18"/>
      <c r="D11126" s="19"/>
      <c r="E11126" s="57"/>
      <c r="H11126" s="18"/>
    </row>
    <row r="11127">
      <c r="C11127" s="18"/>
      <c r="D11127" s="19"/>
      <c r="E11127" s="57"/>
      <c r="H11127" s="18"/>
    </row>
    <row r="11128">
      <c r="C11128" s="18"/>
      <c r="D11128" s="19"/>
      <c r="E11128" s="57"/>
      <c r="H11128" s="18"/>
    </row>
    <row r="11129">
      <c r="C11129" s="18"/>
      <c r="D11129" s="19"/>
      <c r="E11129" s="57"/>
      <c r="H11129" s="18"/>
    </row>
    <row r="11130">
      <c r="C11130" s="18"/>
      <c r="D11130" s="19"/>
      <c r="E11130" s="57"/>
      <c r="H11130" s="18"/>
    </row>
    <row r="11131">
      <c r="C11131" s="18"/>
      <c r="D11131" s="19"/>
      <c r="E11131" s="57"/>
      <c r="H11131" s="18"/>
    </row>
    <row r="11132">
      <c r="C11132" s="18"/>
      <c r="D11132" s="19"/>
      <c r="E11132" s="57"/>
      <c r="H11132" s="18"/>
    </row>
    <row r="11133">
      <c r="C11133" s="18"/>
      <c r="D11133" s="19"/>
      <c r="E11133" s="57"/>
      <c r="H11133" s="18"/>
    </row>
    <row r="11134">
      <c r="C11134" s="18"/>
      <c r="D11134" s="19"/>
      <c r="E11134" s="57"/>
      <c r="H11134" s="18"/>
    </row>
    <row r="11135">
      <c r="C11135" s="18"/>
      <c r="D11135" s="19"/>
      <c r="E11135" s="57"/>
      <c r="H11135" s="18"/>
    </row>
    <row r="11136">
      <c r="C11136" s="18"/>
      <c r="D11136" s="19"/>
      <c r="E11136" s="57"/>
      <c r="H11136" s="18"/>
    </row>
    <row r="11137">
      <c r="C11137" s="18"/>
      <c r="D11137" s="19"/>
      <c r="E11137" s="57"/>
      <c r="H11137" s="18"/>
    </row>
    <row r="11138">
      <c r="C11138" s="18"/>
      <c r="D11138" s="19"/>
      <c r="E11138" s="57"/>
      <c r="H11138" s="18"/>
    </row>
    <row r="11139">
      <c r="C11139" s="18"/>
      <c r="D11139" s="19"/>
      <c r="E11139" s="57"/>
      <c r="H11139" s="18"/>
    </row>
    <row r="11140">
      <c r="C11140" s="18"/>
      <c r="D11140" s="19"/>
      <c r="E11140" s="57"/>
      <c r="H11140" s="18"/>
    </row>
    <row r="11141">
      <c r="C11141" s="18"/>
      <c r="D11141" s="19"/>
      <c r="E11141" s="57"/>
      <c r="H11141" s="18"/>
    </row>
    <row r="11142">
      <c r="C11142" s="18"/>
      <c r="D11142" s="19"/>
      <c r="E11142" s="57"/>
      <c r="H11142" s="18"/>
    </row>
    <row r="11143">
      <c r="C11143" s="18"/>
      <c r="D11143" s="19"/>
      <c r="E11143" s="57"/>
      <c r="H11143" s="18"/>
    </row>
    <row r="11144">
      <c r="C11144" s="18"/>
      <c r="D11144" s="19"/>
      <c r="E11144" s="57"/>
      <c r="H11144" s="18"/>
    </row>
    <row r="11145">
      <c r="C11145" s="18"/>
      <c r="D11145" s="19"/>
      <c r="E11145" s="57"/>
      <c r="H11145" s="18"/>
    </row>
    <row r="11146">
      <c r="C11146" s="18"/>
      <c r="D11146" s="19"/>
      <c r="E11146" s="57"/>
      <c r="H11146" s="18"/>
    </row>
    <row r="11147">
      <c r="C11147" s="18"/>
      <c r="D11147" s="19"/>
      <c r="E11147" s="57"/>
      <c r="H11147" s="18"/>
    </row>
    <row r="11148">
      <c r="C11148" s="18"/>
      <c r="D11148" s="19"/>
      <c r="E11148" s="57"/>
      <c r="H11148" s="18"/>
    </row>
    <row r="11149">
      <c r="C11149" s="18"/>
      <c r="D11149" s="19"/>
      <c r="E11149" s="57"/>
      <c r="H11149" s="18"/>
    </row>
    <row r="11150">
      <c r="C11150" s="18"/>
      <c r="D11150" s="19"/>
      <c r="E11150" s="57"/>
      <c r="H11150" s="18"/>
    </row>
    <row r="11151">
      <c r="C11151" s="18"/>
      <c r="D11151" s="19"/>
      <c r="E11151" s="57"/>
      <c r="H11151" s="18"/>
    </row>
    <row r="11152">
      <c r="C11152" s="18"/>
      <c r="D11152" s="19"/>
      <c r="E11152" s="57"/>
      <c r="H11152" s="18"/>
    </row>
    <row r="11153">
      <c r="C11153" s="18"/>
      <c r="D11153" s="19"/>
      <c r="E11153" s="57"/>
      <c r="H11153" s="18"/>
    </row>
    <row r="11154">
      <c r="C11154" s="18"/>
      <c r="D11154" s="19"/>
      <c r="E11154" s="57"/>
      <c r="H11154" s="18"/>
    </row>
    <row r="11155">
      <c r="C11155" s="18"/>
      <c r="D11155" s="19"/>
      <c r="E11155" s="57"/>
      <c r="H11155" s="18"/>
    </row>
    <row r="11156">
      <c r="C11156" s="18"/>
      <c r="D11156" s="19"/>
      <c r="E11156" s="57"/>
      <c r="H11156" s="18"/>
    </row>
    <row r="11157">
      <c r="C11157" s="18"/>
      <c r="D11157" s="19"/>
      <c r="E11157" s="57"/>
      <c r="H11157" s="18"/>
    </row>
    <row r="11158">
      <c r="C11158" s="18"/>
      <c r="D11158" s="19"/>
      <c r="E11158" s="57"/>
      <c r="H11158" s="18"/>
    </row>
    <row r="11159">
      <c r="C11159" s="18"/>
      <c r="D11159" s="19"/>
      <c r="E11159" s="57"/>
      <c r="H11159" s="18"/>
    </row>
    <row r="11160">
      <c r="C11160" s="18"/>
      <c r="D11160" s="19"/>
      <c r="E11160" s="57"/>
      <c r="H11160" s="18"/>
    </row>
    <row r="11161">
      <c r="C11161" s="18"/>
      <c r="D11161" s="19"/>
      <c r="E11161" s="57"/>
      <c r="H11161" s="18"/>
    </row>
    <row r="11162">
      <c r="C11162" s="18"/>
      <c r="D11162" s="19"/>
      <c r="E11162" s="57"/>
      <c r="H11162" s="18"/>
    </row>
    <row r="11163">
      <c r="C11163" s="18"/>
      <c r="D11163" s="19"/>
      <c r="E11163" s="57"/>
      <c r="H11163" s="18"/>
    </row>
    <row r="11164">
      <c r="C11164" s="18"/>
      <c r="D11164" s="19"/>
      <c r="E11164" s="57"/>
      <c r="H11164" s="18"/>
    </row>
    <row r="11165">
      <c r="C11165" s="18"/>
      <c r="D11165" s="19"/>
      <c r="E11165" s="57"/>
      <c r="H11165" s="18"/>
    </row>
    <row r="11166">
      <c r="C11166" s="18"/>
      <c r="D11166" s="19"/>
      <c r="E11166" s="57"/>
      <c r="H11166" s="18"/>
    </row>
    <row r="11167">
      <c r="C11167" s="18"/>
      <c r="D11167" s="19"/>
      <c r="E11167" s="57"/>
      <c r="H11167" s="18"/>
    </row>
    <row r="11168">
      <c r="C11168" s="18"/>
      <c r="D11168" s="19"/>
      <c r="E11168" s="57"/>
      <c r="H11168" s="18"/>
    </row>
    <row r="11169">
      <c r="C11169" s="18"/>
      <c r="D11169" s="19"/>
      <c r="E11169" s="57"/>
      <c r="H11169" s="18"/>
    </row>
    <row r="11170">
      <c r="C11170" s="18"/>
      <c r="D11170" s="19"/>
      <c r="E11170" s="57"/>
      <c r="H11170" s="18"/>
    </row>
    <row r="11171">
      <c r="C11171" s="18"/>
      <c r="D11171" s="19"/>
      <c r="E11171" s="57"/>
      <c r="H11171" s="18"/>
    </row>
    <row r="11172">
      <c r="C11172" s="18"/>
      <c r="D11172" s="19"/>
      <c r="E11172" s="57"/>
      <c r="H11172" s="18"/>
    </row>
    <row r="11173">
      <c r="C11173" s="18"/>
      <c r="D11173" s="19"/>
      <c r="E11173" s="57"/>
      <c r="H11173" s="18"/>
    </row>
    <row r="11174">
      <c r="C11174" s="18"/>
      <c r="D11174" s="19"/>
      <c r="E11174" s="57"/>
      <c r="H11174" s="18"/>
    </row>
    <row r="11175">
      <c r="C11175" s="18"/>
      <c r="D11175" s="19"/>
      <c r="E11175" s="57"/>
      <c r="H11175" s="18"/>
    </row>
    <row r="11176">
      <c r="C11176" s="18"/>
      <c r="D11176" s="19"/>
      <c r="E11176" s="57"/>
      <c r="H11176" s="18"/>
    </row>
    <row r="11177">
      <c r="C11177" s="18"/>
      <c r="D11177" s="19"/>
      <c r="E11177" s="57"/>
      <c r="H11177" s="18"/>
    </row>
    <row r="11178">
      <c r="C11178" s="18"/>
      <c r="D11178" s="19"/>
      <c r="E11178" s="57"/>
      <c r="H11178" s="18"/>
    </row>
    <row r="11179">
      <c r="C11179" s="18"/>
      <c r="D11179" s="19"/>
      <c r="E11179" s="57"/>
      <c r="H11179" s="18"/>
    </row>
    <row r="11180">
      <c r="C11180" s="18"/>
      <c r="D11180" s="19"/>
      <c r="E11180" s="57"/>
      <c r="H11180" s="18"/>
    </row>
    <row r="11181">
      <c r="C11181" s="18"/>
      <c r="D11181" s="19"/>
      <c r="E11181" s="57"/>
      <c r="H11181" s="18"/>
    </row>
    <row r="11182">
      <c r="C11182" s="18"/>
      <c r="D11182" s="19"/>
      <c r="E11182" s="57"/>
      <c r="H11182" s="18"/>
    </row>
    <row r="11183">
      <c r="C11183" s="18"/>
      <c r="D11183" s="19"/>
      <c r="E11183" s="57"/>
      <c r="H11183" s="18"/>
    </row>
    <row r="11184">
      <c r="C11184" s="18"/>
      <c r="D11184" s="19"/>
      <c r="E11184" s="57"/>
      <c r="H11184" s="18"/>
    </row>
    <row r="11185">
      <c r="C11185" s="18"/>
      <c r="D11185" s="19"/>
      <c r="E11185" s="57"/>
      <c r="H11185" s="18"/>
    </row>
    <row r="11186">
      <c r="C11186" s="18"/>
      <c r="D11186" s="19"/>
      <c r="E11186" s="57"/>
      <c r="H11186" s="18"/>
    </row>
    <row r="11187">
      <c r="C11187" s="18"/>
      <c r="D11187" s="19"/>
      <c r="E11187" s="57"/>
      <c r="H11187" s="18"/>
    </row>
    <row r="11188">
      <c r="C11188" s="18"/>
      <c r="D11188" s="19"/>
      <c r="E11188" s="57"/>
      <c r="H11188" s="18"/>
    </row>
    <row r="11189">
      <c r="C11189" s="18"/>
      <c r="D11189" s="19"/>
      <c r="E11189" s="57"/>
      <c r="H11189" s="18"/>
    </row>
    <row r="11190">
      <c r="C11190" s="18"/>
      <c r="D11190" s="19"/>
      <c r="E11190" s="57"/>
      <c r="H11190" s="18"/>
    </row>
    <row r="11191">
      <c r="C11191" s="18"/>
      <c r="D11191" s="19"/>
      <c r="E11191" s="57"/>
      <c r="H11191" s="18"/>
    </row>
    <row r="11192">
      <c r="C11192" s="18"/>
      <c r="D11192" s="19"/>
      <c r="E11192" s="57"/>
      <c r="H11192" s="18"/>
    </row>
    <row r="11193">
      <c r="C11193" s="18"/>
      <c r="D11193" s="19"/>
      <c r="E11193" s="57"/>
      <c r="H11193" s="18"/>
    </row>
    <row r="11194">
      <c r="C11194" s="18"/>
      <c r="D11194" s="19"/>
      <c r="E11194" s="57"/>
      <c r="H11194" s="18"/>
    </row>
    <row r="11195">
      <c r="C11195" s="18"/>
      <c r="D11195" s="19"/>
      <c r="E11195" s="57"/>
      <c r="H11195" s="18"/>
    </row>
    <row r="11196">
      <c r="C11196" s="18"/>
      <c r="D11196" s="19"/>
      <c r="E11196" s="57"/>
      <c r="H11196" s="18"/>
    </row>
    <row r="11197">
      <c r="C11197" s="18"/>
      <c r="D11197" s="19"/>
      <c r="E11197" s="57"/>
      <c r="H11197" s="18"/>
    </row>
    <row r="11198">
      <c r="C11198" s="18"/>
      <c r="D11198" s="19"/>
      <c r="E11198" s="57"/>
      <c r="H11198" s="18"/>
    </row>
    <row r="11199">
      <c r="C11199" s="18"/>
      <c r="D11199" s="19"/>
      <c r="E11199" s="57"/>
      <c r="H11199" s="18"/>
    </row>
    <row r="11200">
      <c r="C11200" s="18"/>
      <c r="D11200" s="19"/>
      <c r="E11200" s="57"/>
      <c r="H11200" s="18"/>
    </row>
    <row r="11201">
      <c r="C11201" s="18"/>
      <c r="D11201" s="19"/>
      <c r="E11201" s="57"/>
      <c r="H11201" s="18"/>
    </row>
    <row r="11202">
      <c r="C11202" s="18"/>
      <c r="D11202" s="19"/>
      <c r="E11202" s="57"/>
      <c r="H11202" s="18"/>
    </row>
    <row r="11203">
      <c r="C11203" s="18"/>
      <c r="D11203" s="19"/>
      <c r="E11203" s="57"/>
      <c r="H11203" s="18"/>
    </row>
    <row r="11204">
      <c r="C11204" s="18"/>
      <c r="D11204" s="19"/>
      <c r="E11204" s="57"/>
      <c r="H11204" s="18"/>
    </row>
    <row r="11205">
      <c r="C11205" s="18"/>
      <c r="D11205" s="19"/>
      <c r="E11205" s="57"/>
      <c r="H11205" s="18"/>
    </row>
    <row r="11206">
      <c r="C11206" s="18"/>
      <c r="D11206" s="19"/>
      <c r="E11206" s="57"/>
      <c r="H11206" s="18"/>
    </row>
    <row r="11207">
      <c r="C11207" s="18"/>
      <c r="D11207" s="19"/>
      <c r="E11207" s="57"/>
      <c r="H11207" s="18"/>
    </row>
    <row r="11208">
      <c r="C11208" s="18"/>
      <c r="D11208" s="19"/>
      <c r="E11208" s="57"/>
      <c r="H11208" s="18"/>
    </row>
    <row r="11209">
      <c r="C11209" s="18"/>
      <c r="D11209" s="19"/>
      <c r="E11209" s="57"/>
      <c r="H11209" s="18"/>
    </row>
    <row r="11210">
      <c r="C11210" s="18"/>
      <c r="D11210" s="19"/>
      <c r="E11210" s="57"/>
      <c r="H11210" s="18"/>
    </row>
    <row r="11211">
      <c r="C11211" s="18"/>
      <c r="D11211" s="19"/>
      <c r="E11211" s="57"/>
      <c r="H11211" s="18"/>
    </row>
    <row r="11212">
      <c r="C11212" s="18"/>
      <c r="D11212" s="19"/>
      <c r="E11212" s="57"/>
      <c r="H11212" s="18"/>
    </row>
    <row r="11213">
      <c r="C11213" s="18"/>
      <c r="D11213" s="19"/>
      <c r="E11213" s="57"/>
      <c r="H11213" s="18"/>
    </row>
    <row r="11214">
      <c r="C11214" s="18"/>
      <c r="D11214" s="19"/>
      <c r="E11214" s="57"/>
      <c r="H11214" s="18"/>
    </row>
    <row r="11215">
      <c r="C11215" s="18"/>
      <c r="D11215" s="19"/>
      <c r="E11215" s="57"/>
      <c r="H11215" s="18"/>
    </row>
    <row r="11216">
      <c r="C11216" s="18"/>
      <c r="D11216" s="19"/>
      <c r="E11216" s="57"/>
      <c r="H11216" s="18"/>
    </row>
    <row r="11217">
      <c r="C11217" s="18"/>
      <c r="D11217" s="19"/>
      <c r="E11217" s="57"/>
      <c r="H11217" s="18"/>
    </row>
    <row r="11218">
      <c r="C11218" s="18"/>
      <c r="D11218" s="19"/>
      <c r="E11218" s="57"/>
      <c r="H11218" s="18"/>
    </row>
    <row r="11219">
      <c r="C11219" s="18"/>
      <c r="D11219" s="19"/>
      <c r="E11219" s="57"/>
      <c r="H11219" s="18"/>
    </row>
    <row r="11220">
      <c r="C11220" s="18"/>
      <c r="D11220" s="19"/>
      <c r="E11220" s="57"/>
      <c r="H11220" s="18"/>
    </row>
    <row r="11221">
      <c r="C11221" s="18"/>
      <c r="D11221" s="19"/>
      <c r="E11221" s="57"/>
      <c r="H11221" s="18"/>
    </row>
    <row r="11222">
      <c r="C11222" s="18"/>
      <c r="D11222" s="19"/>
      <c r="E11222" s="57"/>
      <c r="H11222" s="18"/>
    </row>
    <row r="11223">
      <c r="C11223" s="18"/>
      <c r="D11223" s="19"/>
      <c r="E11223" s="57"/>
      <c r="H11223" s="18"/>
    </row>
    <row r="11224">
      <c r="C11224" s="18"/>
      <c r="D11224" s="19"/>
      <c r="E11224" s="57"/>
      <c r="H11224" s="18"/>
    </row>
    <row r="11225">
      <c r="C11225" s="18"/>
      <c r="D11225" s="19"/>
      <c r="E11225" s="57"/>
      <c r="H11225" s="18"/>
    </row>
    <row r="11226">
      <c r="C11226" s="18"/>
      <c r="D11226" s="19"/>
      <c r="E11226" s="57"/>
      <c r="H11226" s="18"/>
    </row>
    <row r="11227">
      <c r="C11227" s="18"/>
      <c r="D11227" s="19"/>
      <c r="E11227" s="57"/>
      <c r="H11227" s="18"/>
    </row>
    <row r="11228">
      <c r="C11228" s="18"/>
      <c r="D11228" s="19"/>
      <c r="E11228" s="57"/>
      <c r="H11228" s="18"/>
    </row>
    <row r="11229">
      <c r="C11229" s="18"/>
      <c r="D11229" s="19"/>
      <c r="E11229" s="57"/>
      <c r="H11229" s="18"/>
    </row>
    <row r="11230">
      <c r="C11230" s="18"/>
      <c r="D11230" s="19"/>
      <c r="E11230" s="57"/>
      <c r="H11230" s="18"/>
    </row>
    <row r="11231">
      <c r="C11231" s="18"/>
      <c r="D11231" s="19"/>
      <c r="E11231" s="57"/>
      <c r="H11231" s="18"/>
    </row>
    <row r="11232">
      <c r="C11232" s="18"/>
      <c r="D11232" s="19"/>
      <c r="E11232" s="57"/>
      <c r="H11232" s="18"/>
    </row>
    <row r="11233">
      <c r="C11233" s="18"/>
      <c r="D11233" s="19"/>
      <c r="E11233" s="57"/>
      <c r="H11233" s="18"/>
    </row>
    <row r="11234">
      <c r="C11234" s="18"/>
      <c r="D11234" s="19"/>
      <c r="E11234" s="57"/>
      <c r="H11234" s="18"/>
    </row>
    <row r="11235">
      <c r="C11235" s="18"/>
      <c r="D11235" s="19"/>
      <c r="E11235" s="57"/>
      <c r="H11235" s="18"/>
    </row>
    <row r="11236">
      <c r="C11236" s="18"/>
      <c r="D11236" s="19"/>
      <c r="E11236" s="57"/>
      <c r="H11236" s="18"/>
    </row>
    <row r="11237">
      <c r="C11237" s="18"/>
      <c r="D11237" s="19"/>
      <c r="E11237" s="57"/>
      <c r="H11237" s="18"/>
    </row>
    <row r="11238">
      <c r="C11238" s="18"/>
      <c r="D11238" s="19"/>
      <c r="E11238" s="57"/>
      <c r="H11238" s="18"/>
    </row>
    <row r="11239">
      <c r="C11239" s="18"/>
      <c r="D11239" s="19"/>
      <c r="E11239" s="57"/>
      <c r="H11239" s="18"/>
    </row>
    <row r="11240">
      <c r="C11240" s="18"/>
      <c r="D11240" s="19"/>
      <c r="E11240" s="57"/>
      <c r="H11240" s="18"/>
    </row>
    <row r="11241">
      <c r="C11241" s="18"/>
      <c r="D11241" s="19"/>
      <c r="E11241" s="57"/>
      <c r="H11241" s="18"/>
    </row>
    <row r="11242">
      <c r="C11242" s="18"/>
      <c r="D11242" s="19"/>
      <c r="E11242" s="57"/>
      <c r="H11242" s="18"/>
    </row>
    <row r="11243">
      <c r="C11243" s="18"/>
      <c r="D11243" s="19"/>
      <c r="E11243" s="57"/>
      <c r="H11243" s="18"/>
    </row>
    <row r="11244">
      <c r="C11244" s="18"/>
      <c r="D11244" s="19"/>
      <c r="E11244" s="57"/>
      <c r="H11244" s="18"/>
    </row>
    <row r="11245">
      <c r="C11245" s="18"/>
      <c r="D11245" s="19"/>
      <c r="E11245" s="57"/>
      <c r="H11245" s="18"/>
    </row>
    <row r="11246">
      <c r="C11246" s="18"/>
      <c r="D11246" s="19"/>
      <c r="E11246" s="57"/>
      <c r="H11246" s="18"/>
    </row>
    <row r="11247">
      <c r="C11247" s="18"/>
      <c r="D11247" s="19"/>
      <c r="E11247" s="57"/>
      <c r="H11247" s="18"/>
    </row>
    <row r="11248">
      <c r="C11248" s="18"/>
      <c r="D11248" s="19"/>
      <c r="E11248" s="57"/>
      <c r="H11248" s="18"/>
    </row>
    <row r="11249">
      <c r="C11249" s="18"/>
      <c r="D11249" s="19"/>
      <c r="E11249" s="57"/>
      <c r="H11249" s="18"/>
    </row>
    <row r="11250">
      <c r="C11250" s="18"/>
      <c r="D11250" s="19"/>
      <c r="E11250" s="57"/>
      <c r="H11250" s="18"/>
    </row>
    <row r="11251">
      <c r="C11251" s="18"/>
      <c r="D11251" s="19"/>
      <c r="E11251" s="57"/>
      <c r="H11251" s="18"/>
    </row>
    <row r="11252">
      <c r="C11252" s="18"/>
      <c r="D11252" s="19"/>
      <c r="E11252" s="57"/>
      <c r="H11252" s="18"/>
    </row>
    <row r="11253">
      <c r="C11253" s="18"/>
      <c r="D11253" s="19"/>
      <c r="E11253" s="57"/>
      <c r="H11253" s="18"/>
    </row>
    <row r="11254">
      <c r="C11254" s="18"/>
      <c r="D11254" s="19"/>
      <c r="E11254" s="57"/>
      <c r="H11254" s="18"/>
    </row>
    <row r="11255">
      <c r="C11255" s="18"/>
      <c r="D11255" s="19"/>
      <c r="E11255" s="57"/>
      <c r="H11255" s="18"/>
    </row>
    <row r="11256">
      <c r="C11256" s="18"/>
      <c r="D11256" s="19"/>
      <c r="E11256" s="57"/>
      <c r="H11256" s="18"/>
    </row>
    <row r="11257">
      <c r="C11257" s="18"/>
      <c r="D11257" s="19"/>
      <c r="E11257" s="57"/>
      <c r="H11257" s="18"/>
    </row>
    <row r="11258">
      <c r="C11258" s="18"/>
      <c r="D11258" s="19"/>
      <c r="E11258" s="57"/>
      <c r="H11258" s="18"/>
    </row>
    <row r="11259">
      <c r="C11259" s="18"/>
      <c r="D11259" s="19"/>
      <c r="E11259" s="57"/>
      <c r="H11259" s="18"/>
    </row>
    <row r="11260">
      <c r="C11260" s="18"/>
      <c r="D11260" s="19"/>
      <c r="E11260" s="57"/>
      <c r="H11260" s="18"/>
    </row>
    <row r="11261">
      <c r="C11261" s="18"/>
      <c r="D11261" s="19"/>
      <c r="E11261" s="57"/>
      <c r="H11261" s="18"/>
    </row>
    <row r="11262">
      <c r="C11262" s="18"/>
      <c r="D11262" s="19"/>
      <c r="E11262" s="57"/>
      <c r="H11262" s="18"/>
    </row>
    <row r="11263">
      <c r="C11263" s="18"/>
      <c r="D11263" s="19"/>
      <c r="E11263" s="57"/>
      <c r="H11263" s="18"/>
    </row>
    <row r="11264">
      <c r="C11264" s="18"/>
      <c r="D11264" s="19"/>
      <c r="E11264" s="57"/>
      <c r="H11264" s="18"/>
    </row>
    <row r="11265">
      <c r="C11265" s="18"/>
      <c r="D11265" s="19"/>
      <c r="E11265" s="57"/>
      <c r="H11265" s="18"/>
    </row>
    <row r="11266">
      <c r="C11266" s="18"/>
      <c r="D11266" s="19"/>
      <c r="E11266" s="57"/>
      <c r="H11266" s="18"/>
    </row>
    <row r="11267">
      <c r="C11267" s="18"/>
      <c r="D11267" s="19"/>
      <c r="E11267" s="57"/>
      <c r="H11267" s="18"/>
    </row>
    <row r="11268">
      <c r="C11268" s="18"/>
      <c r="D11268" s="19"/>
      <c r="E11268" s="57"/>
      <c r="H11268" s="18"/>
    </row>
    <row r="11269">
      <c r="C11269" s="18"/>
      <c r="D11269" s="19"/>
      <c r="E11269" s="57"/>
      <c r="H11269" s="18"/>
    </row>
    <row r="11270">
      <c r="C11270" s="18"/>
      <c r="D11270" s="19"/>
      <c r="E11270" s="57"/>
      <c r="H11270" s="18"/>
    </row>
    <row r="11271">
      <c r="C11271" s="18"/>
      <c r="D11271" s="19"/>
      <c r="E11271" s="57"/>
      <c r="H11271" s="18"/>
    </row>
    <row r="11272">
      <c r="C11272" s="18"/>
      <c r="D11272" s="19"/>
      <c r="E11272" s="57"/>
      <c r="H11272" s="18"/>
    </row>
    <row r="11273">
      <c r="C11273" s="18"/>
      <c r="D11273" s="19"/>
      <c r="E11273" s="57"/>
      <c r="H11273" s="18"/>
    </row>
    <row r="11274">
      <c r="C11274" s="18"/>
      <c r="D11274" s="19"/>
      <c r="E11274" s="57"/>
      <c r="H11274" s="18"/>
    </row>
    <row r="11275">
      <c r="C11275" s="18"/>
      <c r="D11275" s="19"/>
      <c r="E11275" s="57"/>
      <c r="H11275" s="18"/>
    </row>
    <row r="11276">
      <c r="C11276" s="18"/>
      <c r="D11276" s="19"/>
      <c r="E11276" s="57"/>
      <c r="H11276" s="18"/>
    </row>
    <row r="11277">
      <c r="C11277" s="18"/>
      <c r="D11277" s="19"/>
      <c r="E11277" s="57"/>
      <c r="H11277" s="18"/>
    </row>
    <row r="11278">
      <c r="C11278" s="18"/>
      <c r="D11278" s="19"/>
      <c r="E11278" s="57"/>
      <c r="H11278" s="18"/>
    </row>
    <row r="11279">
      <c r="C11279" s="18"/>
      <c r="D11279" s="19"/>
      <c r="E11279" s="57"/>
      <c r="H11279" s="18"/>
    </row>
    <row r="11280">
      <c r="C11280" s="18"/>
      <c r="D11280" s="19"/>
      <c r="E11280" s="57"/>
      <c r="H11280" s="18"/>
    </row>
    <row r="11281">
      <c r="C11281" s="18"/>
      <c r="D11281" s="19"/>
      <c r="E11281" s="57"/>
      <c r="H11281" s="18"/>
    </row>
    <row r="11282">
      <c r="C11282" s="18"/>
      <c r="D11282" s="19"/>
      <c r="E11282" s="57"/>
      <c r="H11282" s="18"/>
    </row>
    <row r="11283">
      <c r="C11283" s="18"/>
      <c r="D11283" s="19"/>
      <c r="E11283" s="57"/>
      <c r="H11283" s="18"/>
    </row>
    <row r="11284">
      <c r="C11284" s="18"/>
      <c r="D11284" s="19"/>
      <c r="E11284" s="57"/>
      <c r="H11284" s="18"/>
    </row>
    <row r="11285">
      <c r="C11285" s="18"/>
      <c r="D11285" s="19"/>
      <c r="E11285" s="57"/>
      <c r="H11285" s="18"/>
    </row>
    <row r="11286">
      <c r="C11286" s="18"/>
      <c r="D11286" s="19"/>
      <c r="E11286" s="57"/>
      <c r="H11286" s="18"/>
    </row>
    <row r="11287">
      <c r="C11287" s="18"/>
      <c r="D11287" s="19"/>
      <c r="E11287" s="57"/>
      <c r="H11287" s="18"/>
    </row>
    <row r="11288">
      <c r="C11288" s="18"/>
      <c r="D11288" s="19"/>
      <c r="E11288" s="57"/>
      <c r="H11288" s="18"/>
    </row>
    <row r="11289">
      <c r="C11289" s="18"/>
      <c r="D11289" s="19"/>
      <c r="E11289" s="57"/>
      <c r="H11289" s="18"/>
    </row>
    <row r="11290">
      <c r="C11290" s="18"/>
      <c r="D11290" s="19"/>
      <c r="E11290" s="57"/>
      <c r="H11290" s="18"/>
    </row>
    <row r="11291">
      <c r="C11291" s="18"/>
      <c r="D11291" s="19"/>
      <c r="E11291" s="57"/>
      <c r="H11291" s="18"/>
    </row>
    <row r="11292">
      <c r="C11292" s="18"/>
      <c r="D11292" s="19"/>
      <c r="E11292" s="57"/>
      <c r="H11292" s="18"/>
    </row>
    <row r="11293">
      <c r="C11293" s="18"/>
      <c r="D11293" s="19"/>
      <c r="E11293" s="57"/>
      <c r="H11293" s="18"/>
    </row>
    <row r="11294">
      <c r="C11294" s="18"/>
      <c r="D11294" s="19"/>
      <c r="E11294" s="57"/>
      <c r="H11294" s="18"/>
    </row>
    <row r="11295">
      <c r="C11295" s="18"/>
      <c r="D11295" s="19"/>
      <c r="E11295" s="57"/>
      <c r="H11295" s="18"/>
    </row>
    <row r="11296">
      <c r="C11296" s="18"/>
      <c r="D11296" s="19"/>
      <c r="E11296" s="57"/>
      <c r="H11296" s="18"/>
    </row>
    <row r="11297">
      <c r="C11297" s="18"/>
      <c r="D11297" s="19"/>
      <c r="E11297" s="57"/>
      <c r="H11297" s="18"/>
    </row>
    <row r="11298">
      <c r="C11298" s="18"/>
      <c r="D11298" s="19"/>
      <c r="E11298" s="57"/>
      <c r="H11298" s="18"/>
    </row>
    <row r="11299">
      <c r="C11299" s="18"/>
      <c r="D11299" s="19"/>
      <c r="E11299" s="57"/>
      <c r="H11299" s="18"/>
    </row>
    <row r="11300">
      <c r="C11300" s="18"/>
      <c r="D11300" s="19"/>
      <c r="E11300" s="57"/>
      <c r="H11300" s="18"/>
    </row>
    <row r="11301">
      <c r="C11301" s="18"/>
      <c r="D11301" s="19"/>
      <c r="E11301" s="57"/>
      <c r="H11301" s="18"/>
    </row>
    <row r="11302">
      <c r="C11302" s="18"/>
      <c r="D11302" s="19"/>
      <c r="E11302" s="57"/>
      <c r="H11302" s="18"/>
    </row>
    <row r="11303">
      <c r="C11303" s="18"/>
      <c r="D11303" s="19"/>
      <c r="E11303" s="57"/>
      <c r="H11303" s="18"/>
    </row>
    <row r="11304">
      <c r="C11304" s="18"/>
      <c r="D11304" s="19"/>
      <c r="E11304" s="57"/>
      <c r="H11304" s="18"/>
    </row>
    <row r="11305">
      <c r="C11305" s="18"/>
      <c r="D11305" s="19"/>
      <c r="E11305" s="57"/>
      <c r="H11305" s="18"/>
    </row>
    <row r="11306">
      <c r="C11306" s="18"/>
      <c r="D11306" s="19"/>
      <c r="E11306" s="57"/>
      <c r="H11306" s="18"/>
    </row>
    <row r="11307">
      <c r="C11307" s="18"/>
      <c r="D11307" s="19"/>
      <c r="E11307" s="57"/>
      <c r="H11307" s="18"/>
    </row>
    <row r="11308">
      <c r="C11308" s="18"/>
      <c r="D11308" s="19"/>
      <c r="E11308" s="57"/>
      <c r="H11308" s="18"/>
    </row>
    <row r="11309">
      <c r="C11309" s="18"/>
      <c r="D11309" s="19"/>
      <c r="E11309" s="57"/>
      <c r="H11309" s="18"/>
    </row>
    <row r="11310">
      <c r="C11310" s="18"/>
      <c r="D11310" s="19"/>
      <c r="E11310" s="57"/>
      <c r="H11310" s="18"/>
    </row>
    <row r="11311">
      <c r="C11311" s="18"/>
      <c r="D11311" s="19"/>
      <c r="E11311" s="57"/>
      <c r="H11311" s="18"/>
    </row>
    <row r="11312">
      <c r="C11312" s="18"/>
      <c r="D11312" s="19"/>
      <c r="E11312" s="57"/>
      <c r="H11312" s="18"/>
    </row>
    <row r="11313">
      <c r="C11313" s="18"/>
      <c r="D11313" s="19"/>
      <c r="E11313" s="57"/>
      <c r="H11313" s="18"/>
    </row>
    <row r="11314">
      <c r="C11314" s="18"/>
      <c r="D11314" s="19"/>
      <c r="E11314" s="57"/>
      <c r="H11314" s="18"/>
    </row>
    <row r="11315">
      <c r="C11315" s="18"/>
      <c r="D11315" s="19"/>
      <c r="E11315" s="57"/>
      <c r="H11315" s="18"/>
    </row>
    <row r="11316">
      <c r="C11316" s="18"/>
      <c r="D11316" s="19"/>
      <c r="E11316" s="57"/>
      <c r="H11316" s="18"/>
    </row>
    <row r="11317">
      <c r="C11317" s="18"/>
      <c r="D11317" s="19"/>
      <c r="E11317" s="57"/>
      <c r="H11317" s="18"/>
    </row>
    <row r="11318">
      <c r="C11318" s="18"/>
      <c r="D11318" s="19"/>
      <c r="E11318" s="57"/>
      <c r="H11318" s="18"/>
    </row>
    <row r="11319">
      <c r="C11319" s="18"/>
      <c r="D11319" s="19"/>
      <c r="E11319" s="57"/>
      <c r="H11319" s="18"/>
    </row>
    <row r="11320">
      <c r="C11320" s="18"/>
      <c r="D11320" s="19"/>
      <c r="E11320" s="57"/>
      <c r="H11320" s="18"/>
    </row>
    <row r="11321">
      <c r="C11321" s="18"/>
      <c r="D11321" s="19"/>
      <c r="E11321" s="57"/>
      <c r="H11321" s="18"/>
    </row>
    <row r="11322">
      <c r="C11322" s="18"/>
      <c r="D11322" s="19"/>
      <c r="E11322" s="57"/>
      <c r="H11322" s="18"/>
    </row>
    <row r="11323">
      <c r="C11323" s="18"/>
      <c r="D11323" s="19"/>
      <c r="E11323" s="57"/>
      <c r="H11323" s="18"/>
    </row>
    <row r="11324">
      <c r="C11324" s="18"/>
      <c r="D11324" s="19"/>
      <c r="E11324" s="57"/>
      <c r="H11324" s="18"/>
    </row>
    <row r="11325">
      <c r="C11325" s="18"/>
      <c r="D11325" s="19"/>
      <c r="E11325" s="57"/>
      <c r="H11325" s="18"/>
    </row>
    <row r="11326">
      <c r="C11326" s="18"/>
      <c r="D11326" s="19"/>
      <c r="E11326" s="57"/>
      <c r="H11326" s="18"/>
    </row>
    <row r="11327">
      <c r="C11327" s="18"/>
      <c r="D11327" s="19"/>
      <c r="E11327" s="57"/>
      <c r="H11327" s="18"/>
    </row>
    <row r="11328">
      <c r="C11328" s="18"/>
      <c r="D11328" s="19"/>
      <c r="E11328" s="57"/>
      <c r="H11328" s="18"/>
    </row>
    <row r="11329">
      <c r="C11329" s="18"/>
      <c r="D11329" s="19"/>
      <c r="E11329" s="57"/>
      <c r="H11329" s="18"/>
    </row>
    <row r="11330">
      <c r="C11330" s="18"/>
      <c r="D11330" s="19"/>
      <c r="E11330" s="57"/>
      <c r="H11330" s="18"/>
    </row>
    <row r="11331">
      <c r="C11331" s="18"/>
      <c r="D11331" s="19"/>
      <c r="E11331" s="57"/>
      <c r="H11331" s="18"/>
    </row>
    <row r="11332">
      <c r="C11332" s="18"/>
      <c r="D11332" s="19"/>
      <c r="E11332" s="57"/>
      <c r="H11332" s="18"/>
    </row>
    <row r="11333">
      <c r="C11333" s="18"/>
      <c r="D11333" s="19"/>
      <c r="E11333" s="57"/>
      <c r="H11333" s="18"/>
    </row>
    <row r="11334">
      <c r="C11334" s="18"/>
      <c r="D11334" s="19"/>
      <c r="E11334" s="57"/>
      <c r="H11334" s="18"/>
    </row>
    <row r="11335">
      <c r="C11335" s="18"/>
      <c r="D11335" s="19"/>
      <c r="E11335" s="57"/>
      <c r="H11335" s="18"/>
    </row>
    <row r="11336">
      <c r="C11336" s="18"/>
      <c r="D11336" s="19"/>
      <c r="E11336" s="57"/>
      <c r="H11336" s="18"/>
    </row>
    <row r="11337">
      <c r="C11337" s="18"/>
      <c r="D11337" s="19"/>
      <c r="E11337" s="57"/>
      <c r="H11337" s="18"/>
    </row>
    <row r="11338">
      <c r="C11338" s="18"/>
      <c r="D11338" s="19"/>
      <c r="E11338" s="57"/>
      <c r="H11338" s="18"/>
    </row>
    <row r="11339">
      <c r="C11339" s="18"/>
      <c r="D11339" s="19"/>
      <c r="E11339" s="57"/>
      <c r="H11339" s="18"/>
    </row>
    <row r="11340">
      <c r="C11340" s="18"/>
      <c r="D11340" s="19"/>
      <c r="E11340" s="57"/>
      <c r="H11340" s="18"/>
    </row>
    <row r="11341">
      <c r="C11341" s="18"/>
      <c r="D11341" s="19"/>
      <c r="E11341" s="57"/>
      <c r="H11341" s="18"/>
    </row>
    <row r="11342">
      <c r="C11342" s="18"/>
      <c r="D11342" s="19"/>
      <c r="E11342" s="57"/>
      <c r="H11342" s="18"/>
    </row>
    <row r="11343">
      <c r="C11343" s="18"/>
      <c r="D11343" s="19"/>
      <c r="E11343" s="57"/>
      <c r="H11343" s="18"/>
    </row>
    <row r="11344">
      <c r="C11344" s="18"/>
      <c r="D11344" s="19"/>
      <c r="E11344" s="57"/>
      <c r="H11344" s="18"/>
    </row>
    <row r="11345">
      <c r="C11345" s="18"/>
      <c r="D11345" s="19"/>
      <c r="E11345" s="57"/>
      <c r="H11345" s="18"/>
    </row>
    <row r="11346">
      <c r="C11346" s="18"/>
      <c r="D11346" s="19"/>
      <c r="E11346" s="57"/>
      <c r="H11346" s="18"/>
    </row>
    <row r="11347">
      <c r="C11347" s="18"/>
      <c r="D11347" s="19"/>
      <c r="E11347" s="57"/>
      <c r="H11347" s="18"/>
    </row>
    <row r="11348">
      <c r="C11348" s="18"/>
      <c r="D11348" s="19"/>
      <c r="E11348" s="57"/>
      <c r="H11348" s="18"/>
    </row>
    <row r="11349">
      <c r="C11349" s="18"/>
      <c r="D11349" s="19"/>
      <c r="E11349" s="57"/>
      <c r="H11349" s="18"/>
    </row>
    <row r="11350">
      <c r="C11350" s="18"/>
      <c r="D11350" s="19"/>
      <c r="E11350" s="57"/>
      <c r="H11350" s="18"/>
    </row>
    <row r="11351">
      <c r="C11351" s="18"/>
      <c r="D11351" s="19"/>
      <c r="E11351" s="57"/>
      <c r="H11351" s="18"/>
    </row>
    <row r="11352">
      <c r="C11352" s="18"/>
      <c r="D11352" s="19"/>
      <c r="E11352" s="57"/>
      <c r="H11352" s="18"/>
    </row>
    <row r="11353">
      <c r="C11353" s="18"/>
      <c r="D11353" s="19"/>
      <c r="E11353" s="57"/>
      <c r="H11353" s="18"/>
    </row>
    <row r="11354">
      <c r="C11354" s="18"/>
      <c r="D11354" s="19"/>
      <c r="E11354" s="57"/>
      <c r="H11354" s="18"/>
    </row>
    <row r="11355">
      <c r="C11355" s="18"/>
      <c r="D11355" s="19"/>
      <c r="E11355" s="57"/>
      <c r="H11355" s="18"/>
    </row>
    <row r="11356">
      <c r="C11356" s="18"/>
      <c r="D11356" s="19"/>
      <c r="E11356" s="57"/>
      <c r="H11356" s="18"/>
    </row>
    <row r="11357">
      <c r="C11357" s="18"/>
      <c r="D11357" s="19"/>
      <c r="E11357" s="57"/>
      <c r="H11357" s="18"/>
    </row>
    <row r="11358">
      <c r="C11358" s="18"/>
      <c r="D11358" s="19"/>
      <c r="E11358" s="57"/>
      <c r="H11358" s="18"/>
    </row>
    <row r="11359">
      <c r="C11359" s="18"/>
      <c r="D11359" s="19"/>
      <c r="E11359" s="57"/>
      <c r="H11359" s="18"/>
    </row>
    <row r="11360">
      <c r="C11360" s="18"/>
      <c r="D11360" s="19"/>
      <c r="E11360" s="57"/>
      <c r="H11360" s="18"/>
    </row>
    <row r="11361">
      <c r="C11361" s="18"/>
      <c r="D11361" s="19"/>
      <c r="E11361" s="57"/>
      <c r="H11361" s="18"/>
    </row>
    <row r="11362">
      <c r="C11362" s="18"/>
      <c r="D11362" s="19"/>
      <c r="E11362" s="57"/>
      <c r="H11362" s="18"/>
    </row>
    <row r="11363">
      <c r="C11363" s="18"/>
      <c r="D11363" s="19"/>
      <c r="E11363" s="57"/>
      <c r="H11363" s="18"/>
    </row>
    <row r="11364">
      <c r="C11364" s="18"/>
      <c r="D11364" s="19"/>
      <c r="E11364" s="57"/>
      <c r="H11364" s="18"/>
    </row>
    <row r="11365">
      <c r="C11365" s="18"/>
      <c r="D11365" s="19"/>
      <c r="E11365" s="57"/>
      <c r="H11365" s="18"/>
    </row>
    <row r="11366">
      <c r="C11366" s="18"/>
      <c r="D11366" s="19"/>
      <c r="E11366" s="57"/>
      <c r="H11366" s="18"/>
    </row>
    <row r="11367">
      <c r="C11367" s="18"/>
      <c r="D11367" s="19"/>
      <c r="E11367" s="57"/>
      <c r="H11367" s="18"/>
    </row>
    <row r="11368">
      <c r="C11368" s="18"/>
      <c r="D11368" s="19"/>
      <c r="E11368" s="57"/>
      <c r="H11368" s="18"/>
    </row>
    <row r="11369">
      <c r="C11369" s="18"/>
      <c r="D11369" s="19"/>
      <c r="E11369" s="57"/>
      <c r="H11369" s="18"/>
    </row>
    <row r="11370">
      <c r="C11370" s="18"/>
      <c r="D11370" s="19"/>
      <c r="E11370" s="57"/>
      <c r="H11370" s="18"/>
    </row>
    <row r="11371">
      <c r="C11371" s="18"/>
      <c r="D11371" s="19"/>
      <c r="E11371" s="57"/>
      <c r="H11371" s="18"/>
    </row>
    <row r="11372">
      <c r="C11372" s="18"/>
      <c r="D11372" s="19"/>
      <c r="E11372" s="57"/>
      <c r="H11372" s="18"/>
    </row>
    <row r="11373">
      <c r="C11373" s="18"/>
      <c r="D11373" s="19"/>
      <c r="E11373" s="57"/>
      <c r="H11373" s="18"/>
    </row>
    <row r="11374">
      <c r="C11374" s="18"/>
      <c r="D11374" s="19"/>
      <c r="E11374" s="57"/>
      <c r="H11374" s="18"/>
    </row>
    <row r="11375">
      <c r="C11375" s="18"/>
      <c r="D11375" s="19"/>
      <c r="E11375" s="57"/>
      <c r="H11375" s="18"/>
    </row>
    <row r="11376">
      <c r="C11376" s="18"/>
      <c r="D11376" s="19"/>
      <c r="E11376" s="57"/>
      <c r="H11376" s="18"/>
    </row>
    <row r="11377">
      <c r="C11377" s="18"/>
      <c r="D11377" s="19"/>
      <c r="E11377" s="57"/>
      <c r="H11377" s="18"/>
    </row>
    <row r="11378">
      <c r="C11378" s="18"/>
      <c r="D11378" s="19"/>
      <c r="E11378" s="57"/>
      <c r="H11378" s="18"/>
    </row>
    <row r="11379">
      <c r="C11379" s="18"/>
      <c r="D11379" s="19"/>
      <c r="E11379" s="57"/>
      <c r="H11379" s="18"/>
    </row>
    <row r="11380">
      <c r="C11380" s="18"/>
      <c r="D11380" s="19"/>
      <c r="E11380" s="57"/>
      <c r="H11380" s="18"/>
    </row>
    <row r="11381">
      <c r="C11381" s="18"/>
      <c r="D11381" s="19"/>
      <c r="E11381" s="57"/>
      <c r="H11381" s="18"/>
    </row>
    <row r="11382">
      <c r="C11382" s="18"/>
      <c r="D11382" s="19"/>
      <c r="E11382" s="57"/>
      <c r="H11382" s="18"/>
    </row>
    <row r="11383">
      <c r="C11383" s="18"/>
      <c r="D11383" s="19"/>
      <c r="E11383" s="57"/>
      <c r="H11383" s="18"/>
    </row>
    <row r="11384">
      <c r="C11384" s="18"/>
      <c r="D11384" s="19"/>
      <c r="E11384" s="57"/>
      <c r="H11384" s="18"/>
    </row>
    <row r="11385">
      <c r="C11385" s="18"/>
      <c r="D11385" s="19"/>
      <c r="E11385" s="57"/>
      <c r="H11385" s="18"/>
    </row>
    <row r="11386">
      <c r="C11386" s="18"/>
      <c r="D11386" s="19"/>
      <c r="E11386" s="57"/>
      <c r="H11386" s="18"/>
    </row>
    <row r="11387">
      <c r="C11387" s="18"/>
      <c r="D11387" s="19"/>
      <c r="E11387" s="57"/>
      <c r="H11387" s="18"/>
    </row>
    <row r="11388">
      <c r="C11388" s="18"/>
      <c r="D11388" s="19"/>
      <c r="E11388" s="57"/>
      <c r="H11388" s="18"/>
    </row>
    <row r="11389">
      <c r="C11389" s="18"/>
      <c r="D11389" s="19"/>
      <c r="E11389" s="57"/>
      <c r="H11389" s="18"/>
    </row>
    <row r="11390">
      <c r="C11390" s="18"/>
      <c r="D11390" s="19"/>
      <c r="E11390" s="57"/>
      <c r="H11390" s="18"/>
    </row>
    <row r="11391">
      <c r="C11391" s="18"/>
      <c r="D11391" s="19"/>
      <c r="E11391" s="57"/>
      <c r="H11391" s="18"/>
    </row>
    <row r="11392">
      <c r="C11392" s="18"/>
      <c r="D11392" s="19"/>
      <c r="E11392" s="57"/>
      <c r="H11392" s="18"/>
    </row>
    <row r="11393">
      <c r="C11393" s="18"/>
      <c r="D11393" s="19"/>
      <c r="E11393" s="57"/>
      <c r="H11393" s="18"/>
    </row>
    <row r="11394">
      <c r="C11394" s="18"/>
      <c r="D11394" s="19"/>
      <c r="E11394" s="57"/>
      <c r="H11394" s="18"/>
    </row>
    <row r="11395">
      <c r="C11395" s="18"/>
      <c r="D11395" s="19"/>
      <c r="E11395" s="57"/>
      <c r="H11395" s="18"/>
    </row>
    <row r="11396">
      <c r="C11396" s="18"/>
      <c r="D11396" s="19"/>
      <c r="E11396" s="57"/>
      <c r="H11396" s="18"/>
    </row>
    <row r="11397">
      <c r="C11397" s="18"/>
      <c r="D11397" s="19"/>
      <c r="E11397" s="57"/>
      <c r="H11397" s="18"/>
    </row>
    <row r="11398">
      <c r="C11398" s="18"/>
      <c r="D11398" s="19"/>
      <c r="E11398" s="57"/>
      <c r="H11398" s="18"/>
    </row>
    <row r="11399">
      <c r="C11399" s="18"/>
      <c r="D11399" s="19"/>
      <c r="E11399" s="57"/>
      <c r="H11399" s="18"/>
    </row>
    <row r="11400">
      <c r="C11400" s="18"/>
      <c r="D11400" s="19"/>
      <c r="E11400" s="57"/>
      <c r="H11400" s="18"/>
    </row>
    <row r="11401">
      <c r="C11401" s="18"/>
      <c r="D11401" s="19"/>
      <c r="E11401" s="57"/>
      <c r="H11401" s="18"/>
    </row>
    <row r="11402">
      <c r="C11402" s="18"/>
      <c r="D11402" s="19"/>
      <c r="E11402" s="57"/>
      <c r="H11402" s="18"/>
    </row>
    <row r="11403">
      <c r="C11403" s="18"/>
      <c r="D11403" s="19"/>
      <c r="E11403" s="57"/>
      <c r="H11403" s="18"/>
    </row>
    <row r="11404">
      <c r="C11404" s="18"/>
      <c r="D11404" s="19"/>
      <c r="E11404" s="57"/>
      <c r="H11404" s="18"/>
    </row>
    <row r="11405">
      <c r="C11405" s="18"/>
      <c r="D11405" s="19"/>
      <c r="E11405" s="57"/>
      <c r="H11405" s="18"/>
    </row>
    <row r="11406">
      <c r="C11406" s="18"/>
      <c r="D11406" s="19"/>
      <c r="E11406" s="57"/>
      <c r="H11406" s="18"/>
    </row>
    <row r="11407">
      <c r="C11407" s="18"/>
      <c r="D11407" s="19"/>
      <c r="E11407" s="57"/>
      <c r="H11407" s="18"/>
    </row>
    <row r="11408">
      <c r="C11408" s="18"/>
      <c r="D11408" s="19"/>
      <c r="E11408" s="57"/>
      <c r="H11408" s="18"/>
    </row>
    <row r="11409">
      <c r="C11409" s="18"/>
      <c r="D11409" s="19"/>
      <c r="E11409" s="57"/>
      <c r="H11409" s="18"/>
    </row>
    <row r="11410">
      <c r="C11410" s="18"/>
      <c r="D11410" s="19"/>
      <c r="E11410" s="57"/>
      <c r="H11410" s="18"/>
    </row>
    <row r="11411">
      <c r="C11411" s="18"/>
      <c r="D11411" s="19"/>
      <c r="E11411" s="57"/>
      <c r="H11411" s="18"/>
    </row>
    <row r="11412">
      <c r="C11412" s="18"/>
      <c r="D11412" s="19"/>
      <c r="E11412" s="57"/>
      <c r="H11412" s="18"/>
    </row>
    <row r="11413">
      <c r="C11413" s="18"/>
      <c r="D11413" s="19"/>
      <c r="E11413" s="57"/>
      <c r="H11413" s="18"/>
    </row>
    <row r="11414">
      <c r="C11414" s="18"/>
      <c r="D11414" s="19"/>
      <c r="E11414" s="57"/>
      <c r="H11414" s="18"/>
    </row>
    <row r="11415">
      <c r="C11415" s="18"/>
      <c r="D11415" s="19"/>
      <c r="E11415" s="57"/>
      <c r="H11415" s="18"/>
    </row>
    <row r="11416">
      <c r="C11416" s="18"/>
      <c r="D11416" s="19"/>
      <c r="E11416" s="57"/>
      <c r="H11416" s="18"/>
    </row>
    <row r="11417">
      <c r="C11417" s="18"/>
      <c r="D11417" s="19"/>
      <c r="E11417" s="57"/>
      <c r="H11417" s="18"/>
    </row>
    <row r="11418">
      <c r="C11418" s="18"/>
      <c r="D11418" s="19"/>
      <c r="E11418" s="57"/>
      <c r="H11418" s="18"/>
    </row>
    <row r="11419">
      <c r="C11419" s="18"/>
      <c r="D11419" s="19"/>
      <c r="E11419" s="57"/>
      <c r="H11419" s="18"/>
    </row>
    <row r="11420">
      <c r="C11420" s="18"/>
      <c r="D11420" s="19"/>
      <c r="E11420" s="57"/>
      <c r="H11420" s="18"/>
    </row>
    <row r="11421">
      <c r="C11421" s="18"/>
      <c r="D11421" s="19"/>
      <c r="E11421" s="57"/>
      <c r="H11421" s="18"/>
    </row>
    <row r="11422">
      <c r="C11422" s="18"/>
      <c r="D11422" s="19"/>
      <c r="E11422" s="57"/>
      <c r="H11422" s="18"/>
    </row>
    <row r="11423">
      <c r="C11423" s="18"/>
      <c r="D11423" s="19"/>
      <c r="E11423" s="57"/>
      <c r="H11423" s="18"/>
    </row>
    <row r="11424">
      <c r="C11424" s="18"/>
      <c r="D11424" s="19"/>
      <c r="E11424" s="57"/>
      <c r="H11424" s="18"/>
    </row>
    <row r="11425">
      <c r="C11425" s="18"/>
      <c r="D11425" s="19"/>
      <c r="E11425" s="57"/>
      <c r="H11425" s="18"/>
    </row>
    <row r="11426">
      <c r="C11426" s="18"/>
      <c r="D11426" s="19"/>
      <c r="E11426" s="57"/>
      <c r="H11426" s="18"/>
    </row>
    <row r="11427">
      <c r="C11427" s="18"/>
      <c r="D11427" s="19"/>
      <c r="E11427" s="57"/>
      <c r="H11427" s="18"/>
    </row>
    <row r="11428">
      <c r="C11428" s="18"/>
      <c r="D11428" s="19"/>
      <c r="E11428" s="57"/>
      <c r="H11428" s="18"/>
    </row>
    <row r="11429">
      <c r="C11429" s="18"/>
      <c r="D11429" s="19"/>
      <c r="E11429" s="57"/>
      <c r="H11429" s="18"/>
    </row>
    <row r="11430">
      <c r="C11430" s="18"/>
      <c r="D11430" s="19"/>
      <c r="E11430" s="57"/>
      <c r="H11430" s="18"/>
    </row>
    <row r="11431">
      <c r="C11431" s="18"/>
      <c r="D11431" s="19"/>
      <c r="E11431" s="57"/>
      <c r="H11431" s="18"/>
    </row>
    <row r="11432">
      <c r="C11432" s="18"/>
      <c r="D11432" s="19"/>
      <c r="E11432" s="57"/>
      <c r="H11432" s="18"/>
    </row>
    <row r="11433">
      <c r="C11433" s="18"/>
      <c r="D11433" s="19"/>
      <c r="E11433" s="57"/>
      <c r="H11433" s="18"/>
    </row>
    <row r="11434">
      <c r="C11434" s="18"/>
      <c r="D11434" s="19"/>
      <c r="E11434" s="57"/>
      <c r="H11434" s="18"/>
    </row>
    <row r="11435">
      <c r="C11435" s="18"/>
      <c r="D11435" s="19"/>
      <c r="E11435" s="57"/>
      <c r="H11435" s="18"/>
    </row>
    <row r="11436">
      <c r="C11436" s="18"/>
      <c r="D11436" s="19"/>
      <c r="E11436" s="57"/>
      <c r="H11436" s="18"/>
    </row>
    <row r="11437">
      <c r="C11437" s="18"/>
      <c r="D11437" s="19"/>
      <c r="E11437" s="57"/>
      <c r="H11437" s="18"/>
    </row>
    <row r="11438">
      <c r="C11438" s="18"/>
      <c r="D11438" s="19"/>
      <c r="E11438" s="57"/>
      <c r="H11438" s="18"/>
    </row>
    <row r="11439">
      <c r="C11439" s="18"/>
      <c r="D11439" s="19"/>
      <c r="E11439" s="57"/>
      <c r="H11439" s="18"/>
    </row>
    <row r="11440">
      <c r="C11440" s="18"/>
      <c r="D11440" s="19"/>
      <c r="E11440" s="57"/>
      <c r="H11440" s="18"/>
    </row>
    <row r="11441">
      <c r="C11441" s="18"/>
      <c r="D11441" s="19"/>
      <c r="E11441" s="57"/>
      <c r="H11441" s="18"/>
    </row>
    <row r="11442">
      <c r="C11442" s="18"/>
      <c r="D11442" s="19"/>
      <c r="E11442" s="57"/>
      <c r="H11442" s="18"/>
    </row>
    <row r="11443">
      <c r="C11443" s="18"/>
      <c r="D11443" s="19"/>
      <c r="E11443" s="57"/>
      <c r="H11443" s="18"/>
    </row>
    <row r="11444">
      <c r="C11444" s="18"/>
      <c r="D11444" s="19"/>
      <c r="E11444" s="57"/>
      <c r="H11444" s="18"/>
    </row>
    <row r="11445">
      <c r="C11445" s="18"/>
      <c r="D11445" s="19"/>
      <c r="E11445" s="57"/>
      <c r="H11445" s="18"/>
    </row>
    <row r="11446">
      <c r="C11446" s="18"/>
      <c r="D11446" s="19"/>
      <c r="E11446" s="57"/>
      <c r="H11446" s="18"/>
    </row>
    <row r="11447">
      <c r="C11447" s="18"/>
      <c r="D11447" s="19"/>
      <c r="E11447" s="57"/>
      <c r="H11447" s="18"/>
    </row>
    <row r="11448">
      <c r="C11448" s="18"/>
      <c r="D11448" s="19"/>
      <c r="E11448" s="57"/>
      <c r="H11448" s="18"/>
    </row>
    <row r="11449">
      <c r="C11449" s="18"/>
      <c r="D11449" s="19"/>
      <c r="E11449" s="57"/>
      <c r="H11449" s="18"/>
    </row>
    <row r="11450">
      <c r="C11450" s="18"/>
      <c r="D11450" s="19"/>
      <c r="E11450" s="57"/>
      <c r="H11450" s="18"/>
    </row>
    <row r="11451">
      <c r="C11451" s="18"/>
      <c r="D11451" s="19"/>
      <c r="E11451" s="57"/>
      <c r="H11451" s="18"/>
    </row>
    <row r="11452">
      <c r="C11452" s="18"/>
      <c r="D11452" s="19"/>
      <c r="E11452" s="57"/>
      <c r="H11452" s="18"/>
    </row>
    <row r="11453">
      <c r="C11453" s="18"/>
      <c r="D11453" s="19"/>
      <c r="E11453" s="57"/>
      <c r="H11453" s="18"/>
    </row>
    <row r="11454">
      <c r="C11454" s="18"/>
      <c r="D11454" s="19"/>
      <c r="E11454" s="57"/>
      <c r="H11454" s="18"/>
    </row>
    <row r="11455">
      <c r="C11455" s="18"/>
      <c r="D11455" s="19"/>
      <c r="E11455" s="57"/>
      <c r="H11455" s="18"/>
    </row>
    <row r="11456">
      <c r="C11456" s="18"/>
      <c r="D11456" s="19"/>
      <c r="E11456" s="57"/>
      <c r="H11456" s="18"/>
    </row>
    <row r="11457">
      <c r="C11457" s="18"/>
      <c r="D11457" s="19"/>
      <c r="E11457" s="57"/>
      <c r="H11457" s="18"/>
    </row>
    <row r="11458">
      <c r="C11458" s="18"/>
      <c r="D11458" s="19"/>
      <c r="E11458" s="57"/>
      <c r="H11458" s="18"/>
    </row>
    <row r="11459">
      <c r="C11459" s="18"/>
      <c r="D11459" s="19"/>
      <c r="E11459" s="57"/>
      <c r="H11459" s="18"/>
    </row>
    <row r="11460">
      <c r="C11460" s="18"/>
      <c r="D11460" s="19"/>
      <c r="E11460" s="57"/>
      <c r="H11460" s="18"/>
    </row>
    <row r="11461">
      <c r="C11461" s="18"/>
      <c r="D11461" s="19"/>
      <c r="E11461" s="57"/>
      <c r="H11461" s="18"/>
    </row>
    <row r="11462">
      <c r="C11462" s="18"/>
      <c r="D11462" s="19"/>
      <c r="E11462" s="57"/>
      <c r="H11462" s="18"/>
    </row>
    <row r="11463">
      <c r="C11463" s="18"/>
      <c r="D11463" s="19"/>
      <c r="E11463" s="57"/>
      <c r="H11463" s="18"/>
    </row>
    <row r="11464">
      <c r="C11464" s="18"/>
      <c r="D11464" s="19"/>
      <c r="E11464" s="57"/>
      <c r="H11464" s="18"/>
    </row>
    <row r="11465">
      <c r="C11465" s="18"/>
      <c r="D11465" s="19"/>
      <c r="E11465" s="57"/>
      <c r="H11465" s="18"/>
    </row>
    <row r="11466">
      <c r="C11466" s="18"/>
      <c r="D11466" s="19"/>
      <c r="E11466" s="57"/>
      <c r="H11466" s="18"/>
    </row>
    <row r="11467">
      <c r="C11467" s="18"/>
      <c r="D11467" s="19"/>
      <c r="E11467" s="57"/>
      <c r="H11467" s="18"/>
    </row>
    <row r="11468">
      <c r="C11468" s="18"/>
      <c r="D11468" s="19"/>
      <c r="E11468" s="57"/>
      <c r="H11468" s="18"/>
    </row>
    <row r="11469">
      <c r="C11469" s="18"/>
      <c r="D11469" s="19"/>
      <c r="E11469" s="57"/>
      <c r="H11469" s="18"/>
    </row>
    <row r="11470">
      <c r="C11470" s="18"/>
      <c r="D11470" s="19"/>
      <c r="E11470" s="57"/>
      <c r="H11470" s="18"/>
    </row>
    <row r="11471">
      <c r="C11471" s="18"/>
      <c r="D11471" s="19"/>
      <c r="E11471" s="57"/>
      <c r="H11471" s="18"/>
    </row>
    <row r="11472">
      <c r="C11472" s="18"/>
      <c r="D11472" s="19"/>
      <c r="E11472" s="57"/>
      <c r="H11472" s="18"/>
    </row>
    <row r="11473">
      <c r="C11473" s="18"/>
      <c r="D11473" s="19"/>
      <c r="E11473" s="57"/>
      <c r="H11473" s="18"/>
    </row>
    <row r="11474">
      <c r="C11474" s="18"/>
      <c r="D11474" s="19"/>
      <c r="E11474" s="57"/>
      <c r="H11474" s="18"/>
    </row>
    <row r="11475">
      <c r="C11475" s="18"/>
      <c r="D11475" s="19"/>
      <c r="E11475" s="57"/>
      <c r="H11475" s="18"/>
    </row>
    <row r="11476">
      <c r="C11476" s="18"/>
      <c r="D11476" s="19"/>
      <c r="E11476" s="57"/>
      <c r="H11476" s="18"/>
    </row>
    <row r="11477">
      <c r="C11477" s="18"/>
      <c r="D11477" s="19"/>
      <c r="E11477" s="57"/>
      <c r="H11477" s="18"/>
    </row>
    <row r="11478">
      <c r="C11478" s="18"/>
      <c r="D11478" s="19"/>
      <c r="E11478" s="57"/>
      <c r="H11478" s="18"/>
    </row>
    <row r="11479">
      <c r="C11479" s="18"/>
      <c r="D11479" s="19"/>
      <c r="E11479" s="57"/>
      <c r="H11479" s="18"/>
    </row>
    <row r="11480">
      <c r="C11480" s="18"/>
      <c r="D11480" s="19"/>
      <c r="E11480" s="57"/>
      <c r="H11480" s="18"/>
    </row>
    <row r="11481">
      <c r="C11481" s="18"/>
      <c r="D11481" s="19"/>
      <c r="E11481" s="57"/>
      <c r="H11481" s="18"/>
    </row>
    <row r="11482">
      <c r="C11482" s="18"/>
      <c r="D11482" s="19"/>
      <c r="E11482" s="57"/>
      <c r="H11482" s="18"/>
    </row>
    <row r="11483">
      <c r="C11483" s="18"/>
      <c r="D11483" s="19"/>
      <c r="E11483" s="57"/>
      <c r="H11483" s="18"/>
    </row>
    <row r="11484">
      <c r="C11484" s="18"/>
      <c r="D11484" s="19"/>
      <c r="E11484" s="57"/>
      <c r="H11484" s="18"/>
    </row>
    <row r="11485">
      <c r="C11485" s="18"/>
      <c r="D11485" s="19"/>
      <c r="E11485" s="57"/>
      <c r="H11485" s="18"/>
    </row>
    <row r="11486">
      <c r="C11486" s="18"/>
      <c r="D11486" s="19"/>
      <c r="E11486" s="57"/>
      <c r="H11486" s="18"/>
    </row>
    <row r="11487">
      <c r="C11487" s="18"/>
      <c r="D11487" s="19"/>
      <c r="E11487" s="57"/>
      <c r="H11487" s="18"/>
    </row>
    <row r="11488">
      <c r="C11488" s="18"/>
      <c r="D11488" s="19"/>
      <c r="E11488" s="57"/>
      <c r="H11488" s="18"/>
    </row>
    <row r="11489">
      <c r="C11489" s="18"/>
      <c r="D11489" s="19"/>
      <c r="E11489" s="57"/>
      <c r="H11489" s="18"/>
    </row>
    <row r="11490">
      <c r="C11490" s="18"/>
      <c r="D11490" s="19"/>
      <c r="E11490" s="57"/>
      <c r="H11490" s="18"/>
    </row>
    <row r="11491">
      <c r="C11491" s="18"/>
      <c r="D11491" s="19"/>
      <c r="E11491" s="57"/>
      <c r="H11491" s="18"/>
    </row>
    <row r="11492">
      <c r="C11492" s="18"/>
      <c r="D11492" s="19"/>
      <c r="E11492" s="57"/>
      <c r="H11492" s="18"/>
    </row>
    <row r="11493">
      <c r="C11493" s="18"/>
      <c r="D11493" s="19"/>
      <c r="E11493" s="57"/>
      <c r="H11493" s="18"/>
    </row>
    <row r="11494">
      <c r="C11494" s="18"/>
      <c r="D11494" s="19"/>
      <c r="E11494" s="57"/>
      <c r="H11494" s="18"/>
    </row>
    <row r="11495">
      <c r="C11495" s="18"/>
      <c r="D11495" s="19"/>
      <c r="E11495" s="57"/>
      <c r="H11495" s="18"/>
    </row>
    <row r="11496">
      <c r="C11496" s="18"/>
      <c r="D11496" s="19"/>
      <c r="E11496" s="57"/>
      <c r="H11496" s="18"/>
    </row>
    <row r="11497">
      <c r="C11497" s="18"/>
      <c r="D11497" s="19"/>
      <c r="E11497" s="57"/>
      <c r="H11497" s="18"/>
    </row>
    <row r="11498">
      <c r="C11498" s="18"/>
      <c r="D11498" s="19"/>
      <c r="E11498" s="57"/>
      <c r="H11498" s="18"/>
    </row>
    <row r="11499">
      <c r="C11499" s="18"/>
      <c r="D11499" s="19"/>
      <c r="E11499" s="57"/>
      <c r="H11499" s="18"/>
    </row>
    <row r="11500">
      <c r="C11500" s="18"/>
      <c r="D11500" s="19"/>
      <c r="E11500" s="57"/>
      <c r="H11500" s="18"/>
    </row>
    <row r="11501">
      <c r="C11501" s="18"/>
      <c r="D11501" s="19"/>
      <c r="E11501" s="57"/>
      <c r="H11501" s="18"/>
    </row>
    <row r="11502">
      <c r="C11502" s="18"/>
      <c r="D11502" s="19"/>
      <c r="E11502" s="57"/>
      <c r="H11502" s="18"/>
    </row>
    <row r="11503">
      <c r="C11503" s="18"/>
      <c r="D11503" s="19"/>
      <c r="E11503" s="57"/>
      <c r="H11503" s="18"/>
    </row>
    <row r="11504">
      <c r="C11504" s="18"/>
      <c r="D11504" s="19"/>
      <c r="E11504" s="57"/>
      <c r="H11504" s="18"/>
    </row>
    <row r="11505">
      <c r="C11505" s="18"/>
      <c r="D11505" s="19"/>
      <c r="E11505" s="57"/>
      <c r="H11505" s="18"/>
    </row>
    <row r="11506">
      <c r="C11506" s="18"/>
      <c r="D11506" s="19"/>
      <c r="E11506" s="57"/>
      <c r="H11506" s="18"/>
    </row>
    <row r="11507">
      <c r="C11507" s="18"/>
      <c r="D11507" s="19"/>
      <c r="E11507" s="57"/>
      <c r="H11507" s="18"/>
    </row>
    <row r="11508">
      <c r="C11508" s="18"/>
      <c r="D11508" s="19"/>
      <c r="E11508" s="57"/>
      <c r="H11508" s="18"/>
    </row>
    <row r="11509">
      <c r="C11509" s="18"/>
      <c r="D11509" s="19"/>
      <c r="E11509" s="57"/>
      <c r="H11509" s="18"/>
    </row>
    <row r="11510">
      <c r="C11510" s="18"/>
      <c r="D11510" s="19"/>
      <c r="E11510" s="57"/>
      <c r="H11510" s="18"/>
    </row>
    <row r="11511">
      <c r="C11511" s="18"/>
      <c r="D11511" s="19"/>
      <c r="E11511" s="57"/>
      <c r="H11511" s="18"/>
    </row>
    <row r="11512">
      <c r="C11512" s="18"/>
      <c r="D11512" s="19"/>
      <c r="E11512" s="57"/>
      <c r="H11512" s="18"/>
    </row>
    <row r="11513">
      <c r="C11513" s="18"/>
      <c r="D11513" s="19"/>
      <c r="E11513" s="57"/>
      <c r="H11513" s="18"/>
    </row>
    <row r="11514">
      <c r="C11514" s="18"/>
      <c r="D11514" s="19"/>
      <c r="E11514" s="57"/>
      <c r="H11514" s="18"/>
    </row>
    <row r="11515">
      <c r="C11515" s="18"/>
      <c r="D11515" s="19"/>
      <c r="E11515" s="57"/>
      <c r="H11515" s="18"/>
    </row>
    <row r="11516">
      <c r="C11516" s="18"/>
      <c r="D11516" s="19"/>
      <c r="E11516" s="57"/>
      <c r="H11516" s="18"/>
    </row>
    <row r="11517">
      <c r="C11517" s="18"/>
      <c r="D11517" s="19"/>
      <c r="E11517" s="57"/>
      <c r="H11517" s="18"/>
    </row>
    <row r="11518">
      <c r="C11518" s="18"/>
      <c r="D11518" s="19"/>
      <c r="E11518" s="57"/>
      <c r="H11518" s="18"/>
    </row>
    <row r="11519">
      <c r="C11519" s="18"/>
      <c r="D11519" s="19"/>
      <c r="E11519" s="57"/>
      <c r="H11519" s="18"/>
    </row>
    <row r="11520">
      <c r="C11520" s="18"/>
      <c r="D11520" s="19"/>
      <c r="E11520" s="57"/>
      <c r="H11520" s="18"/>
    </row>
    <row r="11521">
      <c r="C11521" s="18"/>
      <c r="D11521" s="19"/>
      <c r="E11521" s="57"/>
      <c r="H11521" s="18"/>
    </row>
    <row r="11522">
      <c r="C11522" s="18"/>
      <c r="D11522" s="19"/>
      <c r="E11522" s="57"/>
      <c r="H11522" s="18"/>
    </row>
    <row r="11523">
      <c r="C11523" s="18"/>
      <c r="D11523" s="19"/>
      <c r="E11523" s="57"/>
      <c r="H11523" s="18"/>
    </row>
    <row r="11524">
      <c r="C11524" s="18"/>
      <c r="D11524" s="19"/>
      <c r="E11524" s="57"/>
      <c r="H11524" s="18"/>
    </row>
    <row r="11525">
      <c r="C11525" s="18"/>
      <c r="D11525" s="19"/>
      <c r="E11525" s="57"/>
      <c r="H11525" s="18"/>
    </row>
    <row r="11526">
      <c r="C11526" s="18"/>
      <c r="D11526" s="19"/>
      <c r="E11526" s="57"/>
      <c r="H11526" s="18"/>
    </row>
    <row r="11527">
      <c r="C11527" s="18"/>
      <c r="D11527" s="19"/>
      <c r="E11527" s="57"/>
      <c r="H11527" s="18"/>
    </row>
    <row r="11528">
      <c r="C11528" s="18"/>
      <c r="D11528" s="19"/>
      <c r="E11528" s="57"/>
      <c r="H11528" s="18"/>
    </row>
    <row r="11529">
      <c r="C11529" s="18"/>
      <c r="D11529" s="19"/>
      <c r="E11529" s="57"/>
      <c r="H11529" s="18"/>
    </row>
    <row r="11530">
      <c r="C11530" s="18"/>
      <c r="D11530" s="19"/>
      <c r="E11530" s="57"/>
      <c r="H11530" s="18"/>
    </row>
    <row r="11531">
      <c r="C11531" s="18"/>
      <c r="D11531" s="19"/>
      <c r="E11531" s="57"/>
      <c r="H11531" s="18"/>
    </row>
    <row r="11532">
      <c r="C11532" s="18"/>
      <c r="D11532" s="19"/>
      <c r="E11532" s="57"/>
      <c r="H11532" s="18"/>
    </row>
    <row r="11533">
      <c r="C11533" s="18"/>
      <c r="D11533" s="19"/>
      <c r="E11533" s="57"/>
      <c r="H11533" s="18"/>
    </row>
    <row r="11534">
      <c r="C11534" s="18"/>
      <c r="D11534" s="19"/>
      <c r="E11534" s="57"/>
      <c r="H11534" s="18"/>
    </row>
    <row r="11535">
      <c r="C11535" s="18"/>
      <c r="D11535" s="19"/>
      <c r="E11535" s="57"/>
      <c r="H11535" s="18"/>
    </row>
    <row r="11536">
      <c r="C11536" s="18"/>
      <c r="D11536" s="19"/>
      <c r="E11536" s="57"/>
      <c r="H11536" s="18"/>
    </row>
    <row r="11537">
      <c r="C11537" s="18"/>
      <c r="D11537" s="19"/>
      <c r="E11537" s="57"/>
      <c r="H11537" s="18"/>
    </row>
    <row r="11538">
      <c r="C11538" s="18"/>
      <c r="D11538" s="19"/>
      <c r="E11538" s="57"/>
      <c r="H11538" s="18"/>
    </row>
    <row r="11539">
      <c r="C11539" s="18"/>
      <c r="D11539" s="19"/>
      <c r="E11539" s="57"/>
      <c r="H11539" s="18"/>
    </row>
    <row r="11540">
      <c r="C11540" s="18"/>
      <c r="D11540" s="19"/>
      <c r="E11540" s="57"/>
      <c r="H11540" s="18"/>
    </row>
    <row r="11541">
      <c r="C11541" s="18"/>
      <c r="D11541" s="19"/>
      <c r="E11541" s="57"/>
      <c r="H11541" s="18"/>
    </row>
    <row r="11542">
      <c r="C11542" s="18"/>
      <c r="D11542" s="19"/>
      <c r="E11542" s="57"/>
      <c r="H11542" s="18"/>
    </row>
    <row r="11543">
      <c r="C11543" s="18"/>
      <c r="D11543" s="19"/>
      <c r="E11543" s="57"/>
      <c r="H11543" s="18"/>
    </row>
    <row r="11544">
      <c r="C11544" s="18"/>
      <c r="D11544" s="19"/>
      <c r="E11544" s="57"/>
      <c r="H11544" s="18"/>
    </row>
    <row r="11545">
      <c r="C11545" s="18"/>
      <c r="D11545" s="19"/>
      <c r="E11545" s="57"/>
      <c r="H11545" s="18"/>
    </row>
    <row r="11546">
      <c r="C11546" s="18"/>
      <c r="D11546" s="19"/>
      <c r="E11546" s="57"/>
      <c r="H11546" s="18"/>
    </row>
    <row r="11547">
      <c r="C11547" s="18"/>
      <c r="D11547" s="19"/>
      <c r="E11547" s="57"/>
      <c r="H11547" s="18"/>
    </row>
    <row r="11548">
      <c r="C11548" s="18"/>
      <c r="D11548" s="19"/>
      <c r="E11548" s="57"/>
      <c r="H11548" s="18"/>
    </row>
    <row r="11549">
      <c r="C11549" s="18"/>
      <c r="D11549" s="19"/>
      <c r="E11549" s="57"/>
      <c r="H11549" s="18"/>
    </row>
    <row r="11550">
      <c r="C11550" s="18"/>
      <c r="D11550" s="19"/>
      <c r="E11550" s="57"/>
      <c r="H11550" s="18"/>
    </row>
    <row r="11551">
      <c r="C11551" s="18"/>
      <c r="D11551" s="19"/>
      <c r="E11551" s="57"/>
      <c r="H11551" s="18"/>
    </row>
    <row r="11552">
      <c r="C11552" s="18"/>
      <c r="D11552" s="19"/>
      <c r="E11552" s="57"/>
      <c r="H11552" s="18"/>
    </row>
    <row r="11553">
      <c r="C11553" s="18"/>
      <c r="D11553" s="19"/>
      <c r="E11553" s="57"/>
      <c r="H11553" s="18"/>
    </row>
    <row r="11554">
      <c r="C11554" s="18"/>
      <c r="D11554" s="19"/>
      <c r="E11554" s="57"/>
      <c r="H11554" s="18"/>
    </row>
    <row r="11555">
      <c r="C11555" s="18"/>
      <c r="D11555" s="19"/>
      <c r="E11555" s="57"/>
      <c r="H11555" s="18"/>
    </row>
    <row r="11556">
      <c r="C11556" s="18"/>
      <c r="D11556" s="19"/>
      <c r="E11556" s="57"/>
      <c r="H11556" s="18"/>
    </row>
    <row r="11557">
      <c r="C11557" s="18"/>
      <c r="D11557" s="19"/>
      <c r="E11557" s="57"/>
      <c r="H11557" s="18"/>
    </row>
    <row r="11558">
      <c r="C11558" s="18"/>
      <c r="D11558" s="19"/>
      <c r="E11558" s="57"/>
      <c r="H11558" s="18"/>
    </row>
    <row r="11559">
      <c r="C11559" s="18"/>
      <c r="D11559" s="19"/>
      <c r="E11559" s="57"/>
      <c r="H11559" s="18"/>
    </row>
    <row r="11560">
      <c r="C11560" s="18"/>
      <c r="D11560" s="19"/>
      <c r="E11560" s="57"/>
      <c r="H11560" s="18"/>
    </row>
    <row r="11561">
      <c r="C11561" s="18"/>
      <c r="D11561" s="19"/>
      <c r="E11561" s="57"/>
      <c r="H11561" s="18"/>
    </row>
    <row r="11562">
      <c r="C11562" s="18"/>
      <c r="D11562" s="19"/>
      <c r="E11562" s="57"/>
      <c r="H11562" s="18"/>
    </row>
    <row r="11563">
      <c r="C11563" s="18"/>
      <c r="D11563" s="19"/>
      <c r="E11563" s="57"/>
      <c r="H11563" s="18"/>
    </row>
    <row r="11564">
      <c r="C11564" s="18"/>
      <c r="D11564" s="19"/>
      <c r="E11564" s="57"/>
      <c r="H11564" s="18"/>
    </row>
    <row r="11565">
      <c r="C11565" s="18"/>
      <c r="D11565" s="19"/>
      <c r="E11565" s="57"/>
      <c r="H11565" s="18"/>
    </row>
    <row r="11566">
      <c r="C11566" s="18"/>
      <c r="D11566" s="19"/>
      <c r="E11566" s="57"/>
      <c r="H11566" s="18"/>
    </row>
    <row r="11567">
      <c r="C11567" s="18"/>
      <c r="D11567" s="19"/>
      <c r="E11567" s="57"/>
      <c r="H11567" s="18"/>
    </row>
    <row r="11568">
      <c r="C11568" s="18"/>
      <c r="D11568" s="19"/>
      <c r="E11568" s="57"/>
      <c r="H11568" s="18"/>
    </row>
    <row r="11569">
      <c r="C11569" s="18"/>
      <c r="D11569" s="19"/>
      <c r="E11569" s="57"/>
      <c r="H11569" s="18"/>
    </row>
    <row r="11570">
      <c r="C11570" s="18"/>
      <c r="D11570" s="19"/>
      <c r="E11570" s="57"/>
      <c r="H11570" s="18"/>
    </row>
    <row r="11571">
      <c r="C11571" s="18"/>
      <c r="D11571" s="19"/>
      <c r="E11571" s="57"/>
      <c r="H11571" s="18"/>
    </row>
    <row r="11572">
      <c r="C11572" s="18"/>
      <c r="D11572" s="19"/>
      <c r="E11572" s="57"/>
      <c r="H11572" s="18"/>
    </row>
    <row r="11573">
      <c r="C11573" s="18"/>
      <c r="D11573" s="19"/>
      <c r="E11573" s="57"/>
      <c r="H11573" s="18"/>
    </row>
    <row r="11574">
      <c r="C11574" s="18"/>
      <c r="D11574" s="19"/>
      <c r="E11574" s="57"/>
      <c r="H11574" s="18"/>
    </row>
    <row r="11575">
      <c r="C11575" s="18"/>
      <c r="D11575" s="19"/>
      <c r="E11575" s="57"/>
      <c r="H11575" s="18"/>
    </row>
    <row r="11576">
      <c r="C11576" s="18"/>
      <c r="D11576" s="19"/>
      <c r="E11576" s="57"/>
      <c r="H11576" s="18"/>
    </row>
    <row r="11577">
      <c r="C11577" s="18"/>
      <c r="D11577" s="19"/>
      <c r="E11577" s="57"/>
      <c r="H11577" s="18"/>
    </row>
    <row r="11578">
      <c r="C11578" s="18"/>
      <c r="D11578" s="19"/>
      <c r="E11578" s="57"/>
      <c r="H11578" s="18"/>
    </row>
    <row r="11579">
      <c r="C11579" s="18"/>
      <c r="D11579" s="19"/>
      <c r="E11579" s="57"/>
      <c r="H11579" s="18"/>
    </row>
    <row r="11580">
      <c r="C11580" s="18"/>
      <c r="D11580" s="19"/>
      <c r="E11580" s="57"/>
      <c r="H11580" s="18"/>
    </row>
    <row r="11581">
      <c r="C11581" s="18"/>
      <c r="D11581" s="19"/>
      <c r="E11581" s="57"/>
      <c r="H11581" s="18"/>
    </row>
    <row r="11582">
      <c r="C11582" s="18"/>
      <c r="D11582" s="19"/>
      <c r="E11582" s="57"/>
      <c r="H11582" s="18"/>
    </row>
    <row r="11583">
      <c r="C11583" s="18"/>
      <c r="D11583" s="19"/>
      <c r="E11583" s="57"/>
      <c r="H11583" s="18"/>
    </row>
    <row r="11584">
      <c r="C11584" s="18"/>
      <c r="D11584" s="19"/>
      <c r="E11584" s="57"/>
      <c r="H11584" s="18"/>
    </row>
    <row r="11585">
      <c r="C11585" s="18"/>
      <c r="D11585" s="19"/>
      <c r="E11585" s="57"/>
      <c r="H11585" s="18"/>
    </row>
    <row r="11586">
      <c r="C11586" s="18"/>
      <c r="D11586" s="19"/>
      <c r="E11586" s="57"/>
      <c r="H11586" s="18"/>
    </row>
    <row r="11587">
      <c r="C11587" s="18"/>
      <c r="D11587" s="19"/>
      <c r="E11587" s="57"/>
      <c r="H11587" s="18"/>
    </row>
    <row r="11588">
      <c r="C11588" s="18"/>
      <c r="D11588" s="19"/>
      <c r="E11588" s="57"/>
      <c r="H11588" s="18"/>
    </row>
    <row r="11589">
      <c r="C11589" s="18"/>
      <c r="D11589" s="19"/>
      <c r="E11589" s="57"/>
      <c r="H11589" s="18"/>
    </row>
    <row r="11590">
      <c r="C11590" s="18"/>
      <c r="D11590" s="19"/>
      <c r="E11590" s="57"/>
      <c r="H11590" s="18"/>
    </row>
    <row r="11591">
      <c r="C11591" s="18"/>
      <c r="D11591" s="19"/>
      <c r="E11591" s="57"/>
      <c r="H11591" s="18"/>
    </row>
    <row r="11592">
      <c r="C11592" s="18"/>
      <c r="D11592" s="19"/>
      <c r="E11592" s="57"/>
      <c r="H11592" s="18"/>
    </row>
    <row r="11593">
      <c r="C11593" s="18"/>
      <c r="D11593" s="19"/>
      <c r="E11593" s="57"/>
      <c r="H11593" s="18"/>
    </row>
    <row r="11594">
      <c r="C11594" s="18"/>
      <c r="D11594" s="19"/>
      <c r="E11594" s="57"/>
      <c r="H11594" s="18"/>
    </row>
    <row r="11595">
      <c r="C11595" s="18"/>
      <c r="D11595" s="19"/>
      <c r="E11595" s="57"/>
      <c r="H11595" s="18"/>
    </row>
    <row r="11596">
      <c r="C11596" s="18"/>
      <c r="D11596" s="19"/>
      <c r="E11596" s="57"/>
      <c r="H11596" s="18"/>
    </row>
    <row r="11597">
      <c r="C11597" s="18"/>
      <c r="D11597" s="19"/>
      <c r="E11597" s="57"/>
      <c r="H11597" s="18"/>
    </row>
    <row r="11598">
      <c r="C11598" s="18"/>
      <c r="D11598" s="19"/>
      <c r="E11598" s="57"/>
      <c r="H11598" s="18"/>
    </row>
    <row r="11599">
      <c r="C11599" s="18"/>
      <c r="D11599" s="19"/>
      <c r="E11599" s="57"/>
      <c r="H11599" s="18"/>
    </row>
    <row r="11600">
      <c r="C11600" s="18"/>
      <c r="D11600" s="19"/>
      <c r="E11600" s="57"/>
      <c r="H11600" s="18"/>
    </row>
    <row r="11601">
      <c r="C11601" s="18"/>
      <c r="D11601" s="19"/>
      <c r="E11601" s="57"/>
      <c r="H11601" s="18"/>
    </row>
    <row r="11602">
      <c r="C11602" s="18"/>
      <c r="D11602" s="19"/>
      <c r="E11602" s="57"/>
      <c r="H11602" s="18"/>
    </row>
    <row r="11603">
      <c r="C11603" s="18"/>
      <c r="D11603" s="19"/>
      <c r="E11603" s="57"/>
      <c r="H11603" s="18"/>
    </row>
    <row r="11604">
      <c r="C11604" s="18"/>
      <c r="D11604" s="19"/>
      <c r="E11604" s="57"/>
      <c r="H11604" s="18"/>
    </row>
    <row r="11605">
      <c r="C11605" s="18"/>
      <c r="D11605" s="19"/>
      <c r="E11605" s="57"/>
      <c r="H11605" s="18"/>
    </row>
    <row r="11606">
      <c r="C11606" s="18"/>
      <c r="D11606" s="19"/>
      <c r="E11606" s="57"/>
      <c r="H11606" s="18"/>
    </row>
    <row r="11607">
      <c r="C11607" s="18"/>
      <c r="D11607" s="19"/>
      <c r="E11607" s="57"/>
      <c r="H11607" s="18"/>
    </row>
    <row r="11608">
      <c r="C11608" s="18"/>
      <c r="D11608" s="19"/>
      <c r="E11608" s="57"/>
      <c r="H11608" s="18"/>
    </row>
    <row r="11609">
      <c r="C11609" s="18"/>
      <c r="D11609" s="19"/>
      <c r="E11609" s="57"/>
      <c r="H11609" s="18"/>
    </row>
    <row r="11610">
      <c r="C11610" s="18"/>
      <c r="D11610" s="19"/>
      <c r="E11610" s="57"/>
      <c r="H11610" s="18"/>
    </row>
    <row r="11611">
      <c r="C11611" s="18"/>
      <c r="D11611" s="19"/>
      <c r="E11611" s="57"/>
      <c r="H11611" s="18"/>
    </row>
    <row r="11612">
      <c r="C11612" s="18"/>
      <c r="D11612" s="19"/>
      <c r="E11612" s="57"/>
      <c r="H11612" s="18"/>
    </row>
    <row r="11613">
      <c r="C11613" s="18"/>
      <c r="D11613" s="19"/>
      <c r="E11613" s="57"/>
      <c r="H11613" s="18"/>
    </row>
    <row r="11614">
      <c r="C11614" s="18"/>
      <c r="D11614" s="19"/>
      <c r="E11614" s="57"/>
      <c r="H11614" s="18"/>
    </row>
    <row r="11615">
      <c r="C11615" s="18"/>
      <c r="D11615" s="19"/>
      <c r="E11615" s="57"/>
      <c r="H11615" s="18"/>
    </row>
    <row r="11616">
      <c r="C11616" s="18"/>
      <c r="D11616" s="19"/>
      <c r="E11616" s="57"/>
      <c r="H11616" s="18"/>
    </row>
    <row r="11617">
      <c r="C11617" s="18"/>
      <c r="D11617" s="19"/>
      <c r="E11617" s="57"/>
      <c r="H11617" s="18"/>
    </row>
    <row r="11618">
      <c r="C11618" s="18"/>
      <c r="D11618" s="19"/>
      <c r="E11618" s="57"/>
      <c r="H11618" s="18"/>
    </row>
    <row r="11619">
      <c r="C11619" s="18"/>
      <c r="D11619" s="19"/>
      <c r="E11619" s="57"/>
      <c r="H11619" s="18"/>
    </row>
    <row r="11620">
      <c r="C11620" s="18"/>
      <c r="D11620" s="19"/>
      <c r="E11620" s="57"/>
      <c r="H11620" s="18"/>
    </row>
    <row r="11621">
      <c r="C11621" s="18"/>
      <c r="D11621" s="19"/>
      <c r="E11621" s="57"/>
      <c r="H11621" s="18"/>
    </row>
    <row r="11622">
      <c r="C11622" s="18"/>
      <c r="D11622" s="19"/>
      <c r="E11622" s="57"/>
      <c r="H11622" s="18"/>
    </row>
    <row r="11623">
      <c r="C11623" s="18"/>
      <c r="D11623" s="19"/>
      <c r="E11623" s="57"/>
      <c r="H11623" s="18"/>
    </row>
    <row r="11624">
      <c r="C11624" s="18"/>
      <c r="D11624" s="19"/>
      <c r="E11624" s="57"/>
      <c r="H11624" s="18"/>
    </row>
    <row r="11625">
      <c r="C11625" s="18"/>
      <c r="D11625" s="19"/>
      <c r="E11625" s="57"/>
      <c r="H11625" s="18"/>
    </row>
    <row r="11626">
      <c r="C11626" s="18"/>
      <c r="D11626" s="19"/>
      <c r="E11626" s="57"/>
      <c r="H11626" s="18"/>
    </row>
    <row r="11627">
      <c r="C11627" s="18"/>
      <c r="D11627" s="19"/>
      <c r="E11627" s="57"/>
      <c r="H11627" s="18"/>
    </row>
    <row r="11628">
      <c r="C11628" s="18"/>
      <c r="D11628" s="19"/>
      <c r="E11628" s="57"/>
      <c r="H11628" s="18"/>
    </row>
    <row r="11629">
      <c r="C11629" s="18"/>
      <c r="D11629" s="19"/>
      <c r="E11629" s="57"/>
      <c r="H11629" s="18"/>
    </row>
    <row r="11630">
      <c r="C11630" s="18"/>
      <c r="D11630" s="19"/>
      <c r="E11630" s="57"/>
      <c r="H11630" s="18"/>
    </row>
    <row r="11631">
      <c r="C11631" s="18"/>
      <c r="D11631" s="19"/>
      <c r="E11631" s="57"/>
      <c r="H11631" s="18"/>
    </row>
    <row r="11632">
      <c r="C11632" s="18"/>
      <c r="D11632" s="19"/>
      <c r="E11632" s="57"/>
      <c r="H11632" s="18"/>
    </row>
    <row r="11633">
      <c r="C11633" s="18"/>
      <c r="D11633" s="19"/>
      <c r="E11633" s="57"/>
      <c r="H11633" s="18"/>
    </row>
    <row r="11634">
      <c r="C11634" s="18"/>
      <c r="D11634" s="19"/>
      <c r="E11634" s="57"/>
      <c r="H11634" s="18"/>
    </row>
    <row r="11635">
      <c r="C11635" s="18"/>
      <c r="D11635" s="19"/>
      <c r="E11635" s="57"/>
      <c r="H11635" s="18"/>
    </row>
    <row r="11636">
      <c r="C11636" s="18"/>
      <c r="D11636" s="19"/>
      <c r="E11636" s="57"/>
      <c r="H11636" s="18"/>
    </row>
    <row r="11637">
      <c r="C11637" s="18"/>
      <c r="D11637" s="19"/>
      <c r="E11637" s="57"/>
      <c r="H11637" s="18"/>
    </row>
    <row r="11638">
      <c r="C11638" s="18"/>
      <c r="D11638" s="19"/>
      <c r="E11638" s="57"/>
      <c r="H11638" s="18"/>
    </row>
    <row r="11639">
      <c r="C11639" s="18"/>
      <c r="D11639" s="19"/>
      <c r="E11639" s="57"/>
      <c r="H11639" s="18"/>
    </row>
    <row r="11640">
      <c r="C11640" s="18"/>
      <c r="D11640" s="19"/>
      <c r="E11640" s="57"/>
      <c r="H11640" s="18"/>
    </row>
    <row r="11641">
      <c r="C11641" s="18"/>
      <c r="D11641" s="19"/>
      <c r="E11641" s="57"/>
      <c r="H11641" s="18"/>
    </row>
    <row r="11642">
      <c r="C11642" s="18"/>
      <c r="D11642" s="19"/>
      <c r="E11642" s="57"/>
      <c r="H11642" s="18"/>
    </row>
    <row r="11643">
      <c r="C11643" s="18"/>
      <c r="D11643" s="19"/>
      <c r="E11643" s="57"/>
      <c r="H11643" s="18"/>
    </row>
    <row r="11644">
      <c r="C11644" s="18"/>
      <c r="D11644" s="19"/>
      <c r="E11644" s="57"/>
      <c r="H11644" s="18"/>
    </row>
    <row r="11645">
      <c r="C11645" s="18"/>
      <c r="D11645" s="19"/>
      <c r="E11645" s="57"/>
      <c r="H11645" s="18"/>
    </row>
    <row r="11646">
      <c r="C11646" s="18"/>
      <c r="D11646" s="19"/>
      <c r="E11646" s="57"/>
      <c r="H11646" s="18"/>
    </row>
    <row r="11647">
      <c r="C11647" s="18"/>
      <c r="D11647" s="19"/>
      <c r="E11647" s="57"/>
      <c r="H11647" s="18"/>
    </row>
    <row r="11648">
      <c r="C11648" s="18"/>
      <c r="D11648" s="19"/>
      <c r="E11648" s="57"/>
      <c r="H11648" s="18"/>
    </row>
    <row r="11649">
      <c r="C11649" s="18"/>
      <c r="D11649" s="19"/>
      <c r="E11649" s="57"/>
      <c r="H11649" s="18"/>
    </row>
    <row r="11650">
      <c r="C11650" s="18"/>
      <c r="D11650" s="19"/>
      <c r="E11650" s="57"/>
      <c r="H11650" s="18"/>
    </row>
    <row r="11651">
      <c r="C11651" s="18"/>
      <c r="D11651" s="19"/>
      <c r="E11651" s="57"/>
      <c r="H11651" s="18"/>
    </row>
    <row r="11652">
      <c r="C11652" s="18"/>
      <c r="D11652" s="19"/>
      <c r="E11652" s="57"/>
      <c r="H11652" s="18"/>
    </row>
    <row r="11653">
      <c r="C11653" s="18"/>
      <c r="D11653" s="19"/>
      <c r="E11653" s="57"/>
      <c r="H11653" s="18"/>
    </row>
    <row r="11654">
      <c r="C11654" s="18"/>
      <c r="D11654" s="19"/>
      <c r="E11654" s="57"/>
      <c r="H11654" s="18"/>
    </row>
    <row r="11655">
      <c r="C11655" s="18"/>
      <c r="D11655" s="19"/>
      <c r="E11655" s="57"/>
      <c r="H11655" s="18"/>
    </row>
    <row r="11656">
      <c r="C11656" s="18"/>
      <c r="D11656" s="19"/>
      <c r="E11656" s="57"/>
      <c r="H11656" s="18"/>
    </row>
    <row r="11657">
      <c r="C11657" s="18"/>
      <c r="D11657" s="19"/>
      <c r="E11657" s="57"/>
      <c r="H11657" s="18"/>
    </row>
    <row r="11658">
      <c r="C11658" s="18"/>
      <c r="D11658" s="19"/>
      <c r="E11658" s="57"/>
      <c r="H11658" s="18"/>
    </row>
    <row r="11659">
      <c r="C11659" s="18"/>
      <c r="D11659" s="19"/>
      <c r="E11659" s="57"/>
      <c r="H11659" s="18"/>
    </row>
    <row r="11660">
      <c r="C11660" s="18"/>
      <c r="D11660" s="19"/>
      <c r="E11660" s="57"/>
      <c r="H11660" s="18"/>
    </row>
    <row r="11661">
      <c r="C11661" s="18"/>
      <c r="D11661" s="19"/>
      <c r="E11661" s="57"/>
      <c r="H11661" s="18"/>
    </row>
    <row r="11662">
      <c r="C11662" s="18"/>
      <c r="D11662" s="19"/>
      <c r="E11662" s="57"/>
      <c r="H11662" s="18"/>
    </row>
    <row r="11663">
      <c r="C11663" s="18"/>
      <c r="D11663" s="19"/>
      <c r="E11663" s="57"/>
      <c r="H11663" s="18"/>
    </row>
    <row r="11664">
      <c r="C11664" s="18"/>
      <c r="D11664" s="19"/>
      <c r="E11664" s="57"/>
      <c r="H11664" s="18"/>
    </row>
    <row r="11665">
      <c r="C11665" s="18"/>
      <c r="D11665" s="19"/>
      <c r="E11665" s="57"/>
      <c r="H11665" s="18"/>
    </row>
    <row r="11666">
      <c r="C11666" s="18"/>
      <c r="D11666" s="19"/>
      <c r="E11666" s="57"/>
      <c r="H11666" s="18"/>
    </row>
    <row r="11667">
      <c r="C11667" s="18"/>
      <c r="D11667" s="19"/>
      <c r="E11667" s="57"/>
      <c r="H11667" s="18"/>
    </row>
    <row r="11668">
      <c r="C11668" s="18"/>
      <c r="D11668" s="19"/>
      <c r="E11668" s="57"/>
      <c r="H11668" s="18"/>
    </row>
    <row r="11669">
      <c r="C11669" s="18"/>
      <c r="D11669" s="19"/>
      <c r="E11669" s="57"/>
      <c r="H11669" s="18"/>
    </row>
    <row r="11670">
      <c r="C11670" s="18"/>
      <c r="D11670" s="19"/>
      <c r="E11670" s="57"/>
      <c r="H11670" s="18"/>
    </row>
    <row r="11671">
      <c r="C11671" s="18"/>
      <c r="D11671" s="19"/>
      <c r="E11671" s="57"/>
      <c r="H11671" s="18"/>
    </row>
    <row r="11672">
      <c r="C11672" s="18"/>
      <c r="D11672" s="19"/>
      <c r="E11672" s="57"/>
      <c r="H11672" s="18"/>
    </row>
    <row r="11673">
      <c r="C11673" s="18"/>
      <c r="D11673" s="19"/>
      <c r="E11673" s="57"/>
      <c r="H11673" s="18"/>
    </row>
    <row r="11674">
      <c r="C11674" s="18"/>
      <c r="D11674" s="19"/>
      <c r="E11674" s="57"/>
      <c r="H11674" s="18"/>
    </row>
    <row r="11675">
      <c r="C11675" s="18"/>
      <c r="D11675" s="19"/>
      <c r="E11675" s="57"/>
      <c r="H11675" s="18"/>
    </row>
    <row r="11676">
      <c r="C11676" s="18"/>
      <c r="D11676" s="19"/>
      <c r="E11676" s="57"/>
      <c r="H11676" s="18"/>
    </row>
    <row r="11677">
      <c r="C11677" s="18"/>
      <c r="D11677" s="19"/>
      <c r="E11677" s="57"/>
      <c r="H11677" s="18"/>
    </row>
    <row r="11678">
      <c r="C11678" s="18"/>
      <c r="D11678" s="19"/>
      <c r="E11678" s="57"/>
      <c r="H11678" s="18"/>
    </row>
    <row r="11679">
      <c r="C11679" s="18"/>
      <c r="D11679" s="19"/>
      <c r="E11679" s="57"/>
      <c r="H11679" s="18"/>
    </row>
    <row r="11680">
      <c r="C11680" s="18"/>
      <c r="D11680" s="19"/>
      <c r="E11680" s="57"/>
      <c r="H11680" s="18"/>
    </row>
    <row r="11681">
      <c r="C11681" s="18"/>
      <c r="D11681" s="19"/>
      <c r="E11681" s="57"/>
      <c r="H11681" s="18"/>
    </row>
    <row r="11682">
      <c r="C11682" s="18"/>
      <c r="D11682" s="19"/>
      <c r="E11682" s="57"/>
      <c r="H11682" s="18"/>
    </row>
    <row r="11683">
      <c r="C11683" s="18"/>
      <c r="D11683" s="19"/>
      <c r="E11683" s="57"/>
      <c r="H11683" s="18"/>
    </row>
    <row r="11684">
      <c r="C11684" s="18"/>
      <c r="D11684" s="19"/>
      <c r="E11684" s="57"/>
      <c r="H11684" s="18"/>
    </row>
    <row r="11685">
      <c r="C11685" s="18"/>
      <c r="D11685" s="19"/>
      <c r="E11685" s="57"/>
      <c r="H11685" s="18"/>
    </row>
    <row r="11686">
      <c r="C11686" s="18"/>
      <c r="D11686" s="19"/>
      <c r="E11686" s="57"/>
      <c r="H11686" s="18"/>
    </row>
    <row r="11687">
      <c r="C11687" s="18"/>
      <c r="D11687" s="19"/>
      <c r="E11687" s="57"/>
      <c r="H11687" s="18"/>
    </row>
    <row r="11688">
      <c r="C11688" s="18"/>
      <c r="D11688" s="19"/>
      <c r="E11688" s="57"/>
      <c r="H11688" s="18"/>
    </row>
    <row r="11689">
      <c r="C11689" s="18"/>
      <c r="D11689" s="19"/>
      <c r="E11689" s="57"/>
      <c r="H11689" s="18"/>
    </row>
    <row r="11690">
      <c r="C11690" s="18"/>
      <c r="D11690" s="19"/>
      <c r="E11690" s="57"/>
      <c r="H11690" s="18"/>
    </row>
    <row r="11691">
      <c r="C11691" s="18"/>
      <c r="D11691" s="19"/>
      <c r="E11691" s="57"/>
      <c r="H11691" s="18"/>
    </row>
    <row r="11692">
      <c r="C11692" s="18"/>
      <c r="D11692" s="19"/>
      <c r="E11692" s="57"/>
      <c r="H11692" s="18"/>
    </row>
    <row r="11693">
      <c r="C11693" s="18"/>
      <c r="D11693" s="19"/>
      <c r="E11693" s="57"/>
      <c r="H11693" s="18"/>
    </row>
    <row r="11694">
      <c r="C11694" s="18"/>
      <c r="D11694" s="19"/>
      <c r="E11694" s="57"/>
      <c r="H11694" s="18"/>
    </row>
    <row r="11695">
      <c r="C11695" s="18"/>
      <c r="D11695" s="19"/>
      <c r="E11695" s="57"/>
      <c r="H11695" s="18"/>
    </row>
    <row r="11696">
      <c r="C11696" s="18"/>
      <c r="D11696" s="19"/>
      <c r="E11696" s="57"/>
      <c r="H11696" s="18"/>
    </row>
    <row r="11697">
      <c r="C11697" s="18"/>
      <c r="D11697" s="19"/>
      <c r="E11697" s="57"/>
      <c r="H11697" s="18"/>
    </row>
    <row r="11698">
      <c r="C11698" s="18"/>
      <c r="D11698" s="19"/>
      <c r="E11698" s="57"/>
      <c r="H11698" s="18"/>
    </row>
    <row r="11699">
      <c r="C11699" s="18"/>
      <c r="D11699" s="19"/>
      <c r="E11699" s="57"/>
      <c r="H11699" s="18"/>
    </row>
    <row r="11700">
      <c r="C11700" s="18"/>
      <c r="D11700" s="19"/>
      <c r="E11700" s="57"/>
      <c r="H11700" s="18"/>
    </row>
    <row r="11701">
      <c r="C11701" s="18"/>
      <c r="D11701" s="19"/>
      <c r="E11701" s="57"/>
      <c r="H11701" s="18"/>
    </row>
    <row r="11702">
      <c r="C11702" s="18"/>
      <c r="D11702" s="19"/>
      <c r="E11702" s="57"/>
      <c r="H11702" s="18"/>
    </row>
    <row r="11703">
      <c r="C11703" s="18"/>
      <c r="D11703" s="19"/>
      <c r="E11703" s="57"/>
      <c r="H11703" s="18"/>
    </row>
    <row r="11704">
      <c r="C11704" s="18"/>
      <c r="D11704" s="19"/>
      <c r="E11704" s="57"/>
      <c r="H11704" s="18"/>
    </row>
    <row r="11705">
      <c r="C11705" s="18"/>
      <c r="D11705" s="19"/>
      <c r="E11705" s="57"/>
      <c r="H11705" s="18"/>
    </row>
    <row r="11706">
      <c r="C11706" s="18"/>
      <c r="D11706" s="19"/>
      <c r="E11706" s="57"/>
      <c r="H11706" s="18"/>
    </row>
    <row r="11707">
      <c r="C11707" s="18"/>
      <c r="D11707" s="19"/>
      <c r="E11707" s="57"/>
      <c r="H11707" s="18"/>
    </row>
    <row r="11708">
      <c r="C11708" s="18"/>
      <c r="D11708" s="19"/>
      <c r="E11708" s="57"/>
      <c r="H11708" s="18"/>
    </row>
    <row r="11709">
      <c r="C11709" s="18"/>
      <c r="D11709" s="19"/>
      <c r="E11709" s="57"/>
      <c r="H11709" s="18"/>
    </row>
    <row r="11710">
      <c r="C11710" s="18"/>
      <c r="D11710" s="19"/>
      <c r="E11710" s="57"/>
      <c r="H11710" s="18"/>
    </row>
    <row r="11711">
      <c r="C11711" s="18"/>
      <c r="D11711" s="19"/>
      <c r="E11711" s="57"/>
      <c r="H11711" s="18"/>
    </row>
    <row r="11712">
      <c r="C11712" s="18"/>
      <c r="D11712" s="19"/>
      <c r="E11712" s="57"/>
      <c r="H11712" s="18"/>
    </row>
    <row r="11713">
      <c r="C11713" s="18"/>
      <c r="D11713" s="19"/>
      <c r="E11713" s="57"/>
      <c r="H11713" s="18"/>
    </row>
    <row r="11714">
      <c r="C11714" s="18"/>
      <c r="D11714" s="19"/>
      <c r="E11714" s="57"/>
      <c r="H11714" s="18"/>
    </row>
    <row r="11715">
      <c r="C11715" s="18"/>
      <c r="D11715" s="19"/>
      <c r="E11715" s="57"/>
      <c r="H11715" s="18"/>
    </row>
    <row r="11716">
      <c r="C11716" s="18"/>
      <c r="D11716" s="19"/>
      <c r="E11716" s="57"/>
      <c r="H11716" s="18"/>
    </row>
    <row r="11717">
      <c r="C11717" s="18"/>
      <c r="D11717" s="19"/>
      <c r="E11717" s="57"/>
      <c r="H11717" s="18"/>
    </row>
    <row r="11718">
      <c r="C11718" s="18"/>
      <c r="D11718" s="19"/>
      <c r="E11718" s="57"/>
      <c r="H11718" s="18"/>
    </row>
    <row r="11719">
      <c r="C11719" s="18"/>
      <c r="D11719" s="19"/>
      <c r="E11719" s="57"/>
      <c r="H11719" s="18"/>
    </row>
    <row r="11720">
      <c r="C11720" s="18"/>
      <c r="D11720" s="19"/>
      <c r="E11720" s="57"/>
      <c r="H11720" s="18"/>
    </row>
    <row r="11721">
      <c r="C11721" s="18"/>
      <c r="D11721" s="19"/>
      <c r="E11721" s="57"/>
      <c r="H11721" s="18"/>
    </row>
    <row r="11722">
      <c r="C11722" s="18"/>
      <c r="D11722" s="19"/>
      <c r="E11722" s="57"/>
      <c r="H11722" s="18"/>
    </row>
    <row r="11723">
      <c r="C11723" s="18"/>
      <c r="D11723" s="19"/>
      <c r="E11723" s="57"/>
      <c r="H11723" s="18"/>
    </row>
    <row r="11724">
      <c r="C11724" s="18"/>
      <c r="D11724" s="19"/>
      <c r="E11724" s="57"/>
      <c r="H11724" s="18"/>
    </row>
    <row r="11725">
      <c r="C11725" s="18"/>
      <c r="D11725" s="19"/>
      <c r="E11725" s="57"/>
      <c r="H11725" s="18"/>
    </row>
    <row r="11726">
      <c r="C11726" s="18"/>
      <c r="D11726" s="19"/>
      <c r="E11726" s="57"/>
      <c r="H11726" s="18"/>
    </row>
    <row r="11727">
      <c r="C11727" s="18"/>
      <c r="D11727" s="19"/>
      <c r="E11727" s="57"/>
      <c r="H11727" s="18"/>
    </row>
    <row r="11728">
      <c r="C11728" s="18"/>
      <c r="D11728" s="19"/>
      <c r="E11728" s="57"/>
      <c r="H11728" s="18"/>
    </row>
    <row r="11729">
      <c r="C11729" s="18"/>
      <c r="D11729" s="19"/>
      <c r="E11729" s="57"/>
      <c r="H11729" s="18"/>
    </row>
    <row r="11730">
      <c r="C11730" s="18"/>
      <c r="D11730" s="19"/>
      <c r="E11730" s="57"/>
      <c r="H11730" s="18"/>
    </row>
    <row r="11731">
      <c r="C11731" s="18"/>
      <c r="D11731" s="19"/>
      <c r="E11731" s="57"/>
      <c r="H11731" s="18"/>
    </row>
    <row r="11732">
      <c r="C11732" s="18"/>
      <c r="D11732" s="19"/>
      <c r="E11732" s="57"/>
      <c r="H11732" s="18"/>
    </row>
    <row r="11733">
      <c r="C11733" s="18"/>
      <c r="D11733" s="19"/>
      <c r="E11733" s="57"/>
      <c r="H11733" s="18"/>
    </row>
    <row r="11734">
      <c r="C11734" s="18"/>
      <c r="D11734" s="19"/>
      <c r="E11734" s="57"/>
      <c r="H11734" s="18"/>
    </row>
    <row r="11735">
      <c r="C11735" s="18"/>
      <c r="D11735" s="19"/>
      <c r="E11735" s="57"/>
      <c r="H11735" s="18"/>
    </row>
    <row r="11736">
      <c r="C11736" s="18"/>
      <c r="D11736" s="19"/>
      <c r="E11736" s="57"/>
      <c r="H11736" s="18"/>
    </row>
    <row r="11737">
      <c r="C11737" s="18"/>
      <c r="D11737" s="19"/>
      <c r="E11737" s="57"/>
      <c r="H11737" s="18"/>
    </row>
    <row r="11738">
      <c r="C11738" s="18"/>
      <c r="D11738" s="19"/>
      <c r="E11738" s="57"/>
      <c r="H11738" s="18"/>
    </row>
    <row r="11739">
      <c r="C11739" s="18"/>
      <c r="D11739" s="19"/>
      <c r="E11739" s="57"/>
      <c r="H11739" s="18"/>
    </row>
    <row r="11740">
      <c r="C11740" s="18"/>
      <c r="D11740" s="19"/>
      <c r="E11740" s="57"/>
      <c r="H11740" s="18"/>
    </row>
    <row r="11741">
      <c r="C11741" s="18"/>
      <c r="D11741" s="19"/>
      <c r="E11741" s="57"/>
      <c r="H11741" s="18"/>
    </row>
    <row r="11742">
      <c r="C11742" s="18"/>
      <c r="D11742" s="19"/>
      <c r="E11742" s="57"/>
      <c r="H11742" s="18"/>
    </row>
    <row r="11743">
      <c r="C11743" s="18"/>
      <c r="D11743" s="19"/>
      <c r="E11743" s="57"/>
      <c r="H11743" s="18"/>
    </row>
    <row r="11744">
      <c r="C11744" s="18"/>
      <c r="D11744" s="19"/>
      <c r="E11744" s="57"/>
      <c r="H11744" s="18"/>
    </row>
    <row r="11745">
      <c r="C11745" s="18"/>
      <c r="D11745" s="19"/>
      <c r="E11745" s="57"/>
      <c r="H11745" s="18"/>
    </row>
    <row r="11746">
      <c r="C11746" s="18"/>
      <c r="D11746" s="19"/>
      <c r="E11746" s="57"/>
      <c r="H11746" s="18"/>
    </row>
    <row r="11747">
      <c r="C11747" s="18"/>
      <c r="D11747" s="19"/>
      <c r="E11747" s="57"/>
      <c r="H11747" s="18"/>
    </row>
    <row r="11748">
      <c r="C11748" s="18"/>
      <c r="D11748" s="19"/>
      <c r="E11748" s="57"/>
      <c r="H11748" s="18"/>
    </row>
    <row r="11749">
      <c r="C11749" s="18"/>
      <c r="D11749" s="19"/>
      <c r="E11749" s="57"/>
      <c r="H11749" s="18"/>
    </row>
    <row r="11750">
      <c r="C11750" s="18"/>
      <c r="D11750" s="19"/>
      <c r="E11750" s="57"/>
      <c r="H11750" s="18"/>
    </row>
    <row r="11751">
      <c r="C11751" s="18"/>
      <c r="D11751" s="19"/>
      <c r="E11751" s="57"/>
      <c r="H11751" s="18"/>
    </row>
    <row r="11752">
      <c r="C11752" s="18"/>
      <c r="D11752" s="19"/>
      <c r="E11752" s="57"/>
      <c r="H11752" s="18"/>
    </row>
    <row r="11753">
      <c r="C11753" s="18"/>
      <c r="D11753" s="19"/>
      <c r="E11753" s="57"/>
      <c r="H11753" s="18"/>
    </row>
    <row r="11754">
      <c r="C11754" s="18"/>
      <c r="D11754" s="19"/>
      <c r="E11754" s="57"/>
      <c r="H11754" s="18"/>
    </row>
    <row r="11755">
      <c r="C11755" s="18"/>
      <c r="D11755" s="19"/>
      <c r="E11755" s="57"/>
      <c r="H11755" s="18"/>
    </row>
    <row r="11756">
      <c r="C11756" s="18"/>
      <c r="D11756" s="19"/>
      <c r="E11756" s="57"/>
      <c r="H11756" s="18"/>
    </row>
    <row r="11757">
      <c r="C11757" s="18"/>
      <c r="D11757" s="19"/>
      <c r="E11757" s="57"/>
      <c r="H11757" s="18"/>
    </row>
    <row r="11758">
      <c r="C11758" s="18"/>
      <c r="D11758" s="19"/>
      <c r="E11758" s="57"/>
      <c r="H11758" s="18"/>
    </row>
    <row r="11759">
      <c r="C11759" s="18"/>
      <c r="D11759" s="19"/>
      <c r="E11759" s="57"/>
      <c r="H11759" s="18"/>
    </row>
    <row r="11760">
      <c r="C11760" s="18"/>
      <c r="D11760" s="19"/>
      <c r="E11760" s="57"/>
      <c r="H11760" s="18"/>
    </row>
    <row r="11761">
      <c r="C11761" s="18"/>
      <c r="D11761" s="19"/>
      <c r="E11761" s="57"/>
      <c r="H11761" s="18"/>
    </row>
    <row r="11762">
      <c r="C11762" s="18"/>
      <c r="D11762" s="19"/>
      <c r="E11762" s="57"/>
      <c r="H11762" s="18"/>
    </row>
    <row r="11763">
      <c r="C11763" s="18"/>
      <c r="D11763" s="19"/>
      <c r="E11763" s="57"/>
      <c r="H11763" s="18"/>
    </row>
    <row r="11764">
      <c r="C11764" s="18"/>
      <c r="D11764" s="19"/>
      <c r="E11764" s="57"/>
      <c r="H11764" s="18"/>
    </row>
    <row r="11765">
      <c r="C11765" s="18"/>
      <c r="D11765" s="19"/>
      <c r="E11765" s="57"/>
      <c r="H11765" s="18"/>
    </row>
    <row r="11766">
      <c r="C11766" s="18"/>
      <c r="D11766" s="19"/>
      <c r="E11766" s="57"/>
      <c r="H11766" s="18"/>
    </row>
    <row r="11767">
      <c r="C11767" s="18"/>
      <c r="D11767" s="19"/>
      <c r="E11767" s="57"/>
      <c r="H11767" s="18"/>
    </row>
    <row r="11768">
      <c r="C11768" s="18"/>
      <c r="D11768" s="19"/>
      <c r="E11768" s="57"/>
      <c r="H11768" s="18"/>
    </row>
    <row r="11769">
      <c r="C11769" s="18"/>
      <c r="D11769" s="19"/>
      <c r="E11769" s="57"/>
      <c r="H11769" s="18"/>
    </row>
    <row r="11770">
      <c r="C11770" s="18"/>
      <c r="D11770" s="19"/>
      <c r="E11770" s="57"/>
      <c r="H11770" s="18"/>
    </row>
    <row r="11771">
      <c r="C11771" s="18"/>
      <c r="D11771" s="19"/>
      <c r="E11771" s="57"/>
      <c r="H11771" s="18"/>
    </row>
    <row r="11772">
      <c r="C11772" s="18"/>
      <c r="D11772" s="19"/>
      <c r="E11772" s="57"/>
      <c r="H11772" s="18"/>
    </row>
    <row r="11773">
      <c r="C11773" s="18"/>
      <c r="D11773" s="19"/>
      <c r="E11773" s="57"/>
      <c r="H11773" s="18"/>
    </row>
    <row r="11774">
      <c r="C11774" s="18"/>
      <c r="D11774" s="19"/>
      <c r="E11774" s="57"/>
      <c r="H11774" s="18"/>
    </row>
    <row r="11775">
      <c r="C11775" s="18"/>
      <c r="D11775" s="19"/>
      <c r="E11775" s="57"/>
      <c r="H11775" s="18"/>
    </row>
    <row r="11776">
      <c r="C11776" s="18"/>
      <c r="D11776" s="19"/>
      <c r="E11776" s="57"/>
      <c r="H11776" s="18"/>
    </row>
    <row r="11777">
      <c r="C11777" s="18"/>
      <c r="D11777" s="19"/>
      <c r="E11777" s="57"/>
      <c r="H11777" s="18"/>
    </row>
    <row r="11778">
      <c r="C11778" s="18"/>
      <c r="D11778" s="19"/>
      <c r="E11778" s="57"/>
      <c r="H11778" s="18"/>
    </row>
    <row r="11779">
      <c r="C11779" s="18"/>
      <c r="D11779" s="19"/>
      <c r="E11779" s="57"/>
      <c r="H11779" s="18"/>
    </row>
    <row r="11780">
      <c r="C11780" s="18"/>
      <c r="D11780" s="19"/>
      <c r="E11780" s="57"/>
      <c r="H11780" s="18"/>
    </row>
    <row r="11781">
      <c r="C11781" s="18"/>
      <c r="D11781" s="19"/>
      <c r="E11781" s="57"/>
      <c r="H11781" s="18"/>
    </row>
    <row r="11782">
      <c r="C11782" s="18"/>
      <c r="D11782" s="19"/>
      <c r="E11782" s="57"/>
      <c r="H11782" s="18"/>
    </row>
    <row r="11783">
      <c r="C11783" s="18"/>
      <c r="D11783" s="19"/>
      <c r="E11783" s="57"/>
      <c r="H11783" s="18"/>
    </row>
    <row r="11784">
      <c r="C11784" s="18"/>
      <c r="D11784" s="19"/>
      <c r="E11784" s="57"/>
      <c r="H11784" s="18"/>
    </row>
    <row r="11785">
      <c r="C11785" s="18"/>
      <c r="D11785" s="19"/>
      <c r="E11785" s="57"/>
      <c r="H11785" s="18"/>
    </row>
    <row r="11786">
      <c r="C11786" s="18"/>
      <c r="D11786" s="19"/>
      <c r="E11786" s="57"/>
      <c r="H11786" s="18"/>
    </row>
    <row r="11787">
      <c r="C11787" s="18"/>
      <c r="D11787" s="19"/>
      <c r="E11787" s="57"/>
      <c r="H11787" s="18"/>
    </row>
    <row r="11788">
      <c r="C11788" s="18"/>
      <c r="D11788" s="19"/>
      <c r="E11788" s="57"/>
      <c r="H11788" s="18"/>
    </row>
    <row r="11789">
      <c r="C11789" s="18"/>
      <c r="D11789" s="19"/>
      <c r="E11789" s="57"/>
      <c r="H11789" s="18"/>
    </row>
    <row r="11790">
      <c r="C11790" s="18"/>
      <c r="D11790" s="19"/>
      <c r="E11790" s="57"/>
      <c r="H11790" s="18"/>
    </row>
    <row r="11791">
      <c r="C11791" s="18"/>
      <c r="D11791" s="19"/>
      <c r="E11791" s="57"/>
      <c r="H11791" s="18"/>
    </row>
    <row r="11792">
      <c r="C11792" s="18"/>
      <c r="D11792" s="19"/>
      <c r="E11792" s="57"/>
      <c r="H11792" s="18"/>
    </row>
    <row r="11793">
      <c r="C11793" s="18"/>
      <c r="D11793" s="19"/>
      <c r="E11793" s="57"/>
      <c r="H11793" s="18"/>
    </row>
    <row r="11794">
      <c r="C11794" s="18"/>
      <c r="D11794" s="19"/>
      <c r="E11794" s="57"/>
      <c r="H11794" s="18"/>
    </row>
    <row r="11795">
      <c r="C11795" s="18"/>
      <c r="D11795" s="19"/>
      <c r="E11795" s="57"/>
      <c r="H11795" s="18"/>
    </row>
    <row r="11796">
      <c r="C11796" s="18"/>
      <c r="D11796" s="19"/>
      <c r="E11796" s="57"/>
      <c r="H11796" s="18"/>
    </row>
    <row r="11797">
      <c r="C11797" s="18"/>
      <c r="D11797" s="19"/>
      <c r="E11797" s="57"/>
      <c r="H11797" s="18"/>
    </row>
    <row r="11798">
      <c r="C11798" s="18"/>
      <c r="D11798" s="19"/>
      <c r="E11798" s="57"/>
      <c r="H11798" s="18"/>
    </row>
    <row r="11799">
      <c r="C11799" s="18"/>
      <c r="D11799" s="19"/>
      <c r="E11799" s="57"/>
      <c r="H11799" s="18"/>
    </row>
    <row r="11800">
      <c r="C11800" s="18"/>
      <c r="D11800" s="19"/>
      <c r="E11800" s="57"/>
      <c r="H11800" s="18"/>
    </row>
    <row r="11801">
      <c r="C11801" s="18"/>
      <c r="D11801" s="19"/>
      <c r="E11801" s="57"/>
      <c r="H11801" s="18"/>
    </row>
    <row r="11802">
      <c r="C11802" s="18"/>
      <c r="D11802" s="19"/>
      <c r="E11802" s="57"/>
      <c r="H11802" s="18"/>
    </row>
    <row r="11803">
      <c r="C11803" s="18"/>
      <c r="D11803" s="19"/>
      <c r="E11803" s="57"/>
      <c r="H11803" s="18"/>
    </row>
    <row r="11804">
      <c r="C11804" s="18"/>
      <c r="D11804" s="19"/>
      <c r="E11804" s="57"/>
      <c r="H11804" s="18"/>
    </row>
    <row r="11805">
      <c r="C11805" s="18"/>
      <c r="D11805" s="19"/>
      <c r="E11805" s="57"/>
      <c r="H11805" s="18"/>
    </row>
    <row r="11806">
      <c r="C11806" s="18"/>
      <c r="D11806" s="19"/>
      <c r="E11806" s="57"/>
      <c r="H11806" s="18"/>
    </row>
    <row r="11807">
      <c r="C11807" s="18"/>
      <c r="D11807" s="19"/>
      <c r="E11807" s="57"/>
      <c r="H11807" s="18"/>
    </row>
    <row r="11808">
      <c r="C11808" s="18"/>
      <c r="D11808" s="19"/>
      <c r="E11808" s="57"/>
      <c r="H11808" s="18"/>
    </row>
    <row r="11809">
      <c r="C11809" s="18"/>
      <c r="D11809" s="19"/>
      <c r="E11809" s="57"/>
      <c r="H11809" s="18"/>
    </row>
    <row r="11810">
      <c r="C11810" s="18"/>
      <c r="D11810" s="19"/>
      <c r="E11810" s="57"/>
      <c r="H11810" s="18"/>
    </row>
    <row r="11811">
      <c r="C11811" s="18"/>
      <c r="D11811" s="19"/>
      <c r="E11811" s="57"/>
      <c r="H11811" s="18"/>
    </row>
    <row r="11812">
      <c r="C11812" s="18"/>
      <c r="D11812" s="19"/>
      <c r="E11812" s="57"/>
      <c r="H11812" s="18"/>
    </row>
    <row r="11813">
      <c r="C11813" s="18"/>
      <c r="D11813" s="19"/>
      <c r="E11813" s="57"/>
      <c r="H11813" s="18"/>
    </row>
    <row r="11814">
      <c r="C11814" s="18"/>
      <c r="D11814" s="19"/>
      <c r="E11814" s="57"/>
      <c r="H11814" s="18"/>
    </row>
    <row r="11815">
      <c r="C11815" s="18"/>
      <c r="D11815" s="19"/>
      <c r="E11815" s="57"/>
      <c r="H11815" s="18"/>
    </row>
    <row r="11816">
      <c r="C11816" s="18"/>
      <c r="D11816" s="19"/>
      <c r="E11816" s="57"/>
      <c r="H11816" s="18"/>
    </row>
    <row r="11817">
      <c r="C11817" s="18"/>
      <c r="D11817" s="19"/>
      <c r="E11817" s="57"/>
      <c r="H11817" s="18"/>
    </row>
    <row r="11818">
      <c r="C11818" s="18"/>
      <c r="D11818" s="19"/>
      <c r="E11818" s="57"/>
      <c r="H11818" s="18"/>
    </row>
    <row r="11819">
      <c r="C11819" s="18"/>
      <c r="D11819" s="19"/>
      <c r="E11819" s="57"/>
      <c r="H11819" s="18"/>
    </row>
    <row r="11820">
      <c r="C11820" s="18"/>
      <c r="D11820" s="19"/>
      <c r="E11820" s="57"/>
      <c r="H11820" s="18"/>
    </row>
    <row r="11821">
      <c r="C11821" s="18"/>
      <c r="D11821" s="19"/>
      <c r="E11821" s="57"/>
      <c r="H11821" s="18"/>
    </row>
    <row r="11822">
      <c r="C11822" s="18"/>
      <c r="D11822" s="19"/>
      <c r="E11822" s="57"/>
      <c r="H11822" s="18"/>
    </row>
    <row r="11823">
      <c r="C11823" s="18"/>
      <c r="D11823" s="19"/>
      <c r="E11823" s="57"/>
      <c r="H11823" s="18"/>
    </row>
    <row r="11824">
      <c r="C11824" s="18"/>
      <c r="D11824" s="19"/>
      <c r="E11824" s="57"/>
      <c r="H11824" s="18"/>
    </row>
    <row r="11825">
      <c r="C11825" s="18"/>
      <c r="D11825" s="19"/>
      <c r="E11825" s="57"/>
      <c r="H11825" s="18"/>
    </row>
    <row r="11826">
      <c r="C11826" s="18"/>
      <c r="D11826" s="19"/>
      <c r="E11826" s="57"/>
      <c r="H11826" s="18"/>
    </row>
    <row r="11827">
      <c r="C11827" s="18"/>
      <c r="D11827" s="19"/>
      <c r="E11827" s="57"/>
      <c r="H11827" s="18"/>
    </row>
    <row r="11828">
      <c r="C11828" s="18"/>
      <c r="D11828" s="19"/>
      <c r="E11828" s="57"/>
      <c r="H11828" s="18"/>
    </row>
    <row r="11829">
      <c r="C11829" s="18"/>
      <c r="D11829" s="19"/>
      <c r="E11829" s="57"/>
      <c r="H11829" s="18"/>
    </row>
    <row r="11830">
      <c r="C11830" s="18"/>
      <c r="D11830" s="19"/>
      <c r="E11830" s="57"/>
      <c r="H11830" s="18"/>
    </row>
    <row r="11831">
      <c r="C11831" s="18"/>
      <c r="D11831" s="19"/>
      <c r="E11831" s="57"/>
      <c r="H11831" s="18"/>
    </row>
    <row r="11832">
      <c r="C11832" s="18"/>
      <c r="D11832" s="19"/>
      <c r="E11832" s="57"/>
      <c r="H11832" s="18"/>
    </row>
    <row r="11833">
      <c r="C11833" s="18"/>
      <c r="D11833" s="19"/>
      <c r="E11833" s="57"/>
      <c r="H11833" s="18"/>
    </row>
    <row r="11834">
      <c r="C11834" s="18"/>
      <c r="D11834" s="19"/>
      <c r="E11834" s="57"/>
      <c r="H11834" s="18"/>
    </row>
    <row r="11835">
      <c r="C11835" s="18"/>
      <c r="D11835" s="19"/>
      <c r="E11835" s="57"/>
      <c r="H11835" s="18"/>
    </row>
    <row r="11836">
      <c r="C11836" s="18"/>
      <c r="D11836" s="19"/>
      <c r="E11836" s="57"/>
      <c r="H11836" s="18"/>
    </row>
    <row r="11837">
      <c r="C11837" s="18"/>
      <c r="D11837" s="19"/>
      <c r="E11837" s="57"/>
      <c r="H11837" s="18"/>
    </row>
    <row r="11838">
      <c r="C11838" s="18"/>
      <c r="D11838" s="19"/>
      <c r="E11838" s="57"/>
      <c r="H11838" s="18"/>
    </row>
    <row r="11839">
      <c r="C11839" s="18"/>
      <c r="D11839" s="19"/>
      <c r="E11839" s="57"/>
      <c r="H11839" s="18"/>
    </row>
    <row r="11840">
      <c r="C11840" s="18"/>
      <c r="D11840" s="19"/>
      <c r="E11840" s="57"/>
      <c r="H11840" s="18"/>
    </row>
    <row r="11841">
      <c r="C11841" s="18"/>
      <c r="D11841" s="19"/>
      <c r="E11841" s="57"/>
      <c r="H11841" s="18"/>
    </row>
    <row r="11842">
      <c r="C11842" s="18"/>
      <c r="D11842" s="19"/>
      <c r="E11842" s="57"/>
      <c r="H11842" s="18"/>
    </row>
    <row r="11843">
      <c r="C11843" s="18"/>
      <c r="D11843" s="19"/>
      <c r="E11843" s="57"/>
      <c r="H11843" s="18"/>
    </row>
    <row r="11844">
      <c r="C11844" s="18"/>
      <c r="D11844" s="19"/>
      <c r="E11844" s="57"/>
      <c r="H11844" s="18"/>
    </row>
    <row r="11845">
      <c r="C11845" s="18"/>
      <c r="D11845" s="19"/>
      <c r="E11845" s="57"/>
      <c r="H11845" s="18"/>
    </row>
    <row r="11846">
      <c r="C11846" s="18"/>
      <c r="D11846" s="19"/>
      <c r="E11846" s="57"/>
      <c r="H11846" s="18"/>
    </row>
    <row r="11847">
      <c r="C11847" s="18"/>
      <c r="D11847" s="19"/>
      <c r="E11847" s="57"/>
      <c r="H11847" s="18"/>
    </row>
    <row r="11848">
      <c r="C11848" s="18"/>
      <c r="D11848" s="19"/>
      <c r="E11848" s="57"/>
      <c r="H11848" s="18"/>
    </row>
    <row r="11849">
      <c r="C11849" s="18"/>
      <c r="D11849" s="19"/>
      <c r="E11849" s="57"/>
      <c r="H11849" s="18"/>
    </row>
    <row r="11850">
      <c r="C11850" s="18"/>
      <c r="D11850" s="19"/>
      <c r="E11850" s="57"/>
      <c r="H11850" s="18"/>
    </row>
    <row r="11851">
      <c r="C11851" s="18"/>
      <c r="D11851" s="19"/>
      <c r="E11851" s="57"/>
      <c r="H11851" s="18"/>
    </row>
    <row r="11852">
      <c r="C11852" s="18"/>
      <c r="D11852" s="19"/>
      <c r="E11852" s="57"/>
      <c r="H11852" s="18"/>
    </row>
    <row r="11853">
      <c r="C11853" s="18"/>
      <c r="D11853" s="19"/>
      <c r="E11853" s="57"/>
      <c r="H11853" s="18"/>
    </row>
    <row r="11854">
      <c r="C11854" s="18"/>
      <c r="D11854" s="19"/>
      <c r="E11854" s="57"/>
      <c r="H11854" s="18"/>
    </row>
    <row r="11855">
      <c r="C11855" s="18"/>
      <c r="D11855" s="19"/>
      <c r="E11855" s="57"/>
      <c r="H11855" s="18"/>
    </row>
    <row r="11856">
      <c r="C11856" s="18"/>
      <c r="D11856" s="19"/>
      <c r="E11856" s="57"/>
      <c r="H11856" s="18"/>
    </row>
    <row r="11857">
      <c r="C11857" s="18"/>
      <c r="D11857" s="19"/>
      <c r="E11857" s="57"/>
      <c r="H11857" s="18"/>
    </row>
    <row r="11858">
      <c r="C11858" s="18"/>
      <c r="D11858" s="19"/>
      <c r="E11858" s="57"/>
      <c r="H11858" s="18"/>
    </row>
    <row r="11859">
      <c r="C11859" s="18"/>
      <c r="D11859" s="19"/>
      <c r="E11859" s="57"/>
      <c r="H11859" s="18"/>
    </row>
    <row r="11860">
      <c r="C11860" s="18"/>
      <c r="D11860" s="19"/>
      <c r="E11860" s="57"/>
      <c r="H11860" s="18"/>
    </row>
    <row r="11861">
      <c r="C11861" s="18"/>
      <c r="D11861" s="19"/>
      <c r="E11861" s="57"/>
      <c r="H11861" s="18"/>
    </row>
    <row r="11862">
      <c r="C11862" s="18"/>
      <c r="D11862" s="19"/>
      <c r="E11862" s="57"/>
      <c r="H11862" s="18"/>
    </row>
    <row r="11863">
      <c r="C11863" s="18"/>
      <c r="D11863" s="19"/>
      <c r="E11863" s="57"/>
      <c r="H11863" s="18"/>
    </row>
    <row r="11864">
      <c r="C11864" s="18"/>
      <c r="D11864" s="19"/>
      <c r="E11864" s="57"/>
      <c r="H11864" s="18"/>
    </row>
    <row r="11865">
      <c r="C11865" s="18"/>
      <c r="D11865" s="19"/>
      <c r="E11865" s="57"/>
      <c r="H11865" s="18"/>
    </row>
    <row r="11866">
      <c r="C11866" s="18"/>
      <c r="D11866" s="19"/>
      <c r="E11866" s="57"/>
      <c r="H11866" s="18"/>
    </row>
    <row r="11867">
      <c r="C11867" s="18"/>
      <c r="D11867" s="19"/>
      <c r="E11867" s="57"/>
      <c r="H11867" s="18"/>
    </row>
    <row r="11868">
      <c r="C11868" s="18"/>
      <c r="D11868" s="19"/>
      <c r="E11868" s="57"/>
      <c r="H11868" s="18"/>
    </row>
    <row r="11869">
      <c r="C11869" s="18"/>
      <c r="D11869" s="19"/>
      <c r="E11869" s="57"/>
      <c r="H11869" s="18"/>
    </row>
    <row r="11870">
      <c r="C11870" s="18"/>
      <c r="D11870" s="19"/>
      <c r="E11870" s="57"/>
      <c r="H11870" s="18"/>
    </row>
    <row r="11871">
      <c r="C11871" s="18"/>
      <c r="D11871" s="19"/>
      <c r="E11871" s="57"/>
      <c r="H11871" s="18"/>
    </row>
    <row r="11872">
      <c r="C11872" s="18"/>
      <c r="D11872" s="19"/>
      <c r="E11872" s="57"/>
      <c r="H11872" s="18"/>
    </row>
    <row r="11873">
      <c r="C11873" s="18"/>
      <c r="D11873" s="19"/>
      <c r="E11873" s="57"/>
      <c r="H11873" s="18"/>
    </row>
    <row r="11874">
      <c r="C11874" s="18"/>
      <c r="D11874" s="19"/>
      <c r="E11874" s="57"/>
      <c r="H11874" s="18"/>
    </row>
    <row r="11875">
      <c r="C11875" s="18"/>
      <c r="D11875" s="19"/>
      <c r="E11875" s="57"/>
      <c r="H11875" s="18"/>
    </row>
    <row r="11876">
      <c r="C11876" s="18"/>
      <c r="D11876" s="19"/>
      <c r="E11876" s="57"/>
      <c r="H11876" s="18"/>
    </row>
    <row r="11877">
      <c r="C11877" s="18"/>
      <c r="D11877" s="19"/>
      <c r="E11877" s="57"/>
      <c r="H11877" s="18"/>
    </row>
    <row r="11878">
      <c r="C11878" s="18"/>
      <c r="D11878" s="19"/>
      <c r="E11878" s="57"/>
      <c r="H11878" s="18"/>
    </row>
    <row r="11879">
      <c r="C11879" s="18"/>
      <c r="D11879" s="19"/>
      <c r="E11879" s="57"/>
      <c r="H11879" s="18"/>
    </row>
    <row r="11880">
      <c r="C11880" s="18"/>
      <c r="D11880" s="19"/>
      <c r="E11880" s="57"/>
      <c r="H11880" s="18"/>
    </row>
    <row r="11881">
      <c r="C11881" s="18"/>
      <c r="D11881" s="19"/>
      <c r="E11881" s="57"/>
      <c r="H11881" s="18"/>
    </row>
    <row r="11882">
      <c r="C11882" s="18"/>
      <c r="D11882" s="19"/>
      <c r="E11882" s="57"/>
      <c r="H11882" s="18"/>
    </row>
    <row r="11883">
      <c r="C11883" s="18"/>
      <c r="D11883" s="19"/>
      <c r="E11883" s="57"/>
      <c r="H11883" s="18"/>
    </row>
    <row r="11884">
      <c r="C11884" s="18"/>
      <c r="D11884" s="19"/>
      <c r="E11884" s="57"/>
      <c r="H11884" s="18"/>
    </row>
    <row r="11885">
      <c r="C11885" s="18"/>
      <c r="D11885" s="19"/>
      <c r="E11885" s="57"/>
      <c r="H11885" s="18"/>
    </row>
    <row r="11886">
      <c r="C11886" s="18"/>
      <c r="D11886" s="19"/>
      <c r="E11886" s="57"/>
      <c r="H11886" s="18"/>
    </row>
    <row r="11887">
      <c r="C11887" s="18"/>
      <c r="D11887" s="19"/>
      <c r="E11887" s="57"/>
      <c r="H11887" s="18"/>
    </row>
    <row r="11888">
      <c r="C11888" s="18"/>
      <c r="D11888" s="19"/>
      <c r="E11888" s="57"/>
      <c r="H11888" s="18"/>
    </row>
    <row r="11889">
      <c r="C11889" s="18"/>
      <c r="D11889" s="19"/>
      <c r="E11889" s="57"/>
      <c r="H11889" s="18"/>
    </row>
    <row r="11890">
      <c r="C11890" s="18"/>
      <c r="D11890" s="19"/>
      <c r="E11890" s="57"/>
      <c r="H11890" s="18"/>
    </row>
    <row r="11891">
      <c r="C11891" s="18"/>
      <c r="D11891" s="19"/>
      <c r="E11891" s="57"/>
      <c r="H11891" s="18"/>
    </row>
    <row r="11892">
      <c r="C11892" s="18"/>
      <c r="D11892" s="19"/>
      <c r="E11892" s="57"/>
      <c r="H11892" s="18"/>
    </row>
    <row r="11893">
      <c r="C11893" s="18"/>
      <c r="D11893" s="19"/>
      <c r="E11893" s="57"/>
      <c r="H11893" s="18"/>
    </row>
    <row r="11894">
      <c r="C11894" s="18"/>
      <c r="D11894" s="19"/>
      <c r="E11894" s="57"/>
      <c r="H11894" s="18"/>
    </row>
    <row r="11895">
      <c r="C11895" s="18"/>
      <c r="D11895" s="19"/>
      <c r="E11895" s="57"/>
      <c r="H11895" s="18"/>
    </row>
    <row r="11896">
      <c r="C11896" s="18"/>
      <c r="D11896" s="19"/>
      <c r="E11896" s="57"/>
      <c r="H11896" s="18"/>
    </row>
    <row r="11897">
      <c r="C11897" s="18"/>
      <c r="D11897" s="19"/>
      <c r="E11897" s="57"/>
      <c r="H11897" s="18"/>
    </row>
    <row r="11898">
      <c r="C11898" s="18"/>
      <c r="D11898" s="19"/>
      <c r="E11898" s="57"/>
      <c r="H11898" s="18"/>
    </row>
    <row r="11899">
      <c r="C11899" s="18"/>
      <c r="D11899" s="19"/>
      <c r="E11899" s="57"/>
      <c r="H11899" s="18"/>
    </row>
    <row r="11900">
      <c r="C11900" s="18"/>
      <c r="D11900" s="19"/>
      <c r="E11900" s="57"/>
      <c r="H11900" s="18"/>
    </row>
    <row r="11901">
      <c r="C11901" s="18"/>
      <c r="D11901" s="19"/>
      <c r="E11901" s="57"/>
      <c r="H11901" s="18"/>
    </row>
    <row r="11902">
      <c r="C11902" s="18"/>
      <c r="D11902" s="19"/>
      <c r="E11902" s="57"/>
      <c r="H11902" s="18"/>
    </row>
    <row r="11903">
      <c r="C11903" s="18"/>
      <c r="D11903" s="19"/>
      <c r="E11903" s="57"/>
      <c r="H11903" s="18"/>
    </row>
    <row r="11904">
      <c r="C11904" s="18"/>
      <c r="D11904" s="19"/>
      <c r="E11904" s="57"/>
      <c r="H11904" s="18"/>
    </row>
    <row r="11905">
      <c r="C11905" s="18"/>
      <c r="D11905" s="19"/>
      <c r="E11905" s="57"/>
      <c r="H11905" s="18"/>
    </row>
    <row r="11906">
      <c r="C11906" s="18"/>
      <c r="D11906" s="19"/>
      <c r="E11906" s="57"/>
      <c r="H11906" s="18"/>
    </row>
    <row r="11907">
      <c r="C11907" s="18"/>
      <c r="D11907" s="19"/>
      <c r="E11907" s="57"/>
      <c r="H11907" s="18"/>
    </row>
    <row r="11908">
      <c r="C11908" s="18"/>
      <c r="D11908" s="19"/>
      <c r="E11908" s="57"/>
      <c r="H11908" s="18"/>
    </row>
    <row r="11909">
      <c r="C11909" s="18"/>
      <c r="D11909" s="19"/>
      <c r="E11909" s="57"/>
      <c r="H11909" s="18"/>
    </row>
    <row r="11910">
      <c r="C11910" s="18"/>
      <c r="D11910" s="19"/>
      <c r="E11910" s="57"/>
      <c r="H11910" s="18"/>
    </row>
    <row r="11911">
      <c r="C11911" s="18"/>
      <c r="D11911" s="19"/>
      <c r="E11911" s="57"/>
      <c r="H11911" s="18"/>
    </row>
    <row r="11912">
      <c r="C11912" s="18"/>
      <c r="D11912" s="19"/>
      <c r="E11912" s="57"/>
      <c r="H11912" s="18"/>
    </row>
    <row r="11913">
      <c r="C11913" s="18"/>
      <c r="D11913" s="19"/>
      <c r="E11913" s="57"/>
      <c r="H11913" s="18"/>
    </row>
    <row r="11914">
      <c r="C11914" s="18"/>
      <c r="D11914" s="19"/>
      <c r="E11914" s="57"/>
      <c r="H11914" s="18"/>
    </row>
    <row r="11915">
      <c r="C11915" s="18"/>
      <c r="D11915" s="19"/>
      <c r="E11915" s="57"/>
      <c r="H11915" s="18"/>
    </row>
    <row r="11916">
      <c r="C11916" s="18"/>
      <c r="D11916" s="19"/>
      <c r="E11916" s="57"/>
      <c r="H11916" s="18"/>
    </row>
    <row r="11917">
      <c r="C11917" s="18"/>
      <c r="D11917" s="19"/>
      <c r="E11917" s="57"/>
      <c r="H11917" s="18"/>
    </row>
    <row r="11918">
      <c r="C11918" s="18"/>
      <c r="D11918" s="19"/>
      <c r="E11918" s="57"/>
      <c r="H11918" s="18"/>
    </row>
    <row r="11919">
      <c r="C11919" s="18"/>
      <c r="D11919" s="19"/>
      <c r="E11919" s="57"/>
      <c r="H11919" s="18"/>
    </row>
    <row r="11920">
      <c r="C11920" s="18"/>
      <c r="D11920" s="19"/>
      <c r="E11920" s="57"/>
      <c r="H11920" s="18"/>
    </row>
    <row r="11921">
      <c r="C11921" s="18"/>
      <c r="D11921" s="19"/>
      <c r="E11921" s="57"/>
      <c r="H11921" s="18"/>
    </row>
    <row r="11922">
      <c r="C11922" s="18"/>
      <c r="D11922" s="19"/>
      <c r="E11922" s="57"/>
      <c r="H11922" s="18"/>
    </row>
    <row r="11923">
      <c r="C11923" s="18"/>
      <c r="D11923" s="19"/>
      <c r="E11923" s="57"/>
      <c r="H11923" s="18"/>
    </row>
    <row r="11924">
      <c r="C11924" s="18"/>
      <c r="D11924" s="19"/>
      <c r="E11924" s="57"/>
      <c r="H11924" s="18"/>
    </row>
    <row r="11925">
      <c r="C11925" s="18"/>
      <c r="D11925" s="19"/>
      <c r="E11925" s="57"/>
      <c r="H11925" s="18"/>
    </row>
    <row r="11926">
      <c r="C11926" s="18"/>
      <c r="D11926" s="19"/>
      <c r="E11926" s="57"/>
      <c r="H11926" s="18"/>
    </row>
    <row r="11927">
      <c r="C11927" s="18"/>
      <c r="D11927" s="19"/>
      <c r="E11927" s="57"/>
      <c r="H11927" s="18"/>
    </row>
    <row r="11928">
      <c r="C11928" s="18"/>
      <c r="D11928" s="19"/>
      <c r="E11928" s="57"/>
      <c r="H11928" s="18"/>
    </row>
    <row r="11929">
      <c r="C11929" s="18"/>
      <c r="D11929" s="19"/>
      <c r="E11929" s="57"/>
      <c r="H11929" s="18"/>
    </row>
    <row r="11930">
      <c r="C11930" s="18"/>
      <c r="D11930" s="19"/>
      <c r="E11930" s="57"/>
      <c r="H11930" s="18"/>
    </row>
    <row r="11931">
      <c r="C11931" s="18"/>
      <c r="D11931" s="19"/>
      <c r="E11931" s="57"/>
      <c r="H11931" s="18"/>
    </row>
    <row r="11932">
      <c r="C11932" s="18"/>
      <c r="D11932" s="19"/>
      <c r="E11932" s="57"/>
      <c r="H11932" s="18"/>
    </row>
    <row r="11933">
      <c r="C11933" s="18"/>
      <c r="D11933" s="19"/>
      <c r="E11933" s="57"/>
      <c r="H11933" s="18"/>
    </row>
    <row r="11934">
      <c r="C11934" s="18"/>
      <c r="D11934" s="19"/>
      <c r="E11934" s="57"/>
      <c r="H11934" s="18"/>
    </row>
    <row r="11935">
      <c r="C11935" s="18"/>
      <c r="D11935" s="19"/>
      <c r="E11935" s="57"/>
      <c r="H11935" s="18"/>
    </row>
    <row r="11936">
      <c r="C11936" s="18"/>
      <c r="D11936" s="19"/>
      <c r="E11936" s="57"/>
      <c r="H11936" s="18"/>
    </row>
    <row r="11937">
      <c r="C11937" s="18"/>
      <c r="D11937" s="19"/>
      <c r="E11937" s="57"/>
      <c r="H11937" s="18"/>
    </row>
    <row r="11938">
      <c r="C11938" s="18"/>
      <c r="D11938" s="19"/>
      <c r="E11938" s="57"/>
      <c r="H11938" s="18"/>
    </row>
    <row r="11939">
      <c r="C11939" s="18"/>
      <c r="D11939" s="19"/>
      <c r="E11939" s="57"/>
      <c r="H11939" s="18"/>
    </row>
    <row r="11940">
      <c r="C11940" s="18"/>
      <c r="D11940" s="19"/>
      <c r="E11940" s="57"/>
      <c r="H11940" s="18"/>
    </row>
    <row r="11941">
      <c r="C11941" s="18"/>
      <c r="D11941" s="19"/>
      <c r="E11941" s="57"/>
      <c r="H11941" s="18"/>
    </row>
    <row r="11942">
      <c r="C11942" s="18"/>
      <c r="D11942" s="19"/>
      <c r="E11942" s="57"/>
      <c r="H11942" s="18"/>
    </row>
    <row r="11943">
      <c r="C11943" s="18"/>
      <c r="D11943" s="19"/>
      <c r="E11943" s="57"/>
      <c r="H11943" s="18"/>
    </row>
    <row r="11944">
      <c r="C11944" s="18"/>
      <c r="D11944" s="19"/>
      <c r="E11944" s="57"/>
      <c r="H11944" s="18"/>
    </row>
    <row r="11945">
      <c r="C11945" s="18"/>
      <c r="D11945" s="19"/>
      <c r="E11945" s="57"/>
      <c r="H11945" s="18"/>
    </row>
    <row r="11946">
      <c r="C11946" s="18"/>
      <c r="D11946" s="19"/>
      <c r="E11946" s="57"/>
      <c r="H11946" s="18"/>
    </row>
    <row r="11947">
      <c r="C11947" s="18"/>
      <c r="D11947" s="19"/>
      <c r="E11947" s="57"/>
      <c r="H11947" s="18"/>
    </row>
    <row r="11948">
      <c r="C11948" s="18"/>
      <c r="D11948" s="19"/>
      <c r="E11948" s="57"/>
      <c r="H11948" s="18"/>
    </row>
    <row r="11949">
      <c r="C11949" s="18"/>
      <c r="D11949" s="19"/>
      <c r="E11949" s="57"/>
      <c r="H11949" s="18"/>
    </row>
    <row r="11950">
      <c r="C11950" s="18"/>
      <c r="D11950" s="19"/>
      <c r="E11950" s="57"/>
      <c r="H11950" s="18"/>
    </row>
    <row r="11951">
      <c r="C11951" s="18"/>
      <c r="D11951" s="19"/>
      <c r="E11951" s="57"/>
      <c r="H11951" s="18"/>
    </row>
    <row r="11952">
      <c r="C11952" s="18"/>
      <c r="D11952" s="19"/>
      <c r="E11952" s="57"/>
      <c r="H11952" s="18"/>
    </row>
    <row r="11953">
      <c r="C11953" s="18"/>
      <c r="D11953" s="19"/>
      <c r="E11953" s="57"/>
      <c r="H11953" s="18"/>
    </row>
    <row r="11954">
      <c r="C11954" s="18"/>
      <c r="D11954" s="19"/>
      <c r="E11954" s="57"/>
      <c r="H11954" s="18"/>
    </row>
    <row r="11955">
      <c r="C11955" s="18"/>
      <c r="D11955" s="19"/>
      <c r="E11955" s="57"/>
      <c r="H11955" s="18"/>
    </row>
    <row r="11956">
      <c r="C11956" s="18"/>
      <c r="D11956" s="19"/>
      <c r="E11956" s="57"/>
      <c r="H11956" s="18"/>
    </row>
    <row r="11957">
      <c r="C11957" s="18"/>
      <c r="D11957" s="19"/>
      <c r="E11957" s="57"/>
      <c r="H11957" s="18"/>
    </row>
    <row r="11958">
      <c r="C11958" s="18"/>
      <c r="D11958" s="19"/>
      <c r="E11958" s="57"/>
      <c r="H11958" s="18"/>
    </row>
    <row r="11959">
      <c r="C11959" s="18"/>
      <c r="D11959" s="19"/>
      <c r="E11959" s="57"/>
      <c r="H11959" s="18"/>
    </row>
    <row r="11960">
      <c r="C11960" s="18"/>
      <c r="D11960" s="19"/>
      <c r="E11960" s="57"/>
      <c r="H11960" s="18"/>
    </row>
    <row r="11961">
      <c r="C11961" s="18"/>
      <c r="D11961" s="19"/>
      <c r="E11961" s="57"/>
      <c r="H11961" s="18"/>
    </row>
    <row r="11962">
      <c r="C11962" s="18"/>
      <c r="D11962" s="19"/>
      <c r="E11962" s="57"/>
      <c r="H11962" s="18"/>
    </row>
    <row r="11963">
      <c r="C11963" s="18"/>
      <c r="D11963" s="19"/>
      <c r="E11963" s="57"/>
      <c r="H11963" s="18"/>
    </row>
    <row r="11964">
      <c r="C11964" s="18"/>
      <c r="D11964" s="19"/>
      <c r="E11964" s="57"/>
      <c r="H11964" s="18"/>
    </row>
    <row r="11965">
      <c r="C11965" s="18"/>
      <c r="D11965" s="19"/>
      <c r="E11965" s="57"/>
      <c r="H11965" s="18"/>
    </row>
    <row r="11966">
      <c r="C11966" s="18"/>
      <c r="D11966" s="19"/>
      <c r="E11966" s="57"/>
      <c r="H11966" s="18"/>
    </row>
    <row r="11967">
      <c r="C11967" s="18"/>
      <c r="D11967" s="19"/>
      <c r="E11967" s="57"/>
      <c r="H11967" s="18"/>
    </row>
    <row r="11968">
      <c r="C11968" s="18"/>
      <c r="D11968" s="19"/>
      <c r="E11968" s="57"/>
      <c r="H11968" s="18"/>
    </row>
    <row r="11969">
      <c r="C11969" s="18"/>
      <c r="D11969" s="19"/>
      <c r="E11969" s="57"/>
      <c r="H11969" s="18"/>
    </row>
    <row r="11970">
      <c r="C11970" s="18"/>
      <c r="D11970" s="19"/>
      <c r="E11970" s="57"/>
      <c r="H11970" s="18"/>
    </row>
    <row r="11971">
      <c r="C11971" s="18"/>
      <c r="D11971" s="19"/>
      <c r="E11971" s="57"/>
      <c r="H11971" s="18"/>
    </row>
    <row r="11972">
      <c r="C11972" s="18"/>
      <c r="D11972" s="19"/>
      <c r="E11972" s="57"/>
      <c r="H11972" s="18"/>
    </row>
    <row r="11973">
      <c r="C11973" s="18"/>
      <c r="D11973" s="19"/>
      <c r="E11973" s="57"/>
      <c r="H11973" s="18"/>
    </row>
    <row r="11974">
      <c r="C11974" s="18"/>
      <c r="D11974" s="19"/>
      <c r="E11974" s="57"/>
      <c r="H11974" s="18"/>
    </row>
    <row r="11975">
      <c r="C11975" s="18"/>
      <c r="D11975" s="19"/>
      <c r="E11975" s="57"/>
      <c r="H11975" s="18"/>
    </row>
    <row r="11976">
      <c r="C11976" s="18"/>
      <c r="D11976" s="19"/>
      <c r="E11976" s="57"/>
      <c r="H11976" s="18"/>
    </row>
    <row r="11977">
      <c r="C11977" s="18"/>
      <c r="D11977" s="19"/>
      <c r="E11977" s="57"/>
      <c r="H11977" s="18"/>
    </row>
    <row r="11978">
      <c r="C11978" s="18"/>
      <c r="D11978" s="19"/>
      <c r="E11978" s="57"/>
      <c r="H11978" s="18"/>
    </row>
    <row r="11979">
      <c r="C11979" s="18"/>
      <c r="D11979" s="19"/>
      <c r="E11979" s="57"/>
      <c r="H11979" s="18"/>
    </row>
    <row r="11980">
      <c r="C11980" s="18"/>
      <c r="D11980" s="19"/>
      <c r="E11980" s="57"/>
      <c r="H11980" s="18"/>
    </row>
    <row r="11981">
      <c r="C11981" s="18"/>
      <c r="D11981" s="19"/>
      <c r="E11981" s="57"/>
      <c r="H11981" s="18"/>
    </row>
    <row r="11982">
      <c r="C11982" s="18"/>
      <c r="D11982" s="19"/>
      <c r="E11982" s="57"/>
      <c r="H11982" s="18"/>
    </row>
    <row r="11983">
      <c r="C11983" s="18"/>
      <c r="D11983" s="19"/>
      <c r="E11983" s="57"/>
      <c r="H11983" s="18"/>
    </row>
    <row r="11984">
      <c r="C11984" s="18"/>
      <c r="D11984" s="19"/>
      <c r="E11984" s="57"/>
      <c r="H11984" s="18"/>
    </row>
    <row r="11985">
      <c r="C11985" s="18"/>
      <c r="D11985" s="19"/>
      <c r="E11985" s="57"/>
      <c r="H11985" s="18"/>
    </row>
    <row r="11986">
      <c r="C11986" s="18"/>
      <c r="D11986" s="19"/>
      <c r="E11986" s="57"/>
      <c r="H11986" s="18"/>
    </row>
    <row r="11987">
      <c r="C11987" s="18"/>
      <c r="D11987" s="19"/>
      <c r="E11987" s="57"/>
      <c r="H11987" s="18"/>
    </row>
    <row r="11988">
      <c r="C11988" s="18"/>
      <c r="D11988" s="19"/>
      <c r="E11988" s="57"/>
      <c r="H11988" s="18"/>
    </row>
    <row r="11989">
      <c r="C11989" s="18"/>
      <c r="D11989" s="19"/>
      <c r="E11989" s="57"/>
      <c r="H11989" s="18"/>
    </row>
    <row r="11990">
      <c r="C11990" s="18"/>
      <c r="D11990" s="19"/>
      <c r="E11990" s="57"/>
      <c r="H11990" s="18"/>
    </row>
    <row r="11991">
      <c r="C11991" s="18"/>
      <c r="D11991" s="19"/>
      <c r="E11991" s="57"/>
      <c r="H11991" s="18"/>
    </row>
    <row r="11992">
      <c r="C11992" s="18"/>
      <c r="D11992" s="19"/>
      <c r="E11992" s="57"/>
      <c r="H11992" s="18"/>
    </row>
    <row r="11993">
      <c r="C11993" s="18"/>
      <c r="D11993" s="19"/>
      <c r="E11993" s="57"/>
      <c r="H11993" s="18"/>
    </row>
    <row r="11994">
      <c r="C11994" s="18"/>
      <c r="D11994" s="19"/>
      <c r="E11994" s="57"/>
      <c r="H11994" s="18"/>
    </row>
    <row r="11995">
      <c r="C11995" s="18"/>
      <c r="D11995" s="19"/>
      <c r="E11995" s="57"/>
      <c r="H11995" s="18"/>
    </row>
    <row r="11996">
      <c r="C11996" s="18"/>
      <c r="D11996" s="19"/>
      <c r="E11996" s="57"/>
      <c r="H11996" s="18"/>
    </row>
    <row r="11997">
      <c r="C11997" s="18"/>
      <c r="D11997" s="19"/>
      <c r="E11997" s="57"/>
      <c r="H11997" s="18"/>
    </row>
    <row r="11998">
      <c r="C11998" s="18"/>
      <c r="D11998" s="19"/>
      <c r="E11998" s="57"/>
      <c r="H11998" s="18"/>
    </row>
    <row r="11999">
      <c r="C11999" s="18"/>
      <c r="D11999" s="19"/>
      <c r="E11999" s="57"/>
      <c r="H11999" s="18"/>
    </row>
    <row r="12000">
      <c r="C12000" s="18"/>
      <c r="D12000" s="19"/>
      <c r="E12000" s="57"/>
      <c r="H12000" s="18"/>
    </row>
    <row r="12001">
      <c r="C12001" s="18"/>
      <c r="D12001" s="19"/>
      <c r="E12001" s="57"/>
      <c r="H12001" s="18"/>
    </row>
    <row r="12002">
      <c r="C12002" s="18"/>
      <c r="D12002" s="19"/>
      <c r="E12002" s="57"/>
      <c r="H12002" s="18"/>
    </row>
    <row r="12003">
      <c r="C12003" s="18"/>
      <c r="D12003" s="19"/>
      <c r="E12003" s="57"/>
      <c r="H12003" s="18"/>
    </row>
    <row r="12004">
      <c r="C12004" s="18"/>
      <c r="D12004" s="19"/>
      <c r="E12004" s="57"/>
      <c r="H12004" s="18"/>
    </row>
    <row r="12005">
      <c r="C12005" s="18"/>
      <c r="D12005" s="19"/>
      <c r="E12005" s="57"/>
      <c r="H12005" s="18"/>
    </row>
    <row r="12006">
      <c r="C12006" s="18"/>
      <c r="D12006" s="19"/>
      <c r="E12006" s="57"/>
      <c r="H12006" s="18"/>
    </row>
    <row r="12007">
      <c r="C12007" s="18"/>
      <c r="D12007" s="19"/>
      <c r="E12007" s="57"/>
      <c r="H12007" s="18"/>
    </row>
    <row r="12008">
      <c r="C12008" s="18"/>
      <c r="D12008" s="19"/>
      <c r="E12008" s="57"/>
      <c r="H12008" s="18"/>
    </row>
    <row r="12009">
      <c r="C12009" s="18"/>
      <c r="D12009" s="19"/>
      <c r="E12009" s="57"/>
      <c r="H12009" s="18"/>
    </row>
    <row r="12010">
      <c r="C12010" s="18"/>
      <c r="D12010" s="19"/>
      <c r="E12010" s="57"/>
      <c r="H12010" s="18"/>
    </row>
    <row r="12011">
      <c r="C12011" s="18"/>
      <c r="D12011" s="19"/>
      <c r="E12011" s="57"/>
      <c r="H12011" s="18"/>
    </row>
    <row r="12012">
      <c r="C12012" s="18"/>
      <c r="D12012" s="19"/>
      <c r="E12012" s="57"/>
      <c r="H12012" s="18"/>
    </row>
    <row r="12013">
      <c r="C12013" s="18"/>
      <c r="D12013" s="19"/>
      <c r="E12013" s="57"/>
      <c r="H12013" s="18"/>
    </row>
    <row r="12014">
      <c r="C12014" s="18"/>
      <c r="D12014" s="19"/>
      <c r="E12014" s="57"/>
      <c r="H12014" s="18"/>
    </row>
    <row r="12015">
      <c r="C12015" s="18"/>
      <c r="D12015" s="19"/>
      <c r="E12015" s="57"/>
      <c r="H12015" s="18"/>
    </row>
    <row r="12016">
      <c r="C12016" s="18"/>
      <c r="D12016" s="19"/>
      <c r="E12016" s="57"/>
      <c r="H12016" s="18"/>
    </row>
    <row r="12017">
      <c r="C12017" s="18"/>
      <c r="D12017" s="19"/>
      <c r="E12017" s="57"/>
      <c r="H12017" s="18"/>
    </row>
    <row r="12018">
      <c r="C12018" s="18"/>
      <c r="D12018" s="19"/>
      <c r="E12018" s="57"/>
      <c r="H12018" s="18"/>
    </row>
    <row r="12019">
      <c r="C12019" s="18"/>
      <c r="D12019" s="19"/>
      <c r="E12019" s="57"/>
      <c r="H12019" s="18"/>
    </row>
    <row r="12020">
      <c r="C12020" s="18"/>
      <c r="D12020" s="19"/>
      <c r="E12020" s="57"/>
      <c r="H12020" s="18"/>
    </row>
    <row r="12021">
      <c r="C12021" s="18"/>
      <c r="D12021" s="19"/>
      <c r="E12021" s="57"/>
      <c r="H12021" s="18"/>
    </row>
    <row r="12022">
      <c r="C12022" s="18"/>
      <c r="D12022" s="19"/>
      <c r="E12022" s="57"/>
      <c r="H12022" s="18"/>
    </row>
    <row r="12023">
      <c r="C12023" s="18"/>
      <c r="D12023" s="19"/>
      <c r="E12023" s="57"/>
      <c r="H12023" s="18"/>
    </row>
    <row r="12024">
      <c r="C12024" s="18"/>
      <c r="D12024" s="19"/>
      <c r="E12024" s="57"/>
      <c r="H12024" s="18"/>
    </row>
    <row r="12025">
      <c r="C12025" s="18"/>
      <c r="D12025" s="19"/>
      <c r="E12025" s="57"/>
      <c r="H12025" s="18"/>
    </row>
    <row r="12026">
      <c r="C12026" s="18"/>
      <c r="D12026" s="19"/>
      <c r="E12026" s="57"/>
      <c r="H12026" s="18"/>
    </row>
    <row r="12027">
      <c r="C12027" s="18"/>
      <c r="D12027" s="19"/>
      <c r="E12027" s="57"/>
      <c r="H12027" s="18"/>
    </row>
    <row r="12028">
      <c r="C12028" s="18"/>
      <c r="D12028" s="19"/>
      <c r="E12028" s="57"/>
      <c r="H12028" s="18"/>
    </row>
    <row r="12029">
      <c r="C12029" s="18"/>
      <c r="D12029" s="19"/>
      <c r="E12029" s="57"/>
      <c r="H12029" s="18"/>
    </row>
    <row r="12030">
      <c r="C12030" s="18"/>
      <c r="D12030" s="19"/>
      <c r="E12030" s="57"/>
      <c r="H12030" s="18"/>
    </row>
    <row r="12031">
      <c r="C12031" s="18"/>
      <c r="D12031" s="19"/>
      <c r="E12031" s="57"/>
      <c r="H12031" s="18"/>
    </row>
    <row r="12032">
      <c r="C12032" s="18"/>
      <c r="D12032" s="19"/>
      <c r="E12032" s="57"/>
      <c r="H12032" s="18"/>
    </row>
    <row r="12033">
      <c r="C12033" s="18"/>
      <c r="D12033" s="19"/>
      <c r="E12033" s="57"/>
      <c r="H12033" s="18"/>
    </row>
    <row r="12034">
      <c r="C12034" s="18"/>
      <c r="D12034" s="19"/>
      <c r="E12034" s="57"/>
      <c r="H12034" s="18"/>
    </row>
    <row r="12035">
      <c r="C12035" s="18"/>
      <c r="D12035" s="19"/>
      <c r="E12035" s="57"/>
      <c r="H12035" s="18"/>
    </row>
    <row r="12036">
      <c r="C12036" s="18"/>
      <c r="D12036" s="19"/>
      <c r="E12036" s="57"/>
      <c r="H12036" s="18"/>
    </row>
    <row r="12037">
      <c r="C12037" s="18"/>
      <c r="D12037" s="19"/>
      <c r="E12037" s="57"/>
      <c r="H12037" s="18"/>
    </row>
    <row r="12038">
      <c r="C12038" s="18"/>
      <c r="D12038" s="19"/>
      <c r="E12038" s="57"/>
      <c r="H12038" s="18"/>
    </row>
    <row r="12039">
      <c r="C12039" s="18"/>
      <c r="D12039" s="19"/>
      <c r="E12039" s="57"/>
      <c r="H12039" s="18"/>
    </row>
    <row r="12040">
      <c r="C12040" s="18"/>
      <c r="D12040" s="19"/>
      <c r="E12040" s="57"/>
      <c r="H12040" s="18"/>
    </row>
    <row r="12041">
      <c r="C12041" s="18"/>
      <c r="D12041" s="19"/>
      <c r="E12041" s="57"/>
      <c r="H12041" s="18"/>
    </row>
    <row r="12042">
      <c r="C12042" s="18"/>
      <c r="D12042" s="19"/>
      <c r="E12042" s="57"/>
      <c r="H12042" s="18"/>
    </row>
    <row r="12043">
      <c r="C12043" s="18"/>
      <c r="D12043" s="19"/>
      <c r="E12043" s="57"/>
      <c r="H12043" s="18"/>
    </row>
    <row r="12044">
      <c r="C12044" s="18"/>
      <c r="D12044" s="19"/>
      <c r="E12044" s="57"/>
      <c r="H12044" s="18"/>
    </row>
    <row r="12045">
      <c r="C12045" s="18"/>
      <c r="D12045" s="19"/>
      <c r="E12045" s="57"/>
      <c r="H12045" s="18"/>
    </row>
    <row r="12046">
      <c r="C12046" s="18"/>
      <c r="D12046" s="19"/>
      <c r="E12046" s="57"/>
      <c r="H12046" s="18"/>
    </row>
    <row r="12047">
      <c r="C12047" s="18"/>
      <c r="D12047" s="19"/>
      <c r="E12047" s="57"/>
      <c r="H12047" s="18"/>
    </row>
    <row r="12048">
      <c r="C12048" s="18"/>
      <c r="D12048" s="19"/>
      <c r="E12048" s="57"/>
      <c r="H12048" s="18"/>
    </row>
    <row r="12049">
      <c r="C12049" s="18"/>
      <c r="D12049" s="19"/>
      <c r="E12049" s="57"/>
      <c r="H12049" s="18"/>
    </row>
    <row r="12050">
      <c r="C12050" s="18"/>
      <c r="D12050" s="19"/>
      <c r="E12050" s="57"/>
      <c r="H12050" s="18"/>
    </row>
    <row r="12051">
      <c r="C12051" s="18"/>
      <c r="D12051" s="19"/>
      <c r="E12051" s="57"/>
      <c r="H12051" s="18"/>
    </row>
    <row r="12052">
      <c r="C12052" s="18"/>
      <c r="D12052" s="19"/>
      <c r="E12052" s="57"/>
      <c r="H12052" s="18"/>
    </row>
    <row r="12053">
      <c r="C12053" s="18"/>
      <c r="D12053" s="19"/>
      <c r="E12053" s="57"/>
      <c r="H12053" s="18"/>
    </row>
    <row r="12054">
      <c r="C12054" s="18"/>
      <c r="D12054" s="19"/>
      <c r="E12054" s="57"/>
      <c r="H12054" s="18"/>
    </row>
    <row r="12055">
      <c r="C12055" s="18"/>
      <c r="D12055" s="19"/>
      <c r="E12055" s="57"/>
      <c r="H12055" s="18"/>
    </row>
    <row r="12056">
      <c r="C12056" s="18"/>
      <c r="D12056" s="19"/>
      <c r="E12056" s="57"/>
      <c r="H12056" s="18"/>
    </row>
    <row r="12057">
      <c r="C12057" s="18"/>
      <c r="D12057" s="19"/>
      <c r="E12057" s="57"/>
      <c r="H12057" s="18"/>
    </row>
    <row r="12058">
      <c r="C12058" s="18"/>
      <c r="D12058" s="19"/>
      <c r="E12058" s="57"/>
      <c r="H12058" s="18"/>
    </row>
    <row r="12059">
      <c r="C12059" s="18"/>
      <c r="D12059" s="19"/>
      <c r="E12059" s="57"/>
      <c r="H12059" s="18"/>
    </row>
    <row r="12060">
      <c r="C12060" s="18"/>
      <c r="D12060" s="19"/>
      <c r="E12060" s="57"/>
      <c r="H12060" s="18"/>
    </row>
    <row r="12061">
      <c r="C12061" s="18"/>
      <c r="D12061" s="19"/>
      <c r="E12061" s="57"/>
      <c r="H12061" s="18"/>
    </row>
    <row r="12062">
      <c r="C12062" s="18"/>
      <c r="D12062" s="19"/>
      <c r="E12062" s="57"/>
      <c r="H12062" s="18"/>
    </row>
    <row r="12063">
      <c r="C12063" s="18"/>
      <c r="D12063" s="19"/>
      <c r="E12063" s="57"/>
      <c r="H12063" s="18"/>
    </row>
    <row r="12064">
      <c r="C12064" s="18"/>
      <c r="D12064" s="19"/>
      <c r="E12064" s="57"/>
      <c r="H12064" s="18"/>
    </row>
    <row r="12065">
      <c r="C12065" s="18"/>
      <c r="D12065" s="19"/>
      <c r="E12065" s="57"/>
      <c r="H12065" s="18"/>
    </row>
    <row r="12066">
      <c r="C12066" s="18"/>
      <c r="D12066" s="19"/>
      <c r="E12066" s="57"/>
      <c r="H12066" s="18"/>
    </row>
    <row r="12067">
      <c r="C12067" s="18"/>
      <c r="D12067" s="19"/>
      <c r="E12067" s="57"/>
      <c r="H12067" s="18"/>
    </row>
    <row r="12068">
      <c r="C12068" s="18"/>
      <c r="D12068" s="19"/>
      <c r="E12068" s="57"/>
      <c r="H12068" s="18"/>
    </row>
    <row r="12069">
      <c r="C12069" s="18"/>
      <c r="D12069" s="19"/>
      <c r="E12069" s="57"/>
      <c r="H12069" s="18"/>
    </row>
    <row r="12070">
      <c r="C12070" s="18"/>
      <c r="D12070" s="19"/>
      <c r="E12070" s="57"/>
      <c r="H12070" s="18"/>
    </row>
    <row r="12071">
      <c r="C12071" s="18"/>
      <c r="D12071" s="19"/>
      <c r="E12071" s="57"/>
      <c r="H12071" s="18"/>
    </row>
    <row r="12072">
      <c r="C12072" s="18"/>
      <c r="D12072" s="19"/>
      <c r="E12072" s="57"/>
      <c r="H12072" s="18"/>
    </row>
    <row r="12073">
      <c r="C12073" s="18"/>
      <c r="D12073" s="19"/>
      <c r="E12073" s="57"/>
      <c r="H12073" s="18"/>
    </row>
    <row r="12074">
      <c r="C12074" s="18"/>
      <c r="D12074" s="19"/>
      <c r="E12074" s="57"/>
      <c r="H12074" s="18"/>
    </row>
    <row r="12075">
      <c r="C12075" s="18"/>
      <c r="D12075" s="19"/>
      <c r="E12075" s="57"/>
      <c r="H12075" s="18"/>
    </row>
    <row r="12076">
      <c r="C12076" s="18"/>
      <c r="D12076" s="19"/>
      <c r="E12076" s="57"/>
      <c r="H12076" s="18"/>
    </row>
    <row r="12077">
      <c r="C12077" s="18"/>
      <c r="D12077" s="19"/>
      <c r="E12077" s="57"/>
      <c r="H12077" s="18"/>
    </row>
    <row r="12078">
      <c r="C12078" s="18"/>
      <c r="D12078" s="19"/>
      <c r="E12078" s="57"/>
      <c r="H12078" s="18"/>
    </row>
    <row r="12079">
      <c r="C12079" s="18"/>
      <c r="D12079" s="19"/>
      <c r="E12079" s="57"/>
      <c r="H12079" s="18"/>
    </row>
    <row r="12080">
      <c r="C12080" s="18"/>
      <c r="D12080" s="19"/>
      <c r="E12080" s="57"/>
      <c r="H12080" s="18"/>
    </row>
    <row r="12081">
      <c r="C12081" s="18"/>
      <c r="D12081" s="19"/>
      <c r="E12081" s="57"/>
      <c r="H12081" s="18"/>
    </row>
    <row r="12082">
      <c r="C12082" s="18"/>
      <c r="D12082" s="19"/>
      <c r="E12082" s="57"/>
      <c r="H12082" s="18"/>
    </row>
    <row r="12083">
      <c r="C12083" s="18"/>
      <c r="D12083" s="19"/>
      <c r="E12083" s="57"/>
      <c r="H12083" s="18"/>
    </row>
    <row r="12084">
      <c r="C12084" s="18"/>
      <c r="D12084" s="19"/>
      <c r="E12084" s="57"/>
      <c r="H12084" s="18"/>
    </row>
    <row r="12085">
      <c r="C12085" s="18"/>
      <c r="D12085" s="19"/>
      <c r="E12085" s="57"/>
      <c r="H12085" s="18"/>
    </row>
    <row r="12086">
      <c r="C12086" s="18"/>
      <c r="D12086" s="19"/>
      <c r="E12086" s="57"/>
      <c r="H12086" s="18"/>
    </row>
    <row r="12087">
      <c r="C12087" s="18"/>
      <c r="D12087" s="19"/>
      <c r="E12087" s="57"/>
      <c r="H12087" s="18"/>
    </row>
    <row r="12088">
      <c r="C12088" s="18"/>
      <c r="D12088" s="19"/>
      <c r="E12088" s="57"/>
      <c r="H12088" s="18"/>
    </row>
    <row r="12089">
      <c r="C12089" s="18"/>
      <c r="D12089" s="19"/>
      <c r="E12089" s="57"/>
      <c r="H12089" s="18"/>
    </row>
    <row r="12090">
      <c r="C12090" s="18"/>
      <c r="D12090" s="19"/>
      <c r="E12090" s="57"/>
      <c r="H12090" s="18"/>
    </row>
    <row r="12091">
      <c r="C12091" s="18"/>
      <c r="D12091" s="19"/>
      <c r="E12091" s="57"/>
      <c r="H12091" s="18"/>
    </row>
    <row r="12092">
      <c r="C12092" s="18"/>
      <c r="D12092" s="19"/>
      <c r="E12092" s="57"/>
      <c r="H12092" s="18"/>
    </row>
    <row r="12093">
      <c r="C12093" s="18"/>
      <c r="D12093" s="19"/>
      <c r="E12093" s="57"/>
      <c r="H12093" s="18"/>
    </row>
    <row r="12094">
      <c r="C12094" s="18"/>
      <c r="D12094" s="19"/>
      <c r="E12094" s="57"/>
      <c r="H12094" s="18"/>
    </row>
    <row r="12095">
      <c r="C12095" s="18"/>
      <c r="D12095" s="19"/>
      <c r="E12095" s="57"/>
      <c r="H12095" s="18"/>
    </row>
    <row r="12096">
      <c r="C12096" s="18"/>
      <c r="D12096" s="19"/>
      <c r="E12096" s="57"/>
      <c r="H12096" s="18"/>
    </row>
    <row r="12097">
      <c r="C12097" s="18"/>
      <c r="D12097" s="19"/>
      <c r="E12097" s="57"/>
      <c r="H12097" s="18"/>
    </row>
    <row r="12098">
      <c r="C12098" s="18"/>
      <c r="D12098" s="19"/>
      <c r="E12098" s="57"/>
      <c r="H12098" s="18"/>
    </row>
    <row r="12099">
      <c r="C12099" s="18"/>
      <c r="D12099" s="19"/>
      <c r="E12099" s="57"/>
      <c r="H12099" s="18"/>
    </row>
    <row r="12100">
      <c r="C12100" s="18"/>
      <c r="D12100" s="19"/>
      <c r="E12100" s="57"/>
      <c r="H12100" s="18"/>
    </row>
    <row r="12101">
      <c r="C12101" s="18"/>
      <c r="D12101" s="19"/>
      <c r="E12101" s="57"/>
      <c r="H12101" s="18"/>
    </row>
    <row r="12102">
      <c r="C12102" s="18"/>
      <c r="D12102" s="19"/>
      <c r="E12102" s="57"/>
      <c r="H12102" s="18"/>
    </row>
    <row r="12103">
      <c r="C12103" s="18"/>
      <c r="D12103" s="19"/>
      <c r="E12103" s="57"/>
      <c r="H12103" s="18"/>
    </row>
    <row r="12104">
      <c r="C12104" s="18"/>
      <c r="D12104" s="19"/>
      <c r="E12104" s="57"/>
      <c r="H12104" s="18"/>
    </row>
    <row r="12105">
      <c r="C12105" s="18"/>
      <c r="D12105" s="19"/>
      <c r="E12105" s="57"/>
      <c r="H12105" s="18"/>
    </row>
    <row r="12106">
      <c r="C12106" s="18"/>
      <c r="D12106" s="19"/>
      <c r="E12106" s="57"/>
      <c r="H12106" s="18"/>
    </row>
    <row r="12107">
      <c r="C12107" s="18"/>
      <c r="D12107" s="19"/>
      <c r="E12107" s="57"/>
      <c r="H12107" s="18"/>
    </row>
    <row r="12108">
      <c r="C12108" s="18"/>
      <c r="D12108" s="19"/>
      <c r="E12108" s="57"/>
      <c r="H12108" s="18"/>
    </row>
    <row r="12109">
      <c r="C12109" s="18"/>
      <c r="D12109" s="19"/>
      <c r="E12109" s="57"/>
      <c r="H12109" s="18"/>
    </row>
    <row r="12110">
      <c r="C12110" s="18"/>
      <c r="D12110" s="19"/>
      <c r="E12110" s="57"/>
      <c r="H12110" s="18"/>
    </row>
    <row r="12111">
      <c r="C12111" s="18"/>
      <c r="D12111" s="19"/>
      <c r="E12111" s="57"/>
      <c r="H12111" s="18"/>
    </row>
    <row r="12112">
      <c r="C12112" s="18"/>
      <c r="D12112" s="19"/>
      <c r="E12112" s="57"/>
      <c r="H12112" s="18"/>
    </row>
    <row r="12113">
      <c r="C12113" s="18"/>
      <c r="D12113" s="19"/>
      <c r="E12113" s="57"/>
      <c r="H12113" s="18"/>
    </row>
    <row r="12114">
      <c r="C12114" s="18"/>
      <c r="D12114" s="19"/>
      <c r="E12114" s="57"/>
      <c r="H12114" s="18"/>
    </row>
    <row r="12115">
      <c r="C12115" s="18"/>
      <c r="D12115" s="19"/>
      <c r="E12115" s="57"/>
      <c r="H12115" s="18"/>
    </row>
    <row r="12116">
      <c r="C12116" s="18"/>
      <c r="D12116" s="19"/>
      <c r="E12116" s="57"/>
      <c r="H12116" s="18"/>
    </row>
    <row r="12117">
      <c r="C12117" s="18"/>
      <c r="D12117" s="19"/>
      <c r="E12117" s="57"/>
      <c r="H12117" s="18"/>
    </row>
    <row r="12118">
      <c r="C12118" s="18"/>
      <c r="D12118" s="19"/>
      <c r="E12118" s="57"/>
      <c r="H12118" s="18"/>
    </row>
    <row r="12119">
      <c r="C12119" s="18"/>
      <c r="D12119" s="19"/>
      <c r="E12119" s="57"/>
      <c r="H12119" s="18"/>
    </row>
    <row r="12120">
      <c r="C12120" s="18"/>
      <c r="D12120" s="19"/>
      <c r="E12120" s="57"/>
      <c r="H12120" s="18"/>
    </row>
    <row r="12121">
      <c r="C12121" s="18"/>
      <c r="D12121" s="19"/>
      <c r="E12121" s="57"/>
      <c r="H12121" s="18"/>
    </row>
    <row r="12122">
      <c r="C12122" s="18"/>
      <c r="D12122" s="19"/>
      <c r="E12122" s="57"/>
      <c r="H12122" s="18"/>
    </row>
    <row r="12123">
      <c r="C12123" s="18"/>
      <c r="D12123" s="19"/>
      <c r="E12123" s="57"/>
      <c r="H12123" s="18"/>
    </row>
    <row r="12124">
      <c r="C12124" s="18"/>
      <c r="D12124" s="19"/>
      <c r="E12124" s="57"/>
      <c r="H12124" s="18"/>
    </row>
    <row r="12125">
      <c r="C12125" s="18"/>
      <c r="D12125" s="19"/>
      <c r="E12125" s="57"/>
      <c r="H12125" s="18"/>
    </row>
    <row r="12126">
      <c r="C12126" s="18"/>
      <c r="D12126" s="19"/>
      <c r="E12126" s="57"/>
      <c r="H12126" s="18"/>
    </row>
    <row r="12127">
      <c r="C12127" s="18"/>
      <c r="D12127" s="19"/>
      <c r="E12127" s="57"/>
      <c r="H12127" s="18"/>
    </row>
    <row r="12128">
      <c r="C12128" s="18"/>
      <c r="D12128" s="19"/>
      <c r="E12128" s="57"/>
      <c r="H12128" s="18"/>
    </row>
    <row r="12129">
      <c r="C12129" s="18"/>
      <c r="D12129" s="19"/>
      <c r="E12129" s="57"/>
      <c r="H12129" s="18"/>
    </row>
    <row r="12130">
      <c r="C12130" s="18"/>
      <c r="D12130" s="19"/>
      <c r="E12130" s="57"/>
      <c r="H12130" s="18"/>
    </row>
    <row r="12131">
      <c r="C12131" s="18"/>
      <c r="D12131" s="19"/>
      <c r="E12131" s="57"/>
      <c r="H12131" s="18"/>
    </row>
    <row r="12132">
      <c r="C12132" s="18"/>
      <c r="D12132" s="19"/>
      <c r="E12132" s="57"/>
      <c r="H12132" s="18"/>
    </row>
    <row r="12133">
      <c r="C12133" s="18"/>
      <c r="D12133" s="19"/>
      <c r="E12133" s="57"/>
      <c r="H12133" s="18"/>
    </row>
    <row r="12134">
      <c r="C12134" s="18"/>
      <c r="D12134" s="19"/>
      <c r="E12134" s="57"/>
      <c r="H12134" s="18"/>
    </row>
    <row r="12135">
      <c r="C12135" s="18"/>
      <c r="D12135" s="19"/>
      <c r="E12135" s="57"/>
      <c r="H12135" s="18"/>
    </row>
    <row r="12136">
      <c r="C12136" s="18"/>
      <c r="D12136" s="19"/>
      <c r="E12136" s="57"/>
      <c r="H12136" s="18"/>
    </row>
    <row r="12137">
      <c r="C12137" s="18"/>
      <c r="D12137" s="19"/>
      <c r="E12137" s="57"/>
      <c r="H12137" s="18"/>
    </row>
    <row r="12138">
      <c r="C12138" s="18"/>
      <c r="D12138" s="19"/>
      <c r="E12138" s="57"/>
      <c r="H12138" s="18"/>
    </row>
    <row r="12139">
      <c r="C12139" s="18"/>
      <c r="D12139" s="19"/>
      <c r="E12139" s="57"/>
      <c r="H12139" s="18"/>
    </row>
    <row r="12140">
      <c r="C12140" s="18"/>
      <c r="D12140" s="19"/>
      <c r="E12140" s="57"/>
      <c r="H12140" s="18"/>
    </row>
    <row r="12141">
      <c r="C12141" s="18"/>
      <c r="D12141" s="19"/>
      <c r="E12141" s="57"/>
      <c r="H12141" s="18"/>
    </row>
    <row r="12142">
      <c r="C12142" s="18"/>
      <c r="D12142" s="19"/>
      <c r="E12142" s="57"/>
      <c r="H12142" s="18"/>
    </row>
    <row r="12143">
      <c r="C12143" s="18"/>
      <c r="D12143" s="19"/>
      <c r="E12143" s="57"/>
      <c r="H12143" s="18"/>
    </row>
    <row r="12144">
      <c r="C12144" s="18"/>
      <c r="D12144" s="19"/>
      <c r="E12144" s="57"/>
      <c r="H12144" s="18"/>
    </row>
    <row r="12145">
      <c r="C12145" s="18"/>
      <c r="D12145" s="19"/>
      <c r="E12145" s="57"/>
      <c r="H12145" s="18"/>
    </row>
    <row r="12146">
      <c r="C12146" s="18"/>
      <c r="D12146" s="19"/>
      <c r="E12146" s="57"/>
      <c r="H12146" s="18"/>
    </row>
    <row r="12147">
      <c r="C12147" s="18"/>
      <c r="D12147" s="19"/>
      <c r="E12147" s="57"/>
      <c r="H12147" s="18"/>
    </row>
    <row r="12148">
      <c r="C12148" s="18"/>
      <c r="D12148" s="19"/>
      <c r="E12148" s="57"/>
      <c r="H12148" s="18"/>
    </row>
    <row r="12149">
      <c r="C12149" s="18"/>
      <c r="D12149" s="19"/>
      <c r="E12149" s="57"/>
      <c r="H12149" s="18"/>
    </row>
    <row r="12150">
      <c r="C12150" s="18"/>
      <c r="D12150" s="19"/>
      <c r="E12150" s="57"/>
      <c r="H12150" s="18"/>
    </row>
    <row r="12151">
      <c r="C12151" s="18"/>
      <c r="D12151" s="19"/>
      <c r="E12151" s="57"/>
      <c r="H12151" s="18"/>
    </row>
    <row r="12152">
      <c r="C12152" s="18"/>
      <c r="D12152" s="19"/>
      <c r="E12152" s="57"/>
      <c r="H12152" s="18"/>
    </row>
    <row r="12153">
      <c r="C12153" s="18"/>
      <c r="D12153" s="19"/>
      <c r="E12153" s="57"/>
      <c r="H12153" s="18"/>
    </row>
    <row r="12154">
      <c r="C12154" s="18"/>
      <c r="D12154" s="19"/>
      <c r="E12154" s="57"/>
      <c r="H12154" s="18"/>
    </row>
    <row r="12155">
      <c r="C12155" s="18"/>
      <c r="D12155" s="19"/>
      <c r="E12155" s="57"/>
      <c r="H12155" s="18"/>
    </row>
    <row r="12156">
      <c r="C12156" s="18"/>
      <c r="D12156" s="19"/>
      <c r="E12156" s="57"/>
      <c r="H12156" s="18"/>
    </row>
    <row r="12157">
      <c r="C12157" s="18"/>
      <c r="D12157" s="19"/>
      <c r="E12157" s="57"/>
      <c r="H12157" s="18"/>
    </row>
    <row r="12158">
      <c r="C12158" s="18"/>
      <c r="D12158" s="19"/>
      <c r="E12158" s="57"/>
      <c r="H12158" s="18"/>
    </row>
    <row r="12159">
      <c r="C12159" s="18"/>
      <c r="D12159" s="19"/>
      <c r="E12159" s="57"/>
      <c r="H12159" s="18"/>
    </row>
    <row r="12160">
      <c r="C12160" s="18"/>
      <c r="D12160" s="19"/>
      <c r="E12160" s="57"/>
      <c r="H12160" s="18"/>
    </row>
    <row r="12161">
      <c r="C12161" s="18"/>
      <c r="D12161" s="19"/>
      <c r="E12161" s="57"/>
      <c r="H12161" s="18"/>
    </row>
    <row r="12162">
      <c r="C12162" s="18"/>
      <c r="D12162" s="19"/>
      <c r="E12162" s="57"/>
      <c r="H12162" s="18"/>
    </row>
    <row r="12163">
      <c r="C12163" s="18"/>
      <c r="D12163" s="19"/>
      <c r="E12163" s="57"/>
      <c r="H12163" s="18"/>
    </row>
    <row r="12164">
      <c r="C12164" s="18"/>
      <c r="D12164" s="19"/>
      <c r="E12164" s="57"/>
      <c r="H12164" s="18"/>
    </row>
    <row r="12165">
      <c r="C12165" s="18"/>
      <c r="D12165" s="19"/>
      <c r="E12165" s="57"/>
      <c r="H12165" s="18"/>
    </row>
    <row r="12166">
      <c r="C12166" s="18"/>
      <c r="D12166" s="19"/>
      <c r="E12166" s="57"/>
      <c r="H12166" s="18"/>
    </row>
    <row r="12167">
      <c r="C12167" s="18"/>
      <c r="D12167" s="19"/>
      <c r="E12167" s="57"/>
      <c r="H12167" s="18"/>
    </row>
    <row r="12168">
      <c r="C12168" s="18"/>
      <c r="D12168" s="19"/>
      <c r="E12168" s="57"/>
      <c r="H12168" s="18"/>
    </row>
    <row r="12169">
      <c r="C12169" s="18"/>
      <c r="D12169" s="19"/>
      <c r="E12169" s="57"/>
      <c r="H12169" s="18"/>
    </row>
    <row r="12170">
      <c r="C12170" s="18"/>
      <c r="D12170" s="19"/>
      <c r="E12170" s="57"/>
      <c r="H12170" s="18"/>
    </row>
    <row r="12171">
      <c r="C12171" s="18"/>
      <c r="D12171" s="19"/>
      <c r="E12171" s="57"/>
      <c r="H12171" s="18"/>
    </row>
    <row r="12172">
      <c r="C12172" s="18"/>
      <c r="D12172" s="19"/>
      <c r="E12172" s="57"/>
      <c r="H12172" s="18"/>
    </row>
    <row r="12173">
      <c r="C12173" s="18"/>
      <c r="D12173" s="19"/>
      <c r="E12173" s="57"/>
      <c r="H12173" s="18"/>
    </row>
    <row r="12174">
      <c r="C12174" s="18"/>
      <c r="D12174" s="19"/>
      <c r="E12174" s="57"/>
      <c r="H12174" s="18"/>
    </row>
    <row r="12175">
      <c r="C12175" s="18"/>
      <c r="D12175" s="19"/>
      <c r="E12175" s="57"/>
      <c r="H12175" s="18"/>
    </row>
    <row r="12176">
      <c r="C12176" s="18"/>
      <c r="D12176" s="19"/>
      <c r="E12176" s="57"/>
      <c r="H12176" s="18"/>
    </row>
    <row r="12177">
      <c r="C12177" s="18"/>
      <c r="D12177" s="19"/>
      <c r="E12177" s="57"/>
      <c r="H12177" s="18"/>
    </row>
    <row r="12178">
      <c r="C12178" s="18"/>
      <c r="D12178" s="19"/>
      <c r="E12178" s="57"/>
      <c r="H12178" s="18"/>
    </row>
    <row r="12179">
      <c r="C12179" s="18"/>
      <c r="D12179" s="19"/>
      <c r="E12179" s="57"/>
      <c r="H12179" s="18"/>
    </row>
    <row r="12180">
      <c r="C12180" s="18"/>
      <c r="D12180" s="19"/>
      <c r="E12180" s="57"/>
      <c r="H12180" s="18"/>
    </row>
    <row r="12181">
      <c r="C12181" s="18"/>
      <c r="D12181" s="19"/>
      <c r="E12181" s="57"/>
      <c r="H12181" s="18"/>
    </row>
    <row r="12182">
      <c r="C12182" s="18"/>
      <c r="D12182" s="19"/>
      <c r="E12182" s="57"/>
      <c r="H12182" s="18"/>
    </row>
    <row r="12183">
      <c r="C12183" s="18"/>
      <c r="D12183" s="19"/>
      <c r="E12183" s="57"/>
      <c r="H12183" s="18"/>
    </row>
    <row r="12184">
      <c r="C12184" s="18"/>
      <c r="D12184" s="19"/>
      <c r="E12184" s="57"/>
      <c r="H12184" s="18"/>
    </row>
    <row r="12185">
      <c r="C12185" s="18"/>
      <c r="D12185" s="19"/>
      <c r="E12185" s="57"/>
      <c r="H12185" s="18"/>
    </row>
    <row r="12186">
      <c r="C12186" s="18"/>
      <c r="D12186" s="19"/>
      <c r="E12186" s="57"/>
      <c r="H12186" s="18"/>
    </row>
    <row r="12187">
      <c r="C12187" s="18"/>
      <c r="D12187" s="19"/>
      <c r="E12187" s="57"/>
      <c r="H12187" s="18"/>
    </row>
    <row r="12188">
      <c r="C12188" s="18"/>
      <c r="D12188" s="19"/>
      <c r="E12188" s="57"/>
      <c r="H12188" s="18"/>
    </row>
    <row r="12189">
      <c r="C12189" s="18"/>
      <c r="D12189" s="19"/>
      <c r="E12189" s="57"/>
      <c r="H12189" s="18"/>
    </row>
    <row r="12190">
      <c r="C12190" s="18"/>
      <c r="D12190" s="19"/>
      <c r="E12190" s="57"/>
      <c r="H12190" s="18"/>
    </row>
    <row r="12191">
      <c r="C12191" s="18"/>
      <c r="D12191" s="19"/>
      <c r="E12191" s="57"/>
      <c r="H12191" s="18"/>
    </row>
    <row r="12192">
      <c r="C12192" s="18"/>
      <c r="D12192" s="19"/>
      <c r="E12192" s="57"/>
      <c r="H12192" s="18"/>
    </row>
    <row r="12193">
      <c r="C12193" s="18"/>
      <c r="D12193" s="19"/>
      <c r="E12193" s="57"/>
      <c r="H12193" s="18"/>
    </row>
    <row r="12194">
      <c r="C12194" s="18"/>
      <c r="D12194" s="19"/>
      <c r="E12194" s="57"/>
      <c r="H12194" s="18"/>
    </row>
    <row r="12195">
      <c r="C12195" s="18"/>
      <c r="D12195" s="19"/>
      <c r="E12195" s="57"/>
      <c r="H12195" s="18"/>
    </row>
    <row r="12196">
      <c r="C12196" s="18"/>
      <c r="D12196" s="19"/>
      <c r="E12196" s="57"/>
      <c r="H12196" s="18"/>
    </row>
    <row r="12197">
      <c r="C12197" s="18"/>
      <c r="D12197" s="19"/>
      <c r="E12197" s="57"/>
      <c r="H12197" s="18"/>
    </row>
    <row r="12198">
      <c r="C12198" s="18"/>
      <c r="D12198" s="19"/>
      <c r="E12198" s="57"/>
      <c r="H12198" s="18"/>
    </row>
    <row r="12199">
      <c r="C12199" s="18"/>
      <c r="D12199" s="19"/>
      <c r="E12199" s="57"/>
      <c r="H12199" s="18"/>
    </row>
    <row r="12200">
      <c r="C12200" s="18"/>
      <c r="D12200" s="19"/>
      <c r="E12200" s="57"/>
      <c r="H12200" s="18"/>
    </row>
    <row r="12201">
      <c r="C12201" s="18"/>
      <c r="D12201" s="19"/>
      <c r="E12201" s="57"/>
      <c r="H12201" s="18"/>
    </row>
    <row r="12202">
      <c r="C12202" s="18"/>
      <c r="D12202" s="19"/>
      <c r="E12202" s="57"/>
      <c r="H12202" s="18"/>
    </row>
    <row r="12203">
      <c r="C12203" s="18"/>
      <c r="D12203" s="19"/>
      <c r="E12203" s="57"/>
      <c r="H12203" s="18"/>
    </row>
    <row r="12204">
      <c r="C12204" s="18"/>
      <c r="D12204" s="19"/>
      <c r="E12204" s="57"/>
      <c r="H12204" s="18"/>
    </row>
    <row r="12205">
      <c r="C12205" s="18"/>
      <c r="D12205" s="19"/>
      <c r="E12205" s="57"/>
      <c r="H12205" s="18"/>
    </row>
    <row r="12206">
      <c r="C12206" s="18"/>
      <c r="D12206" s="19"/>
      <c r="E12206" s="57"/>
      <c r="H12206" s="18"/>
    </row>
    <row r="12207">
      <c r="C12207" s="18"/>
      <c r="D12207" s="19"/>
      <c r="E12207" s="57"/>
      <c r="H12207" s="18"/>
    </row>
    <row r="12208">
      <c r="C12208" s="18"/>
      <c r="D12208" s="19"/>
      <c r="E12208" s="57"/>
      <c r="H12208" s="18"/>
    </row>
    <row r="12209">
      <c r="C12209" s="18"/>
      <c r="D12209" s="19"/>
      <c r="E12209" s="57"/>
      <c r="H12209" s="18"/>
    </row>
    <row r="12210">
      <c r="C12210" s="18"/>
      <c r="D12210" s="19"/>
      <c r="E12210" s="57"/>
      <c r="H12210" s="18"/>
    </row>
    <row r="12211">
      <c r="C12211" s="18"/>
      <c r="D12211" s="19"/>
      <c r="E12211" s="57"/>
      <c r="H12211" s="18"/>
    </row>
    <row r="12212">
      <c r="C12212" s="18"/>
      <c r="D12212" s="19"/>
      <c r="E12212" s="57"/>
      <c r="H12212" s="18"/>
    </row>
    <row r="12213">
      <c r="C12213" s="18"/>
      <c r="D12213" s="19"/>
      <c r="E12213" s="57"/>
      <c r="H12213" s="18"/>
    </row>
    <row r="12214">
      <c r="C12214" s="18"/>
      <c r="D12214" s="19"/>
      <c r="E12214" s="57"/>
      <c r="H12214" s="18"/>
    </row>
    <row r="12215">
      <c r="C12215" s="18"/>
      <c r="D12215" s="19"/>
      <c r="E12215" s="57"/>
      <c r="H12215" s="18"/>
    </row>
    <row r="12216">
      <c r="C12216" s="18"/>
      <c r="D12216" s="19"/>
      <c r="E12216" s="57"/>
      <c r="H12216" s="18"/>
    </row>
    <row r="12217">
      <c r="C12217" s="18"/>
      <c r="D12217" s="19"/>
      <c r="E12217" s="57"/>
      <c r="H12217" s="18"/>
    </row>
    <row r="12218">
      <c r="C12218" s="18"/>
      <c r="D12218" s="19"/>
      <c r="E12218" s="57"/>
      <c r="H12218" s="18"/>
    </row>
    <row r="12219">
      <c r="C12219" s="18"/>
      <c r="D12219" s="19"/>
      <c r="E12219" s="57"/>
      <c r="H12219" s="18"/>
    </row>
    <row r="12220">
      <c r="C12220" s="18"/>
      <c r="D12220" s="19"/>
      <c r="E12220" s="57"/>
      <c r="H12220" s="18"/>
    </row>
    <row r="12221">
      <c r="C12221" s="18"/>
      <c r="D12221" s="19"/>
      <c r="E12221" s="57"/>
      <c r="H12221" s="18"/>
    </row>
    <row r="12222">
      <c r="C12222" s="18"/>
      <c r="D12222" s="19"/>
      <c r="E12222" s="57"/>
      <c r="H12222" s="18"/>
    </row>
    <row r="12223">
      <c r="C12223" s="18"/>
      <c r="D12223" s="19"/>
      <c r="E12223" s="57"/>
      <c r="H12223" s="18"/>
    </row>
    <row r="12224">
      <c r="C12224" s="18"/>
      <c r="D12224" s="19"/>
      <c r="E12224" s="57"/>
      <c r="H12224" s="18"/>
    </row>
    <row r="12225">
      <c r="C12225" s="18"/>
      <c r="D12225" s="19"/>
      <c r="E12225" s="57"/>
      <c r="H12225" s="18"/>
    </row>
    <row r="12226">
      <c r="C12226" s="18"/>
      <c r="D12226" s="19"/>
      <c r="E12226" s="57"/>
      <c r="H12226" s="18"/>
    </row>
    <row r="12227">
      <c r="C12227" s="18"/>
      <c r="D12227" s="19"/>
      <c r="E12227" s="57"/>
      <c r="H12227" s="18"/>
    </row>
    <row r="12228">
      <c r="C12228" s="18"/>
      <c r="D12228" s="19"/>
      <c r="E12228" s="57"/>
      <c r="H12228" s="18"/>
    </row>
    <row r="12229">
      <c r="C12229" s="18"/>
      <c r="D12229" s="19"/>
      <c r="E12229" s="57"/>
      <c r="H12229" s="18"/>
    </row>
    <row r="12230">
      <c r="C12230" s="18"/>
      <c r="D12230" s="19"/>
      <c r="E12230" s="57"/>
      <c r="H12230" s="18"/>
    </row>
    <row r="12231">
      <c r="C12231" s="18"/>
      <c r="D12231" s="19"/>
      <c r="E12231" s="57"/>
      <c r="H12231" s="18"/>
    </row>
    <row r="12232">
      <c r="C12232" s="18"/>
      <c r="D12232" s="19"/>
      <c r="E12232" s="57"/>
      <c r="H12232" s="18"/>
    </row>
    <row r="12233">
      <c r="C12233" s="18"/>
      <c r="D12233" s="19"/>
      <c r="E12233" s="57"/>
      <c r="H12233" s="18"/>
    </row>
    <row r="12234">
      <c r="C12234" s="18"/>
      <c r="D12234" s="19"/>
      <c r="E12234" s="57"/>
      <c r="H12234" s="18"/>
    </row>
    <row r="12235">
      <c r="C12235" s="18"/>
      <c r="D12235" s="19"/>
      <c r="E12235" s="57"/>
      <c r="H12235" s="18"/>
    </row>
    <row r="12236">
      <c r="C12236" s="18"/>
      <c r="D12236" s="19"/>
      <c r="E12236" s="57"/>
      <c r="H12236" s="18"/>
    </row>
    <row r="12237">
      <c r="C12237" s="18"/>
      <c r="D12237" s="19"/>
      <c r="E12237" s="57"/>
      <c r="H12237" s="18"/>
    </row>
    <row r="12238">
      <c r="C12238" s="18"/>
      <c r="D12238" s="19"/>
      <c r="E12238" s="57"/>
      <c r="H12238" s="18"/>
    </row>
    <row r="12239">
      <c r="C12239" s="18"/>
      <c r="D12239" s="19"/>
      <c r="E12239" s="57"/>
      <c r="H12239" s="18"/>
    </row>
    <row r="12240">
      <c r="C12240" s="18"/>
      <c r="D12240" s="19"/>
      <c r="E12240" s="57"/>
      <c r="H12240" s="18"/>
    </row>
    <row r="12241">
      <c r="C12241" s="18"/>
      <c r="D12241" s="19"/>
      <c r="E12241" s="57"/>
      <c r="H12241" s="18"/>
    </row>
    <row r="12242">
      <c r="C12242" s="18"/>
      <c r="D12242" s="19"/>
      <c r="E12242" s="57"/>
      <c r="H12242" s="18"/>
    </row>
    <row r="12243">
      <c r="C12243" s="18"/>
      <c r="D12243" s="19"/>
      <c r="E12243" s="57"/>
      <c r="H12243" s="18"/>
    </row>
    <row r="12244">
      <c r="C12244" s="18"/>
      <c r="D12244" s="19"/>
      <c r="E12244" s="57"/>
      <c r="H12244" s="18"/>
    </row>
    <row r="12245">
      <c r="C12245" s="18"/>
      <c r="D12245" s="19"/>
      <c r="E12245" s="57"/>
      <c r="H12245" s="18"/>
    </row>
    <row r="12246">
      <c r="C12246" s="18"/>
      <c r="D12246" s="19"/>
      <c r="E12246" s="57"/>
      <c r="H12246" s="18"/>
    </row>
    <row r="12247">
      <c r="C12247" s="18"/>
      <c r="D12247" s="19"/>
      <c r="E12247" s="57"/>
      <c r="H12247" s="18"/>
    </row>
    <row r="12248">
      <c r="C12248" s="18"/>
      <c r="D12248" s="19"/>
      <c r="E12248" s="57"/>
      <c r="H12248" s="18"/>
    </row>
    <row r="12249">
      <c r="C12249" s="18"/>
      <c r="D12249" s="19"/>
      <c r="E12249" s="57"/>
      <c r="H12249" s="18"/>
    </row>
    <row r="12250">
      <c r="C12250" s="18"/>
      <c r="D12250" s="19"/>
      <c r="E12250" s="57"/>
      <c r="H12250" s="18"/>
    </row>
    <row r="12251">
      <c r="C12251" s="18"/>
      <c r="D12251" s="19"/>
      <c r="E12251" s="57"/>
      <c r="H12251" s="18"/>
    </row>
    <row r="12252">
      <c r="C12252" s="18"/>
      <c r="D12252" s="19"/>
      <c r="E12252" s="57"/>
      <c r="H12252" s="18"/>
    </row>
    <row r="12253">
      <c r="C12253" s="18"/>
      <c r="D12253" s="19"/>
      <c r="E12253" s="57"/>
      <c r="H12253" s="18"/>
    </row>
    <row r="12254">
      <c r="C12254" s="18"/>
      <c r="D12254" s="19"/>
      <c r="E12254" s="57"/>
      <c r="H12254" s="18"/>
    </row>
    <row r="12255">
      <c r="C12255" s="18"/>
      <c r="D12255" s="19"/>
      <c r="E12255" s="57"/>
      <c r="H12255" s="18"/>
    </row>
    <row r="12256">
      <c r="C12256" s="18"/>
      <c r="D12256" s="19"/>
      <c r="E12256" s="57"/>
      <c r="H12256" s="18"/>
    </row>
    <row r="12257">
      <c r="C12257" s="18"/>
      <c r="D12257" s="19"/>
      <c r="E12257" s="57"/>
      <c r="H12257" s="18"/>
    </row>
    <row r="12258">
      <c r="C12258" s="18"/>
      <c r="D12258" s="19"/>
      <c r="E12258" s="57"/>
      <c r="H12258" s="18"/>
    </row>
    <row r="12259">
      <c r="C12259" s="18"/>
      <c r="D12259" s="19"/>
      <c r="E12259" s="57"/>
      <c r="H12259" s="18"/>
    </row>
    <row r="12260">
      <c r="C12260" s="18"/>
      <c r="D12260" s="19"/>
      <c r="E12260" s="57"/>
      <c r="H12260" s="18"/>
    </row>
    <row r="12261">
      <c r="C12261" s="18"/>
      <c r="D12261" s="19"/>
      <c r="E12261" s="57"/>
      <c r="H12261" s="18"/>
    </row>
    <row r="12262">
      <c r="C12262" s="18"/>
      <c r="D12262" s="19"/>
      <c r="E12262" s="57"/>
      <c r="H12262" s="18"/>
    </row>
    <row r="12263">
      <c r="C12263" s="18"/>
      <c r="D12263" s="19"/>
      <c r="E12263" s="57"/>
      <c r="H12263" s="18"/>
    </row>
    <row r="12264">
      <c r="C12264" s="18"/>
      <c r="D12264" s="19"/>
      <c r="E12264" s="57"/>
      <c r="H12264" s="18"/>
    </row>
    <row r="12265">
      <c r="C12265" s="18"/>
      <c r="D12265" s="19"/>
      <c r="E12265" s="57"/>
      <c r="H12265" s="18"/>
    </row>
    <row r="12266">
      <c r="C12266" s="18"/>
      <c r="D12266" s="19"/>
      <c r="E12266" s="57"/>
      <c r="H12266" s="18"/>
    </row>
    <row r="12267">
      <c r="C12267" s="18"/>
      <c r="D12267" s="19"/>
      <c r="E12267" s="57"/>
      <c r="H12267" s="18"/>
    </row>
    <row r="12268">
      <c r="C12268" s="18"/>
      <c r="D12268" s="19"/>
      <c r="E12268" s="57"/>
      <c r="H12268" s="18"/>
    </row>
    <row r="12269">
      <c r="C12269" s="18"/>
      <c r="D12269" s="19"/>
      <c r="E12269" s="57"/>
      <c r="H12269" s="18"/>
    </row>
    <row r="12270">
      <c r="C12270" s="18"/>
      <c r="D12270" s="19"/>
      <c r="E12270" s="57"/>
      <c r="H12270" s="18"/>
    </row>
    <row r="12271">
      <c r="C12271" s="18"/>
      <c r="D12271" s="19"/>
      <c r="E12271" s="57"/>
      <c r="H12271" s="18"/>
    </row>
    <row r="12272">
      <c r="C12272" s="18"/>
      <c r="D12272" s="19"/>
      <c r="E12272" s="57"/>
      <c r="H12272" s="18"/>
    </row>
    <row r="12273">
      <c r="C12273" s="18"/>
      <c r="D12273" s="19"/>
      <c r="E12273" s="57"/>
      <c r="H12273" s="18"/>
    </row>
    <row r="12274">
      <c r="C12274" s="18"/>
      <c r="D12274" s="19"/>
      <c r="E12274" s="57"/>
      <c r="H12274" s="18"/>
    </row>
    <row r="12275">
      <c r="C12275" s="18"/>
      <c r="D12275" s="19"/>
      <c r="E12275" s="57"/>
      <c r="H12275" s="18"/>
    </row>
    <row r="12276">
      <c r="C12276" s="18"/>
      <c r="D12276" s="19"/>
      <c r="E12276" s="57"/>
      <c r="H12276" s="18"/>
    </row>
    <row r="12277">
      <c r="C12277" s="18"/>
      <c r="D12277" s="19"/>
      <c r="E12277" s="57"/>
      <c r="H12277" s="18"/>
    </row>
    <row r="12278">
      <c r="C12278" s="18"/>
      <c r="D12278" s="19"/>
      <c r="E12278" s="57"/>
      <c r="H12278" s="18"/>
    </row>
    <row r="12279">
      <c r="C12279" s="18"/>
      <c r="D12279" s="19"/>
      <c r="E12279" s="57"/>
      <c r="H12279" s="18"/>
    </row>
    <row r="12280">
      <c r="C12280" s="18"/>
      <c r="D12280" s="19"/>
      <c r="E12280" s="57"/>
      <c r="H12280" s="18"/>
    </row>
    <row r="12281">
      <c r="C12281" s="18"/>
      <c r="D12281" s="19"/>
      <c r="E12281" s="57"/>
      <c r="H12281" s="18"/>
    </row>
    <row r="12282">
      <c r="C12282" s="18"/>
      <c r="D12282" s="19"/>
      <c r="E12282" s="57"/>
      <c r="H12282" s="18"/>
    </row>
    <row r="12283">
      <c r="C12283" s="18"/>
      <c r="D12283" s="19"/>
      <c r="E12283" s="57"/>
      <c r="H12283" s="18"/>
    </row>
    <row r="12284">
      <c r="C12284" s="18"/>
      <c r="D12284" s="19"/>
      <c r="E12284" s="57"/>
      <c r="H12284" s="18"/>
    </row>
    <row r="12285">
      <c r="C12285" s="18"/>
      <c r="D12285" s="19"/>
      <c r="E12285" s="57"/>
      <c r="H12285" s="18"/>
    </row>
    <row r="12286">
      <c r="C12286" s="18"/>
      <c r="D12286" s="19"/>
      <c r="E12286" s="57"/>
      <c r="H12286" s="18"/>
    </row>
    <row r="12287">
      <c r="C12287" s="18"/>
      <c r="D12287" s="19"/>
      <c r="E12287" s="57"/>
      <c r="H12287" s="18"/>
    </row>
    <row r="12288">
      <c r="C12288" s="18"/>
      <c r="D12288" s="19"/>
      <c r="E12288" s="57"/>
      <c r="H12288" s="18"/>
    </row>
    <row r="12289">
      <c r="C12289" s="18"/>
      <c r="D12289" s="19"/>
      <c r="E12289" s="57"/>
      <c r="H12289" s="18"/>
    </row>
    <row r="12290">
      <c r="C12290" s="18"/>
      <c r="D12290" s="19"/>
      <c r="E12290" s="57"/>
      <c r="H12290" s="18"/>
    </row>
    <row r="12291">
      <c r="C12291" s="18"/>
      <c r="D12291" s="19"/>
      <c r="E12291" s="57"/>
      <c r="H12291" s="18"/>
    </row>
    <row r="12292">
      <c r="C12292" s="18"/>
      <c r="D12292" s="19"/>
      <c r="E12292" s="57"/>
      <c r="H12292" s="18"/>
    </row>
    <row r="12293">
      <c r="C12293" s="18"/>
      <c r="D12293" s="19"/>
      <c r="E12293" s="57"/>
      <c r="H12293" s="18"/>
    </row>
    <row r="12294">
      <c r="C12294" s="18"/>
      <c r="D12294" s="19"/>
      <c r="E12294" s="57"/>
      <c r="H12294" s="18"/>
    </row>
    <row r="12295">
      <c r="C12295" s="18"/>
      <c r="D12295" s="19"/>
      <c r="E12295" s="57"/>
      <c r="H12295" s="18"/>
    </row>
    <row r="12296">
      <c r="C12296" s="18"/>
      <c r="D12296" s="19"/>
      <c r="E12296" s="57"/>
      <c r="H12296" s="18"/>
    </row>
    <row r="12297">
      <c r="C12297" s="18"/>
      <c r="D12297" s="19"/>
      <c r="E12297" s="57"/>
      <c r="H12297" s="18"/>
    </row>
    <row r="12298">
      <c r="C12298" s="18"/>
      <c r="D12298" s="19"/>
      <c r="E12298" s="57"/>
      <c r="H12298" s="18"/>
    </row>
    <row r="12299">
      <c r="C12299" s="18"/>
      <c r="D12299" s="19"/>
      <c r="E12299" s="57"/>
      <c r="H12299" s="18"/>
    </row>
    <row r="12300">
      <c r="C12300" s="18"/>
      <c r="D12300" s="19"/>
      <c r="E12300" s="57"/>
      <c r="H12300" s="18"/>
    </row>
    <row r="12301">
      <c r="C12301" s="18"/>
      <c r="D12301" s="19"/>
      <c r="E12301" s="57"/>
      <c r="H12301" s="18"/>
    </row>
    <row r="12302">
      <c r="C12302" s="18"/>
      <c r="D12302" s="19"/>
      <c r="E12302" s="57"/>
      <c r="H12302" s="18"/>
    </row>
    <row r="12303">
      <c r="C12303" s="18"/>
      <c r="D12303" s="19"/>
      <c r="E12303" s="57"/>
      <c r="H12303" s="18"/>
    </row>
    <row r="12304">
      <c r="C12304" s="18"/>
      <c r="D12304" s="19"/>
      <c r="E12304" s="57"/>
      <c r="H12304" s="18"/>
    </row>
    <row r="12305">
      <c r="C12305" s="18"/>
      <c r="D12305" s="19"/>
      <c r="E12305" s="57"/>
      <c r="H12305" s="18"/>
    </row>
    <row r="12306">
      <c r="C12306" s="18"/>
      <c r="D12306" s="19"/>
      <c r="E12306" s="57"/>
      <c r="H12306" s="18"/>
    </row>
    <row r="12307">
      <c r="C12307" s="18"/>
      <c r="D12307" s="19"/>
      <c r="E12307" s="57"/>
      <c r="H12307" s="18"/>
    </row>
    <row r="12308">
      <c r="C12308" s="18"/>
      <c r="D12308" s="19"/>
      <c r="E12308" s="57"/>
      <c r="H12308" s="18"/>
    </row>
    <row r="12309">
      <c r="C12309" s="18"/>
      <c r="D12309" s="19"/>
      <c r="E12309" s="57"/>
      <c r="H12309" s="18"/>
    </row>
    <row r="12310">
      <c r="C12310" s="18"/>
      <c r="D12310" s="19"/>
      <c r="E12310" s="57"/>
      <c r="H12310" s="18"/>
    </row>
    <row r="12311">
      <c r="C12311" s="18"/>
      <c r="D12311" s="19"/>
      <c r="E12311" s="57"/>
      <c r="H12311" s="18"/>
    </row>
    <row r="12312">
      <c r="C12312" s="18"/>
      <c r="D12312" s="19"/>
      <c r="E12312" s="57"/>
      <c r="H12312" s="18"/>
    </row>
    <row r="12313">
      <c r="C12313" s="18"/>
      <c r="D12313" s="19"/>
      <c r="E12313" s="57"/>
      <c r="H12313" s="18"/>
    </row>
    <row r="12314">
      <c r="C12314" s="18"/>
      <c r="D12314" s="19"/>
      <c r="E12314" s="57"/>
      <c r="H12314" s="18"/>
    </row>
    <row r="12315">
      <c r="C12315" s="18"/>
      <c r="D12315" s="19"/>
      <c r="E12315" s="57"/>
      <c r="H12315" s="18"/>
    </row>
    <row r="12316">
      <c r="C12316" s="18"/>
      <c r="D12316" s="19"/>
      <c r="E12316" s="57"/>
      <c r="H12316" s="18"/>
    </row>
    <row r="12317">
      <c r="C12317" s="18"/>
      <c r="D12317" s="19"/>
      <c r="E12317" s="57"/>
      <c r="H12317" s="18"/>
    </row>
    <row r="12318">
      <c r="C12318" s="18"/>
      <c r="D12318" s="19"/>
      <c r="E12318" s="57"/>
      <c r="H12318" s="18"/>
    </row>
    <row r="12319">
      <c r="C12319" s="18"/>
      <c r="D12319" s="19"/>
      <c r="E12319" s="57"/>
      <c r="H12319" s="18"/>
    </row>
    <row r="12320">
      <c r="C12320" s="18"/>
      <c r="D12320" s="19"/>
      <c r="E12320" s="57"/>
      <c r="H12320" s="18"/>
    </row>
    <row r="12321">
      <c r="C12321" s="18"/>
      <c r="D12321" s="19"/>
      <c r="E12321" s="57"/>
      <c r="H12321" s="18"/>
    </row>
    <row r="12322">
      <c r="C12322" s="18"/>
      <c r="D12322" s="19"/>
      <c r="E12322" s="57"/>
      <c r="H12322" s="18"/>
    </row>
    <row r="12323">
      <c r="C12323" s="18"/>
      <c r="D12323" s="19"/>
      <c r="E12323" s="57"/>
      <c r="H12323" s="18"/>
    </row>
    <row r="12324">
      <c r="C12324" s="18"/>
      <c r="D12324" s="19"/>
      <c r="E12324" s="57"/>
      <c r="H12324" s="18"/>
    </row>
    <row r="12325">
      <c r="C12325" s="18"/>
      <c r="D12325" s="19"/>
      <c r="E12325" s="57"/>
      <c r="H12325" s="18"/>
    </row>
    <row r="12326">
      <c r="C12326" s="18"/>
      <c r="D12326" s="19"/>
      <c r="E12326" s="57"/>
      <c r="H12326" s="18"/>
    </row>
    <row r="12327">
      <c r="C12327" s="18"/>
      <c r="D12327" s="19"/>
      <c r="E12327" s="57"/>
      <c r="H12327" s="18"/>
    </row>
    <row r="12328">
      <c r="C12328" s="18"/>
      <c r="D12328" s="19"/>
      <c r="E12328" s="57"/>
      <c r="H12328" s="18"/>
    </row>
    <row r="12329">
      <c r="C12329" s="18"/>
      <c r="D12329" s="19"/>
      <c r="E12329" s="57"/>
      <c r="H12329" s="18"/>
    </row>
    <row r="12330">
      <c r="C12330" s="18"/>
      <c r="D12330" s="19"/>
      <c r="E12330" s="57"/>
      <c r="H12330" s="18"/>
    </row>
    <row r="12331">
      <c r="C12331" s="18"/>
      <c r="D12331" s="19"/>
      <c r="E12331" s="57"/>
      <c r="H12331" s="18"/>
    </row>
    <row r="12332">
      <c r="C12332" s="18"/>
      <c r="D12332" s="19"/>
      <c r="E12332" s="57"/>
      <c r="H12332" s="18"/>
    </row>
    <row r="12333">
      <c r="C12333" s="18"/>
      <c r="D12333" s="19"/>
      <c r="E12333" s="57"/>
      <c r="H12333" s="18"/>
    </row>
    <row r="12334">
      <c r="C12334" s="18"/>
      <c r="D12334" s="19"/>
      <c r="E12334" s="57"/>
      <c r="H12334" s="18"/>
    </row>
    <row r="12335">
      <c r="C12335" s="18"/>
      <c r="D12335" s="19"/>
      <c r="E12335" s="57"/>
      <c r="H12335" s="18"/>
    </row>
    <row r="12336">
      <c r="C12336" s="18"/>
      <c r="D12336" s="19"/>
      <c r="E12336" s="57"/>
      <c r="H12336" s="18"/>
    </row>
    <row r="12337">
      <c r="C12337" s="18"/>
      <c r="D12337" s="19"/>
      <c r="E12337" s="57"/>
      <c r="H12337" s="18"/>
    </row>
    <row r="12338">
      <c r="C12338" s="18"/>
      <c r="D12338" s="19"/>
      <c r="E12338" s="57"/>
      <c r="H12338" s="18"/>
    </row>
    <row r="12339">
      <c r="C12339" s="18"/>
      <c r="D12339" s="19"/>
      <c r="E12339" s="57"/>
      <c r="H12339" s="18"/>
    </row>
    <row r="12340">
      <c r="C12340" s="18"/>
      <c r="D12340" s="19"/>
      <c r="E12340" s="57"/>
      <c r="H12340" s="18"/>
    </row>
    <row r="12341">
      <c r="C12341" s="18"/>
      <c r="D12341" s="19"/>
      <c r="E12341" s="57"/>
      <c r="H12341" s="18"/>
    </row>
    <row r="12342">
      <c r="C12342" s="18"/>
      <c r="D12342" s="19"/>
      <c r="E12342" s="57"/>
      <c r="H12342" s="18"/>
    </row>
    <row r="12343">
      <c r="C12343" s="18"/>
      <c r="D12343" s="19"/>
      <c r="E12343" s="57"/>
      <c r="H12343" s="18"/>
    </row>
    <row r="12344">
      <c r="C12344" s="18"/>
      <c r="D12344" s="19"/>
      <c r="E12344" s="57"/>
      <c r="H12344" s="18"/>
    </row>
    <row r="12345">
      <c r="C12345" s="18"/>
      <c r="D12345" s="19"/>
      <c r="E12345" s="57"/>
      <c r="H12345" s="18"/>
    </row>
    <row r="12346">
      <c r="C12346" s="18"/>
      <c r="D12346" s="19"/>
      <c r="E12346" s="57"/>
      <c r="H12346" s="18"/>
    </row>
    <row r="12347">
      <c r="C12347" s="18"/>
      <c r="D12347" s="19"/>
      <c r="E12347" s="57"/>
      <c r="H12347" s="18"/>
    </row>
    <row r="12348">
      <c r="C12348" s="18"/>
      <c r="D12348" s="19"/>
      <c r="E12348" s="57"/>
      <c r="H12348" s="18"/>
    </row>
    <row r="12349">
      <c r="C12349" s="18"/>
      <c r="D12349" s="19"/>
      <c r="E12349" s="57"/>
      <c r="H12349" s="18"/>
    </row>
    <row r="12350">
      <c r="C12350" s="18"/>
      <c r="D12350" s="19"/>
      <c r="E12350" s="57"/>
      <c r="H12350" s="18"/>
    </row>
    <row r="12351">
      <c r="C12351" s="18"/>
      <c r="D12351" s="19"/>
      <c r="E12351" s="57"/>
      <c r="H12351" s="18"/>
    </row>
    <row r="12352">
      <c r="C12352" s="18"/>
      <c r="D12352" s="19"/>
      <c r="E12352" s="57"/>
      <c r="H12352" s="18"/>
    </row>
    <row r="12353">
      <c r="C12353" s="18"/>
      <c r="D12353" s="19"/>
      <c r="E12353" s="57"/>
      <c r="H12353" s="18"/>
    </row>
    <row r="12354">
      <c r="C12354" s="18"/>
      <c r="D12354" s="19"/>
      <c r="E12354" s="57"/>
      <c r="H12354" s="18"/>
    </row>
    <row r="12355">
      <c r="C12355" s="18"/>
      <c r="D12355" s="19"/>
      <c r="E12355" s="57"/>
      <c r="H12355" s="18"/>
    </row>
    <row r="12356">
      <c r="C12356" s="18"/>
      <c r="D12356" s="19"/>
      <c r="E12356" s="57"/>
      <c r="H12356" s="18"/>
    </row>
    <row r="12357">
      <c r="C12357" s="18"/>
      <c r="D12357" s="19"/>
      <c r="E12357" s="57"/>
      <c r="H12357" s="18"/>
    </row>
    <row r="12358">
      <c r="C12358" s="18"/>
      <c r="D12358" s="19"/>
      <c r="E12358" s="57"/>
      <c r="H12358" s="18"/>
    </row>
    <row r="12359">
      <c r="C12359" s="18"/>
      <c r="D12359" s="19"/>
      <c r="E12359" s="57"/>
      <c r="H12359" s="18"/>
    </row>
    <row r="12360">
      <c r="C12360" s="18"/>
      <c r="D12360" s="19"/>
      <c r="E12360" s="57"/>
      <c r="H12360" s="18"/>
    </row>
    <row r="12361">
      <c r="C12361" s="18"/>
      <c r="D12361" s="19"/>
      <c r="E12361" s="57"/>
      <c r="H12361" s="18"/>
    </row>
    <row r="12362">
      <c r="C12362" s="18"/>
      <c r="D12362" s="19"/>
      <c r="E12362" s="57"/>
      <c r="H12362" s="18"/>
    </row>
    <row r="12363">
      <c r="C12363" s="18"/>
      <c r="D12363" s="19"/>
      <c r="E12363" s="57"/>
      <c r="H12363" s="18"/>
    </row>
    <row r="12364">
      <c r="C12364" s="18"/>
      <c r="D12364" s="19"/>
      <c r="E12364" s="57"/>
      <c r="H12364" s="18"/>
    </row>
    <row r="12365">
      <c r="C12365" s="18"/>
      <c r="D12365" s="19"/>
      <c r="E12365" s="57"/>
      <c r="H12365" s="18"/>
    </row>
    <row r="12366">
      <c r="C12366" s="18"/>
      <c r="D12366" s="19"/>
      <c r="E12366" s="57"/>
      <c r="H12366" s="18"/>
    </row>
    <row r="12367">
      <c r="C12367" s="18"/>
      <c r="D12367" s="19"/>
      <c r="E12367" s="57"/>
      <c r="H12367" s="18"/>
    </row>
    <row r="12368">
      <c r="C12368" s="18"/>
      <c r="D12368" s="19"/>
      <c r="E12368" s="57"/>
      <c r="H12368" s="18"/>
    </row>
    <row r="12369">
      <c r="C12369" s="18"/>
      <c r="D12369" s="19"/>
      <c r="E12369" s="57"/>
      <c r="H12369" s="18"/>
    </row>
    <row r="12370">
      <c r="C12370" s="18"/>
      <c r="D12370" s="19"/>
      <c r="E12370" s="57"/>
      <c r="H12370" s="18"/>
    </row>
    <row r="12371">
      <c r="C12371" s="18"/>
      <c r="D12371" s="19"/>
      <c r="E12371" s="57"/>
      <c r="H12371" s="18"/>
    </row>
    <row r="12372">
      <c r="C12372" s="18"/>
      <c r="D12372" s="19"/>
      <c r="E12372" s="57"/>
      <c r="H12372" s="18"/>
    </row>
    <row r="12373">
      <c r="C12373" s="18"/>
      <c r="D12373" s="19"/>
      <c r="E12373" s="57"/>
      <c r="H12373" s="18"/>
    </row>
    <row r="12374">
      <c r="C12374" s="18"/>
      <c r="D12374" s="19"/>
      <c r="E12374" s="57"/>
      <c r="H12374" s="18"/>
    </row>
    <row r="12375">
      <c r="C12375" s="18"/>
      <c r="D12375" s="19"/>
      <c r="E12375" s="57"/>
      <c r="H12375" s="18"/>
    </row>
    <row r="12376">
      <c r="C12376" s="18"/>
      <c r="D12376" s="19"/>
      <c r="E12376" s="57"/>
      <c r="H12376" s="18"/>
    </row>
    <row r="12377">
      <c r="C12377" s="18"/>
      <c r="D12377" s="19"/>
      <c r="E12377" s="57"/>
      <c r="H12377" s="18"/>
    </row>
    <row r="12378">
      <c r="C12378" s="18"/>
      <c r="D12378" s="19"/>
      <c r="E12378" s="57"/>
      <c r="H12378" s="18"/>
    </row>
    <row r="12379">
      <c r="C12379" s="18"/>
      <c r="D12379" s="19"/>
      <c r="E12379" s="57"/>
      <c r="H12379" s="18"/>
    </row>
    <row r="12380">
      <c r="C12380" s="18"/>
      <c r="D12380" s="19"/>
      <c r="E12380" s="57"/>
      <c r="H12380" s="18"/>
    </row>
    <row r="12381">
      <c r="C12381" s="18"/>
      <c r="D12381" s="19"/>
      <c r="E12381" s="57"/>
      <c r="H12381" s="18"/>
    </row>
    <row r="12382">
      <c r="C12382" s="18"/>
      <c r="D12382" s="19"/>
      <c r="E12382" s="57"/>
      <c r="H12382" s="18"/>
    </row>
    <row r="12383">
      <c r="C12383" s="18"/>
      <c r="D12383" s="19"/>
      <c r="E12383" s="57"/>
      <c r="H12383" s="18"/>
    </row>
    <row r="12384">
      <c r="C12384" s="18"/>
      <c r="D12384" s="19"/>
      <c r="E12384" s="57"/>
      <c r="H12384" s="18"/>
    </row>
    <row r="12385">
      <c r="C12385" s="18"/>
      <c r="D12385" s="19"/>
      <c r="E12385" s="57"/>
      <c r="H12385" s="18"/>
    </row>
    <row r="12386">
      <c r="C12386" s="18"/>
      <c r="D12386" s="19"/>
      <c r="E12386" s="57"/>
      <c r="H12386" s="18"/>
    </row>
    <row r="12387">
      <c r="C12387" s="18"/>
      <c r="D12387" s="19"/>
      <c r="E12387" s="57"/>
      <c r="H12387" s="18"/>
    </row>
    <row r="12388">
      <c r="C12388" s="18"/>
      <c r="D12388" s="19"/>
      <c r="E12388" s="57"/>
      <c r="H12388" s="18"/>
    </row>
    <row r="12389">
      <c r="C12389" s="18"/>
      <c r="D12389" s="19"/>
      <c r="E12389" s="57"/>
      <c r="H12389" s="18"/>
    </row>
    <row r="12390">
      <c r="C12390" s="18"/>
      <c r="D12390" s="19"/>
      <c r="E12390" s="57"/>
      <c r="H12390" s="18"/>
    </row>
    <row r="12391">
      <c r="C12391" s="18"/>
      <c r="D12391" s="19"/>
      <c r="E12391" s="57"/>
      <c r="H12391" s="18"/>
    </row>
    <row r="12392">
      <c r="C12392" s="18"/>
      <c r="D12392" s="19"/>
      <c r="E12392" s="57"/>
      <c r="H12392" s="18"/>
    </row>
    <row r="12393">
      <c r="C12393" s="18"/>
      <c r="D12393" s="19"/>
      <c r="E12393" s="57"/>
      <c r="H12393" s="18"/>
    </row>
    <row r="12394">
      <c r="C12394" s="18"/>
      <c r="D12394" s="19"/>
      <c r="E12394" s="57"/>
      <c r="H12394" s="18"/>
    </row>
    <row r="12395">
      <c r="C12395" s="18"/>
      <c r="D12395" s="19"/>
      <c r="E12395" s="57"/>
      <c r="H12395" s="18"/>
    </row>
    <row r="12396">
      <c r="C12396" s="18"/>
      <c r="D12396" s="19"/>
      <c r="E12396" s="57"/>
      <c r="H12396" s="18"/>
    </row>
    <row r="12397">
      <c r="C12397" s="18"/>
      <c r="D12397" s="19"/>
      <c r="E12397" s="57"/>
      <c r="H12397" s="18"/>
    </row>
    <row r="12398">
      <c r="C12398" s="18"/>
      <c r="D12398" s="19"/>
      <c r="E12398" s="57"/>
      <c r="H12398" s="18"/>
    </row>
    <row r="12399">
      <c r="C12399" s="18"/>
      <c r="D12399" s="19"/>
      <c r="E12399" s="57"/>
      <c r="H12399" s="18"/>
    </row>
    <row r="12400">
      <c r="C12400" s="18"/>
      <c r="D12400" s="19"/>
      <c r="E12400" s="57"/>
      <c r="H12400" s="18"/>
    </row>
    <row r="12401">
      <c r="C12401" s="18"/>
      <c r="D12401" s="19"/>
      <c r="E12401" s="57"/>
      <c r="H12401" s="18"/>
    </row>
    <row r="12402">
      <c r="C12402" s="18"/>
      <c r="D12402" s="19"/>
      <c r="E12402" s="57"/>
      <c r="H12402" s="18"/>
    </row>
    <row r="12403">
      <c r="C12403" s="18"/>
      <c r="D12403" s="19"/>
      <c r="E12403" s="57"/>
      <c r="H12403" s="18"/>
    </row>
    <row r="12404">
      <c r="C12404" s="18"/>
      <c r="D12404" s="19"/>
      <c r="E12404" s="57"/>
      <c r="H12404" s="18"/>
    </row>
    <row r="12405">
      <c r="C12405" s="18"/>
      <c r="D12405" s="19"/>
      <c r="E12405" s="57"/>
      <c r="H12405" s="18"/>
    </row>
    <row r="12406">
      <c r="C12406" s="18"/>
      <c r="D12406" s="19"/>
      <c r="E12406" s="57"/>
      <c r="H12406" s="18"/>
    </row>
    <row r="12407">
      <c r="C12407" s="18"/>
      <c r="D12407" s="19"/>
      <c r="E12407" s="57"/>
      <c r="H12407" s="18"/>
    </row>
    <row r="12408">
      <c r="C12408" s="18"/>
      <c r="D12408" s="19"/>
      <c r="E12408" s="57"/>
      <c r="H12408" s="18"/>
    </row>
    <row r="12409">
      <c r="C12409" s="18"/>
      <c r="D12409" s="19"/>
      <c r="E12409" s="57"/>
      <c r="H12409" s="18"/>
    </row>
    <row r="12410">
      <c r="C12410" s="18"/>
      <c r="D12410" s="19"/>
      <c r="E12410" s="57"/>
      <c r="H12410" s="18"/>
    </row>
    <row r="12411">
      <c r="C12411" s="18"/>
      <c r="D12411" s="19"/>
      <c r="E12411" s="57"/>
      <c r="H12411" s="18"/>
    </row>
    <row r="12412">
      <c r="C12412" s="18"/>
      <c r="D12412" s="19"/>
      <c r="E12412" s="57"/>
      <c r="H12412" s="18"/>
    </row>
    <row r="12413">
      <c r="C12413" s="18"/>
      <c r="D12413" s="19"/>
      <c r="E12413" s="57"/>
      <c r="H12413" s="18"/>
    </row>
    <row r="12414">
      <c r="C12414" s="18"/>
      <c r="D12414" s="19"/>
      <c r="E12414" s="57"/>
      <c r="H12414" s="18"/>
    </row>
    <row r="12415">
      <c r="C12415" s="18"/>
      <c r="D12415" s="19"/>
      <c r="E12415" s="57"/>
      <c r="H12415" s="18"/>
    </row>
    <row r="12416">
      <c r="C12416" s="18"/>
      <c r="D12416" s="19"/>
      <c r="E12416" s="57"/>
      <c r="H12416" s="18"/>
    </row>
    <row r="12417">
      <c r="C12417" s="18"/>
      <c r="D12417" s="19"/>
      <c r="E12417" s="57"/>
      <c r="H12417" s="18"/>
    </row>
    <row r="12418">
      <c r="C12418" s="18"/>
      <c r="D12418" s="19"/>
      <c r="E12418" s="57"/>
      <c r="H12418" s="18"/>
    </row>
    <row r="12419">
      <c r="C12419" s="18"/>
      <c r="D12419" s="19"/>
      <c r="E12419" s="57"/>
      <c r="H12419" s="18"/>
    </row>
    <row r="12420">
      <c r="C12420" s="18"/>
      <c r="D12420" s="19"/>
      <c r="E12420" s="57"/>
      <c r="H12420" s="18"/>
    </row>
    <row r="12421">
      <c r="C12421" s="18"/>
      <c r="D12421" s="19"/>
      <c r="E12421" s="57"/>
      <c r="H12421" s="18"/>
    </row>
    <row r="12422">
      <c r="C12422" s="18"/>
      <c r="D12422" s="19"/>
      <c r="E12422" s="57"/>
      <c r="H12422" s="18"/>
    </row>
    <row r="12423">
      <c r="C12423" s="18"/>
      <c r="D12423" s="19"/>
      <c r="E12423" s="57"/>
      <c r="H12423" s="18"/>
    </row>
    <row r="12424">
      <c r="C12424" s="18"/>
      <c r="D12424" s="19"/>
      <c r="E12424" s="57"/>
      <c r="H12424" s="18"/>
    </row>
    <row r="12425">
      <c r="C12425" s="18"/>
      <c r="D12425" s="19"/>
      <c r="E12425" s="57"/>
      <c r="H12425" s="18"/>
    </row>
    <row r="12426">
      <c r="C12426" s="18"/>
      <c r="D12426" s="19"/>
      <c r="E12426" s="57"/>
      <c r="H12426" s="18"/>
    </row>
    <row r="12427">
      <c r="C12427" s="18"/>
      <c r="D12427" s="19"/>
      <c r="E12427" s="57"/>
      <c r="H12427" s="18"/>
    </row>
    <row r="12428">
      <c r="C12428" s="18"/>
      <c r="D12428" s="19"/>
      <c r="E12428" s="57"/>
      <c r="H12428" s="18"/>
    </row>
    <row r="12429">
      <c r="C12429" s="18"/>
      <c r="D12429" s="19"/>
      <c r="E12429" s="57"/>
      <c r="H12429" s="18"/>
    </row>
    <row r="12430">
      <c r="C12430" s="18"/>
      <c r="D12430" s="19"/>
      <c r="E12430" s="57"/>
      <c r="H12430" s="18"/>
    </row>
    <row r="12431">
      <c r="C12431" s="18"/>
      <c r="D12431" s="19"/>
      <c r="E12431" s="57"/>
      <c r="H12431" s="18"/>
    </row>
    <row r="12432">
      <c r="C12432" s="18"/>
      <c r="D12432" s="19"/>
      <c r="E12432" s="57"/>
      <c r="H12432" s="18"/>
    </row>
    <row r="12433">
      <c r="C12433" s="18"/>
      <c r="D12433" s="19"/>
      <c r="E12433" s="57"/>
      <c r="H12433" s="18"/>
    </row>
    <row r="12434">
      <c r="C12434" s="18"/>
      <c r="D12434" s="19"/>
      <c r="E12434" s="57"/>
      <c r="H12434" s="18"/>
    </row>
    <row r="12435">
      <c r="C12435" s="18"/>
      <c r="D12435" s="19"/>
      <c r="E12435" s="57"/>
      <c r="H12435" s="18"/>
    </row>
    <row r="12436">
      <c r="C12436" s="18"/>
      <c r="D12436" s="19"/>
      <c r="E12436" s="57"/>
      <c r="H12436" s="18"/>
    </row>
    <row r="12437">
      <c r="C12437" s="18"/>
      <c r="D12437" s="19"/>
      <c r="E12437" s="57"/>
      <c r="H12437" s="18"/>
    </row>
    <row r="12438">
      <c r="C12438" s="18"/>
      <c r="D12438" s="19"/>
      <c r="E12438" s="57"/>
      <c r="H12438" s="18"/>
    </row>
    <row r="12439">
      <c r="C12439" s="18"/>
      <c r="D12439" s="19"/>
      <c r="E12439" s="57"/>
      <c r="H12439" s="18"/>
    </row>
    <row r="12440">
      <c r="C12440" s="18"/>
      <c r="D12440" s="19"/>
      <c r="E12440" s="57"/>
      <c r="H12440" s="18"/>
    </row>
    <row r="12441">
      <c r="C12441" s="18"/>
      <c r="D12441" s="19"/>
      <c r="E12441" s="57"/>
      <c r="H12441" s="18"/>
    </row>
    <row r="12442">
      <c r="C12442" s="18"/>
      <c r="D12442" s="19"/>
      <c r="E12442" s="57"/>
      <c r="H12442" s="18"/>
    </row>
    <row r="12443">
      <c r="C12443" s="18"/>
      <c r="D12443" s="19"/>
      <c r="E12443" s="57"/>
      <c r="H12443" s="18"/>
    </row>
    <row r="12444">
      <c r="C12444" s="18"/>
      <c r="D12444" s="19"/>
      <c r="E12444" s="57"/>
      <c r="H12444" s="18"/>
    </row>
    <row r="12445">
      <c r="C12445" s="18"/>
      <c r="D12445" s="19"/>
      <c r="E12445" s="57"/>
      <c r="H12445" s="18"/>
    </row>
    <row r="12446">
      <c r="C12446" s="18"/>
      <c r="D12446" s="19"/>
      <c r="E12446" s="57"/>
      <c r="H12446" s="18"/>
    </row>
    <row r="12447">
      <c r="C12447" s="18"/>
      <c r="D12447" s="19"/>
      <c r="E12447" s="57"/>
      <c r="H12447" s="18"/>
    </row>
    <row r="12448">
      <c r="C12448" s="18"/>
      <c r="D12448" s="19"/>
      <c r="E12448" s="57"/>
      <c r="H12448" s="18"/>
    </row>
    <row r="12449">
      <c r="C12449" s="18"/>
      <c r="D12449" s="19"/>
      <c r="E12449" s="57"/>
      <c r="H12449" s="18"/>
    </row>
    <row r="12450">
      <c r="C12450" s="18"/>
      <c r="D12450" s="19"/>
      <c r="E12450" s="57"/>
      <c r="H12450" s="18"/>
    </row>
    <row r="12451">
      <c r="C12451" s="18"/>
      <c r="D12451" s="19"/>
      <c r="E12451" s="57"/>
      <c r="H12451" s="18"/>
    </row>
    <row r="12452">
      <c r="C12452" s="18"/>
      <c r="D12452" s="19"/>
      <c r="E12452" s="57"/>
      <c r="H12452" s="18"/>
    </row>
    <row r="12453">
      <c r="C12453" s="18"/>
      <c r="D12453" s="19"/>
      <c r="E12453" s="57"/>
      <c r="H12453" s="18"/>
    </row>
    <row r="12454">
      <c r="C12454" s="18"/>
      <c r="D12454" s="19"/>
      <c r="E12454" s="57"/>
      <c r="H12454" s="18"/>
    </row>
    <row r="12455">
      <c r="C12455" s="18"/>
      <c r="D12455" s="19"/>
      <c r="E12455" s="57"/>
      <c r="H12455" s="18"/>
    </row>
    <row r="12456">
      <c r="C12456" s="18"/>
      <c r="D12456" s="19"/>
      <c r="E12456" s="57"/>
      <c r="H12456" s="18"/>
    </row>
    <row r="12457">
      <c r="C12457" s="18"/>
      <c r="D12457" s="19"/>
      <c r="E12457" s="57"/>
      <c r="H12457" s="18"/>
    </row>
    <row r="12458">
      <c r="C12458" s="18"/>
      <c r="D12458" s="19"/>
      <c r="E12458" s="57"/>
      <c r="H12458" s="18"/>
    </row>
    <row r="12459">
      <c r="C12459" s="18"/>
      <c r="D12459" s="19"/>
      <c r="E12459" s="57"/>
      <c r="H12459" s="18"/>
    </row>
    <row r="12460">
      <c r="C12460" s="18"/>
      <c r="D12460" s="19"/>
      <c r="E12460" s="57"/>
      <c r="H12460" s="18"/>
    </row>
    <row r="12461">
      <c r="C12461" s="18"/>
      <c r="D12461" s="19"/>
      <c r="E12461" s="57"/>
      <c r="H12461" s="18"/>
    </row>
    <row r="12462">
      <c r="C12462" s="18"/>
      <c r="D12462" s="19"/>
      <c r="E12462" s="57"/>
      <c r="H12462" s="18"/>
    </row>
    <row r="12463">
      <c r="C12463" s="18"/>
      <c r="D12463" s="19"/>
      <c r="E12463" s="57"/>
      <c r="H12463" s="18"/>
    </row>
    <row r="12464">
      <c r="C12464" s="18"/>
      <c r="D12464" s="19"/>
      <c r="E12464" s="57"/>
      <c r="H12464" s="18"/>
    </row>
    <row r="12465">
      <c r="C12465" s="18"/>
      <c r="D12465" s="19"/>
      <c r="E12465" s="57"/>
      <c r="H12465" s="18"/>
    </row>
    <row r="12466">
      <c r="C12466" s="18"/>
      <c r="D12466" s="19"/>
      <c r="E12466" s="57"/>
      <c r="H12466" s="18"/>
    </row>
    <row r="12467">
      <c r="C12467" s="18"/>
      <c r="D12467" s="19"/>
      <c r="E12467" s="57"/>
      <c r="H12467" s="18"/>
    </row>
    <row r="12468">
      <c r="C12468" s="18"/>
      <c r="D12468" s="19"/>
      <c r="E12468" s="57"/>
      <c r="H12468" s="18"/>
    </row>
    <row r="12469">
      <c r="C12469" s="18"/>
      <c r="D12469" s="19"/>
      <c r="E12469" s="57"/>
      <c r="H12469" s="18"/>
    </row>
    <row r="12470">
      <c r="C12470" s="18"/>
      <c r="D12470" s="19"/>
      <c r="E12470" s="57"/>
      <c r="H12470" s="18"/>
    </row>
    <row r="12471">
      <c r="C12471" s="18"/>
      <c r="D12471" s="19"/>
      <c r="E12471" s="57"/>
      <c r="H12471" s="18"/>
    </row>
    <row r="12472">
      <c r="C12472" s="18"/>
      <c r="D12472" s="19"/>
      <c r="E12472" s="57"/>
      <c r="H12472" s="18"/>
    </row>
    <row r="12473">
      <c r="C12473" s="18"/>
      <c r="D12473" s="19"/>
      <c r="E12473" s="57"/>
      <c r="H12473" s="18"/>
    </row>
    <row r="12474">
      <c r="C12474" s="18"/>
      <c r="D12474" s="19"/>
      <c r="E12474" s="57"/>
      <c r="H12474" s="18"/>
    </row>
    <row r="12475">
      <c r="C12475" s="18"/>
      <c r="D12475" s="19"/>
      <c r="E12475" s="57"/>
      <c r="H12475" s="18"/>
    </row>
    <row r="12476">
      <c r="C12476" s="18"/>
      <c r="D12476" s="19"/>
      <c r="E12476" s="57"/>
      <c r="H12476" s="18"/>
    </row>
    <row r="12477">
      <c r="C12477" s="18"/>
      <c r="D12477" s="19"/>
      <c r="E12477" s="57"/>
      <c r="H12477" s="18"/>
    </row>
    <row r="12478">
      <c r="C12478" s="18"/>
      <c r="D12478" s="19"/>
      <c r="E12478" s="57"/>
      <c r="H12478" s="18"/>
    </row>
    <row r="12479">
      <c r="C12479" s="18"/>
      <c r="D12479" s="19"/>
      <c r="E12479" s="57"/>
      <c r="H12479" s="18"/>
    </row>
    <row r="12480">
      <c r="C12480" s="18"/>
      <c r="D12480" s="19"/>
      <c r="E12480" s="57"/>
      <c r="H12480" s="18"/>
    </row>
    <row r="12481">
      <c r="C12481" s="18"/>
      <c r="D12481" s="19"/>
      <c r="E12481" s="57"/>
      <c r="H12481" s="18"/>
    </row>
    <row r="12482">
      <c r="C12482" s="18"/>
      <c r="D12482" s="19"/>
      <c r="E12482" s="57"/>
      <c r="H12482" s="18"/>
    </row>
    <row r="12483">
      <c r="C12483" s="18"/>
      <c r="D12483" s="19"/>
      <c r="E12483" s="57"/>
      <c r="H12483" s="18"/>
    </row>
    <row r="12484">
      <c r="C12484" s="18"/>
      <c r="D12484" s="19"/>
      <c r="E12484" s="57"/>
      <c r="H12484" s="18"/>
    </row>
    <row r="12485">
      <c r="C12485" s="18"/>
      <c r="D12485" s="19"/>
      <c r="E12485" s="57"/>
      <c r="H12485" s="18"/>
    </row>
    <row r="12486">
      <c r="C12486" s="18"/>
      <c r="D12486" s="19"/>
      <c r="E12486" s="57"/>
      <c r="H12486" s="18"/>
    </row>
    <row r="12487">
      <c r="C12487" s="18"/>
      <c r="D12487" s="19"/>
      <c r="E12487" s="57"/>
      <c r="H12487" s="18"/>
    </row>
    <row r="12488">
      <c r="C12488" s="18"/>
      <c r="D12488" s="19"/>
      <c r="E12488" s="57"/>
      <c r="H12488" s="18"/>
    </row>
    <row r="12489">
      <c r="C12489" s="18"/>
      <c r="D12489" s="19"/>
      <c r="E12489" s="57"/>
      <c r="H12489" s="18"/>
    </row>
    <row r="12490">
      <c r="C12490" s="18"/>
      <c r="D12490" s="19"/>
      <c r="E12490" s="57"/>
      <c r="H12490" s="18"/>
    </row>
    <row r="12491">
      <c r="C12491" s="18"/>
      <c r="D12491" s="19"/>
      <c r="E12491" s="57"/>
      <c r="H12491" s="18"/>
    </row>
    <row r="12492">
      <c r="C12492" s="18"/>
      <c r="D12492" s="19"/>
      <c r="E12492" s="57"/>
      <c r="H12492" s="18"/>
    </row>
    <row r="12493">
      <c r="C12493" s="18"/>
      <c r="D12493" s="19"/>
      <c r="E12493" s="57"/>
      <c r="H12493" s="18"/>
    </row>
    <row r="12494">
      <c r="C12494" s="18"/>
      <c r="D12494" s="19"/>
      <c r="E12494" s="57"/>
      <c r="H12494" s="18"/>
    </row>
    <row r="12495">
      <c r="C12495" s="18"/>
      <c r="D12495" s="19"/>
      <c r="E12495" s="57"/>
      <c r="H12495" s="18"/>
    </row>
    <row r="12496">
      <c r="C12496" s="18"/>
      <c r="D12496" s="19"/>
      <c r="E12496" s="57"/>
      <c r="H12496" s="18"/>
    </row>
    <row r="12497">
      <c r="C12497" s="18"/>
      <c r="D12497" s="19"/>
      <c r="E12497" s="57"/>
      <c r="H12497" s="18"/>
    </row>
    <row r="12498">
      <c r="C12498" s="18"/>
      <c r="D12498" s="19"/>
      <c r="E12498" s="57"/>
      <c r="H12498" s="18"/>
    </row>
    <row r="12499">
      <c r="C12499" s="18"/>
      <c r="D12499" s="19"/>
      <c r="E12499" s="57"/>
      <c r="H12499" s="18"/>
    </row>
    <row r="12500">
      <c r="C12500" s="18"/>
      <c r="D12500" s="19"/>
      <c r="E12500" s="57"/>
      <c r="H12500" s="18"/>
    </row>
    <row r="12501">
      <c r="C12501" s="18"/>
      <c r="D12501" s="19"/>
      <c r="E12501" s="57"/>
      <c r="H12501" s="18"/>
    </row>
    <row r="12502">
      <c r="C12502" s="18"/>
      <c r="D12502" s="19"/>
      <c r="E12502" s="57"/>
      <c r="H12502" s="18"/>
    </row>
    <row r="12503">
      <c r="C12503" s="18"/>
      <c r="D12503" s="19"/>
      <c r="E12503" s="57"/>
      <c r="H12503" s="18"/>
    </row>
    <row r="12504">
      <c r="C12504" s="18"/>
      <c r="D12504" s="19"/>
      <c r="E12504" s="57"/>
      <c r="H12504" s="18"/>
    </row>
    <row r="12505">
      <c r="C12505" s="18"/>
      <c r="D12505" s="19"/>
      <c r="E12505" s="57"/>
      <c r="H12505" s="18"/>
    </row>
    <row r="12506">
      <c r="C12506" s="18"/>
      <c r="D12506" s="19"/>
      <c r="E12506" s="57"/>
      <c r="H12506" s="18"/>
    </row>
    <row r="12507">
      <c r="C12507" s="18"/>
      <c r="D12507" s="19"/>
      <c r="E12507" s="57"/>
      <c r="H12507" s="18"/>
    </row>
    <row r="12508">
      <c r="C12508" s="18"/>
      <c r="D12508" s="19"/>
      <c r="E12508" s="57"/>
      <c r="H12508" s="18"/>
    </row>
    <row r="12509">
      <c r="C12509" s="18"/>
      <c r="D12509" s="19"/>
      <c r="E12509" s="57"/>
      <c r="H12509" s="18"/>
    </row>
    <row r="12510">
      <c r="C12510" s="18"/>
      <c r="D12510" s="19"/>
      <c r="E12510" s="57"/>
      <c r="H12510" s="18"/>
    </row>
    <row r="12511">
      <c r="C12511" s="18"/>
      <c r="D12511" s="19"/>
      <c r="E12511" s="57"/>
      <c r="H12511" s="18"/>
    </row>
    <row r="12512">
      <c r="C12512" s="18"/>
      <c r="D12512" s="19"/>
      <c r="E12512" s="57"/>
      <c r="H12512" s="18"/>
    </row>
    <row r="12513">
      <c r="C12513" s="18"/>
      <c r="D12513" s="19"/>
      <c r="E12513" s="57"/>
      <c r="H12513" s="18"/>
    </row>
    <row r="12514">
      <c r="C12514" s="18"/>
      <c r="D12514" s="19"/>
      <c r="E12514" s="57"/>
      <c r="H12514" s="18"/>
    </row>
    <row r="12515">
      <c r="C12515" s="18"/>
      <c r="D12515" s="19"/>
      <c r="E12515" s="57"/>
      <c r="H12515" s="18"/>
    </row>
    <row r="12516">
      <c r="C12516" s="18"/>
      <c r="D12516" s="19"/>
      <c r="E12516" s="57"/>
      <c r="H12516" s="18"/>
    </row>
    <row r="12517">
      <c r="C12517" s="18"/>
      <c r="D12517" s="19"/>
      <c r="E12517" s="57"/>
      <c r="H12517" s="18"/>
    </row>
    <row r="12518">
      <c r="C12518" s="18"/>
      <c r="D12518" s="19"/>
      <c r="E12518" s="57"/>
      <c r="H12518" s="18"/>
    </row>
    <row r="12519">
      <c r="C12519" s="18"/>
      <c r="D12519" s="19"/>
      <c r="E12519" s="57"/>
      <c r="H12519" s="18"/>
    </row>
    <row r="12520">
      <c r="C12520" s="18"/>
      <c r="D12520" s="19"/>
      <c r="E12520" s="57"/>
      <c r="H12520" s="18"/>
    </row>
    <row r="12521">
      <c r="C12521" s="18"/>
      <c r="D12521" s="19"/>
      <c r="E12521" s="57"/>
      <c r="H12521" s="18"/>
    </row>
    <row r="12522">
      <c r="C12522" s="18"/>
      <c r="D12522" s="19"/>
      <c r="E12522" s="57"/>
      <c r="H12522" s="18"/>
    </row>
    <row r="12523">
      <c r="C12523" s="18"/>
      <c r="D12523" s="19"/>
      <c r="E12523" s="57"/>
      <c r="H12523" s="18"/>
    </row>
    <row r="12524">
      <c r="C12524" s="18"/>
      <c r="D12524" s="19"/>
      <c r="E12524" s="57"/>
      <c r="H12524" s="18"/>
    </row>
    <row r="12525">
      <c r="C12525" s="18"/>
      <c r="D12525" s="19"/>
      <c r="E12525" s="57"/>
      <c r="H12525" s="18"/>
    </row>
    <row r="12526">
      <c r="C12526" s="18"/>
      <c r="D12526" s="19"/>
      <c r="E12526" s="57"/>
      <c r="H12526" s="18"/>
    </row>
    <row r="12527">
      <c r="C12527" s="18"/>
      <c r="D12527" s="19"/>
      <c r="E12527" s="57"/>
      <c r="H12527" s="18"/>
    </row>
    <row r="12528">
      <c r="C12528" s="18"/>
      <c r="D12528" s="19"/>
      <c r="E12528" s="57"/>
      <c r="H12528" s="18"/>
    </row>
    <row r="12529">
      <c r="C12529" s="18"/>
      <c r="D12529" s="19"/>
      <c r="E12529" s="57"/>
      <c r="H12529" s="18"/>
    </row>
    <row r="12530">
      <c r="C12530" s="18"/>
      <c r="D12530" s="19"/>
      <c r="E12530" s="57"/>
      <c r="H12530" s="18"/>
    </row>
    <row r="12531">
      <c r="C12531" s="18"/>
      <c r="D12531" s="19"/>
      <c r="E12531" s="57"/>
      <c r="H12531" s="18"/>
    </row>
    <row r="12532">
      <c r="C12532" s="18"/>
      <c r="D12532" s="19"/>
      <c r="E12532" s="57"/>
      <c r="H12532" s="18"/>
    </row>
    <row r="12533">
      <c r="C12533" s="18"/>
      <c r="D12533" s="19"/>
      <c r="E12533" s="57"/>
      <c r="H12533" s="18"/>
    </row>
    <row r="12534">
      <c r="C12534" s="18"/>
      <c r="D12534" s="19"/>
      <c r="E12534" s="57"/>
      <c r="H12534" s="18"/>
    </row>
    <row r="12535">
      <c r="C12535" s="18"/>
      <c r="D12535" s="19"/>
      <c r="E12535" s="57"/>
      <c r="H12535" s="18"/>
    </row>
    <row r="12536">
      <c r="C12536" s="18"/>
      <c r="D12536" s="19"/>
      <c r="E12536" s="57"/>
      <c r="H12536" s="18"/>
    </row>
    <row r="12537">
      <c r="C12537" s="18"/>
      <c r="D12537" s="19"/>
      <c r="E12537" s="57"/>
      <c r="H12537" s="18"/>
    </row>
    <row r="12538">
      <c r="C12538" s="18"/>
      <c r="D12538" s="19"/>
      <c r="E12538" s="57"/>
      <c r="H12538" s="18"/>
    </row>
    <row r="12539">
      <c r="C12539" s="18"/>
      <c r="D12539" s="19"/>
      <c r="E12539" s="57"/>
      <c r="H12539" s="18"/>
    </row>
    <row r="12540">
      <c r="C12540" s="18"/>
      <c r="D12540" s="19"/>
      <c r="E12540" s="57"/>
      <c r="H12540" s="18"/>
    </row>
    <row r="12541">
      <c r="C12541" s="18"/>
      <c r="D12541" s="19"/>
      <c r="E12541" s="57"/>
      <c r="H12541" s="18"/>
    </row>
    <row r="12542">
      <c r="C12542" s="18"/>
      <c r="D12542" s="19"/>
      <c r="E12542" s="57"/>
      <c r="H12542" s="18"/>
    </row>
    <row r="12543">
      <c r="C12543" s="18"/>
      <c r="D12543" s="19"/>
      <c r="E12543" s="57"/>
      <c r="H12543" s="18"/>
    </row>
    <row r="12544">
      <c r="C12544" s="18"/>
      <c r="D12544" s="19"/>
      <c r="E12544" s="57"/>
      <c r="H12544" s="18"/>
    </row>
    <row r="12545">
      <c r="C12545" s="18"/>
      <c r="D12545" s="19"/>
      <c r="E12545" s="57"/>
      <c r="H12545" s="18"/>
    </row>
    <row r="12546">
      <c r="C12546" s="18"/>
      <c r="D12546" s="19"/>
      <c r="E12546" s="57"/>
      <c r="H12546" s="18"/>
    </row>
    <row r="12547">
      <c r="C12547" s="18"/>
      <c r="D12547" s="19"/>
      <c r="E12547" s="57"/>
      <c r="H12547" s="18"/>
    </row>
    <row r="12548">
      <c r="C12548" s="18"/>
      <c r="D12548" s="19"/>
      <c r="E12548" s="57"/>
      <c r="H12548" s="18"/>
    </row>
    <row r="12549">
      <c r="C12549" s="18"/>
      <c r="D12549" s="19"/>
      <c r="E12549" s="57"/>
      <c r="H12549" s="18"/>
    </row>
    <row r="12550">
      <c r="C12550" s="18"/>
      <c r="D12550" s="19"/>
      <c r="E12550" s="57"/>
      <c r="H12550" s="18"/>
    </row>
    <row r="12551">
      <c r="C12551" s="18"/>
      <c r="D12551" s="19"/>
      <c r="E12551" s="57"/>
      <c r="H12551" s="18"/>
    </row>
    <row r="12552">
      <c r="C12552" s="18"/>
      <c r="D12552" s="19"/>
      <c r="E12552" s="57"/>
      <c r="H12552" s="18"/>
    </row>
    <row r="12553">
      <c r="C12553" s="18"/>
      <c r="D12553" s="19"/>
      <c r="E12553" s="57"/>
      <c r="H12553" s="18"/>
    </row>
    <row r="12554">
      <c r="C12554" s="18"/>
      <c r="D12554" s="19"/>
      <c r="E12554" s="57"/>
      <c r="H12554" s="18"/>
    </row>
    <row r="12555">
      <c r="C12555" s="18"/>
      <c r="D12555" s="19"/>
      <c r="E12555" s="57"/>
      <c r="H12555" s="18"/>
    </row>
    <row r="12556">
      <c r="C12556" s="18"/>
      <c r="D12556" s="19"/>
      <c r="E12556" s="57"/>
      <c r="H12556" s="18"/>
    </row>
    <row r="12557">
      <c r="C12557" s="18"/>
      <c r="D12557" s="19"/>
      <c r="E12557" s="57"/>
      <c r="H12557" s="18"/>
    </row>
    <row r="12558">
      <c r="C12558" s="18"/>
      <c r="D12558" s="19"/>
      <c r="E12558" s="57"/>
      <c r="H12558" s="18"/>
    </row>
    <row r="12559">
      <c r="C12559" s="18"/>
      <c r="D12559" s="19"/>
      <c r="E12559" s="57"/>
      <c r="H12559" s="18"/>
    </row>
    <row r="12560">
      <c r="C12560" s="18"/>
      <c r="D12560" s="19"/>
      <c r="E12560" s="57"/>
      <c r="H12560" s="18"/>
    </row>
    <row r="12561">
      <c r="C12561" s="18"/>
      <c r="D12561" s="19"/>
      <c r="E12561" s="57"/>
      <c r="H12561" s="18"/>
    </row>
    <row r="12562">
      <c r="C12562" s="18"/>
      <c r="D12562" s="19"/>
      <c r="E12562" s="57"/>
      <c r="H12562" s="18"/>
    </row>
    <row r="12563">
      <c r="C12563" s="18"/>
      <c r="D12563" s="19"/>
      <c r="E12563" s="57"/>
      <c r="H12563" s="18"/>
    </row>
    <row r="12564">
      <c r="C12564" s="18"/>
      <c r="D12564" s="19"/>
      <c r="E12564" s="57"/>
      <c r="H12564" s="18"/>
    </row>
    <row r="12565">
      <c r="C12565" s="18"/>
      <c r="D12565" s="19"/>
      <c r="E12565" s="57"/>
      <c r="H12565" s="18"/>
    </row>
    <row r="12566">
      <c r="C12566" s="18"/>
      <c r="D12566" s="19"/>
      <c r="E12566" s="57"/>
      <c r="H12566" s="18"/>
    </row>
    <row r="12567">
      <c r="C12567" s="18"/>
      <c r="D12567" s="19"/>
      <c r="E12567" s="57"/>
      <c r="H12567" s="18"/>
    </row>
    <row r="12568">
      <c r="C12568" s="18"/>
      <c r="D12568" s="19"/>
      <c r="E12568" s="57"/>
      <c r="H12568" s="18"/>
    </row>
    <row r="12569">
      <c r="C12569" s="18"/>
      <c r="D12569" s="19"/>
      <c r="E12569" s="57"/>
      <c r="H12569" s="18"/>
    </row>
    <row r="12570">
      <c r="C12570" s="18"/>
      <c r="D12570" s="19"/>
      <c r="E12570" s="57"/>
      <c r="H12570" s="18"/>
    </row>
    <row r="12571">
      <c r="C12571" s="18"/>
      <c r="D12571" s="19"/>
      <c r="E12571" s="57"/>
      <c r="H12571" s="18"/>
    </row>
    <row r="12572">
      <c r="C12572" s="18"/>
      <c r="D12572" s="19"/>
      <c r="E12572" s="57"/>
      <c r="H12572" s="18"/>
    </row>
    <row r="12573">
      <c r="C12573" s="18"/>
      <c r="D12573" s="19"/>
      <c r="E12573" s="57"/>
      <c r="H12573" s="18"/>
    </row>
    <row r="12574">
      <c r="C12574" s="18"/>
      <c r="D12574" s="19"/>
      <c r="E12574" s="57"/>
      <c r="H12574" s="18"/>
    </row>
    <row r="12575">
      <c r="C12575" s="18"/>
      <c r="D12575" s="19"/>
      <c r="E12575" s="57"/>
      <c r="H12575" s="18"/>
    </row>
    <row r="12576">
      <c r="C12576" s="18"/>
      <c r="D12576" s="19"/>
      <c r="E12576" s="57"/>
      <c r="H12576" s="18"/>
    </row>
    <row r="12577">
      <c r="C12577" s="18"/>
      <c r="D12577" s="19"/>
      <c r="E12577" s="57"/>
      <c r="H12577" s="18"/>
    </row>
    <row r="12578">
      <c r="C12578" s="18"/>
      <c r="D12578" s="19"/>
      <c r="E12578" s="57"/>
      <c r="H12578" s="18"/>
    </row>
    <row r="12579">
      <c r="C12579" s="18"/>
      <c r="D12579" s="19"/>
      <c r="E12579" s="57"/>
      <c r="H12579" s="18"/>
    </row>
    <row r="12580">
      <c r="C12580" s="18"/>
      <c r="D12580" s="19"/>
      <c r="E12580" s="57"/>
      <c r="H12580" s="18"/>
    </row>
    <row r="12581">
      <c r="C12581" s="18"/>
      <c r="D12581" s="19"/>
      <c r="E12581" s="57"/>
      <c r="H12581" s="18"/>
    </row>
    <row r="12582">
      <c r="C12582" s="18"/>
      <c r="D12582" s="19"/>
      <c r="E12582" s="57"/>
      <c r="H12582" s="18"/>
    </row>
    <row r="12583">
      <c r="C12583" s="18"/>
      <c r="D12583" s="19"/>
      <c r="E12583" s="57"/>
      <c r="H12583" s="18"/>
    </row>
    <row r="12584">
      <c r="C12584" s="18"/>
      <c r="D12584" s="19"/>
      <c r="E12584" s="57"/>
      <c r="H12584" s="18"/>
    </row>
    <row r="12585">
      <c r="C12585" s="18"/>
      <c r="D12585" s="19"/>
      <c r="E12585" s="57"/>
      <c r="H12585" s="18"/>
    </row>
    <row r="12586">
      <c r="C12586" s="18"/>
      <c r="D12586" s="19"/>
      <c r="E12586" s="57"/>
      <c r="H12586" s="18"/>
    </row>
    <row r="12587">
      <c r="C12587" s="18"/>
      <c r="D12587" s="19"/>
      <c r="E12587" s="57"/>
      <c r="H12587" s="18"/>
    </row>
    <row r="12588">
      <c r="C12588" s="18"/>
      <c r="D12588" s="19"/>
      <c r="E12588" s="57"/>
      <c r="H12588" s="18"/>
    </row>
    <row r="12589">
      <c r="C12589" s="18"/>
      <c r="D12589" s="19"/>
      <c r="E12589" s="57"/>
      <c r="H12589" s="18"/>
    </row>
    <row r="12590">
      <c r="C12590" s="18"/>
      <c r="D12590" s="19"/>
      <c r="E12590" s="57"/>
      <c r="H12590" s="18"/>
    </row>
    <row r="12591">
      <c r="C12591" s="18"/>
      <c r="D12591" s="19"/>
      <c r="E12591" s="57"/>
      <c r="H12591" s="18"/>
    </row>
    <row r="12592">
      <c r="C12592" s="18"/>
      <c r="D12592" s="19"/>
      <c r="E12592" s="57"/>
      <c r="H12592" s="18"/>
    </row>
    <row r="12593">
      <c r="C12593" s="18"/>
      <c r="D12593" s="19"/>
      <c r="E12593" s="57"/>
      <c r="H12593" s="18"/>
    </row>
    <row r="12594">
      <c r="C12594" s="18"/>
      <c r="D12594" s="19"/>
      <c r="E12594" s="57"/>
      <c r="H12594" s="18"/>
    </row>
    <row r="12595">
      <c r="C12595" s="18"/>
      <c r="D12595" s="19"/>
      <c r="E12595" s="57"/>
      <c r="H12595" s="18"/>
    </row>
    <row r="12596">
      <c r="C12596" s="18"/>
      <c r="D12596" s="19"/>
      <c r="E12596" s="57"/>
      <c r="H12596" s="18"/>
    </row>
    <row r="12597">
      <c r="C12597" s="18"/>
      <c r="D12597" s="19"/>
      <c r="E12597" s="57"/>
      <c r="H12597" s="18"/>
    </row>
    <row r="12598">
      <c r="C12598" s="18"/>
      <c r="D12598" s="19"/>
      <c r="E12598" s="57"/>
      <c r="H12598" s="18"/>
    </row>
    <row r="12599">
      <c r="C12599" s="18"/>
      <c r="D12599" s="19"/>
      <c r="E12599" s="57"/>
      <c r="H12599" s="18"/>
    </row>
    <row r="12600">
      <c r="C12600" s="18"/>
      <c r="D12600" s="19"/>
      <c r="E12600" s="57"/>
      <c r="H12600" s="18"/>
    </row>
    <row r="12601">
      <c r="C12601" s="18"/>
      <c r="D12601" s="19"/>
      <c r="E12601" s="57"/>
      <c r="H12601" s="18"/>
    </row>
    <row r="12602">
      <c r="C12602" s="18"/>
      <c r="D12602" s="19"/>
      <c r="E12602" s="57"/>
      <c r="H12602" s="18"/>
    </row>
    <row r="12603">
      <c r="C12603" s="18"/>
      <c r="D12603" s="19"/>
      <c r="E12603" s="57"/>
      <c r="H12603" s="18"/>
    </row>
    <row r="12604">
      <c r="C12604" s="18"/>
      <c r="D12604" s="19"/>
      <c r="E12604" s="57"/>
      <c r="H12604" s="18"/>
    </row>
    <row r="12605">
      <c r="C12605" s="18"/>
      <c r="D12605" s="19"/>
      <c r="E12605" s="57"/>
      <c r="H12605" s="18"/>
    </row>
    <row r="12606">
      <c r="C12606" s="18"/>
      <c r="D12606" s="19"/>
      <c r="E12606" s="57"/>
      <c r="H12606" s="18"/>
    </row>
    <row r="12607">
      <c r="C12607" s="18"/>
      <c r="D12607" s="19"/>
      <c r="E12607" s="57"/>
      <c r="H12607" s="18"/>
    </row>
    <row r="12608">
      <c r="C12608" s="18"/>
      <c r="D12608" s="19"/>
      <c r="E12608" s="57"/>
      <c r="H12608" s="18"/>
    </row>
    <row r="12609">
      <c r="C12609" s="18"/>
      <c r="D12609" s="19"/>
      <c r="E12609" s="57"/>
      <c r="H12609" s="18"/>
    </row>
    <row r="12610">
      <c r="C12610" s="18"/>
      <c r="D12610" s="19"/>
      <c r="E12610" s="57"/>
      <c r="H12610" s="18"/>
    </row>
    <row r="12611">
      <c r="C12611" s="18"/>
      <c r="D12611" s="19"/>
      <c r="E12611" s="57"/>
      <c r="H12611" s="18"/>
    </row>
    <row r="12612">
      <c r="C12612" s="18"/>
      <c r="D12612" s="19"/>
      <c r="E12612" s="57"/>
      <c r="H12612" s="18"/>
    </row>
    <row r="12613">
      <c r="C12613" s="18"/>
      <c r="D12613" s="19"/>
      <c r="E12613" s="57"/>
      <c r="H12613" s="18"/>
    </row>
    <row r="12614">
      <c r="C12614" s="18"/>
      <c r="D12614" s="19"/>
      <c r="E12614" s="57"/>
      <c r="H12614" s="18"/>
    </row>
    <row r="12615">
      <c r="C12615" s="18"/>
      <c r="D12615" s="19"/>
      <c r="E12615" s="57"/>
      <c r="H12615" s="18"/>
    </row>
    <row r="12616">
      <c r="C12616" s="18"/>
      <c r="D12616" s="19"/>
      <c r="E12616" s="57"/>
      <c r="H12616" s="18"/>
    </row>
    <row r="12617">
      <c r="C12617" s="18"/>
      <c r="D12617" s="19"/>
      <c r="E12617" s="57"/>
      <c r="H12617" s="18"/>
    </row>
    <row r="12618">
      <c r="C12618" s="18"/>
      <c r="D12618" s="19"/>
      <c r="E12618" s="57"/>
      <c r="H12618" s="18"/>
    </row>
    <row r="12619">
      <c r="C12619" s="18"/>
      <c r="D12619" s="19"/>
      <c r="E12619" s="57"/>
      <c r="H12619" s="18"/>
    </row>
    <row r="12620">
      <c r="C12620" s="18"/>
      <c r="D12620" s="19"/>
      <c r="E12620" s="57"/>
      <c r="H12620" s="18"/>
    </row>
    <row r="12621">
      <c r="C12621" s="18"/>
      <c r="D12621" s="19"/>
      <c r="E12621" s="57"/>
      <c r="H12621" s="18"/>
    </row>
    <row r="12622">
      <c r="C12622" s="18"/>
      <c r="D12622" s="19"/>
      <c r="E12622" s="57"/>
      <c r="H12622" s="18"/>
    </row>
    <row r="12623">
      <c r="C12623" s="18"/>
      <c r="D12623" s="19"/>
      <c r="E12623" s="57"/>
      <c r="H12623" s="18"/>
    </row>
    <row r="12624">
      <c r="C12624" s="18"/>
      <c r="D12624" s="19"/>
      <c r="E12624" s="57"/>
      <c r="H12624" s="18"/>
    </row>
    <row r="12625">
      <c r="C12625" s="18"/>
      <c r="D12625" s="19"/>
      <c r="E12625" s="57"/>
      <c r="H12625" s="18"/>
    </row>
    <row r="12626">
      <c r="C12626" s="18"/>
      <c r="D12626" s="19"/>
      <c r="E12626" s="57"/>
      <c r="H12626" s="18"/>
    </row>
    <row r="12627">
      <c r="C12627" s="18"/>
      <c r="D12627" s="19"/>
      <c r="E12627" s="57"/>
      <c r="H12627" s="18"/>
    </row>
    <row r="12628">
      <c r="C12628" s="18"/>
      <c r="D12628" s="19"/>
      <c r="E12628" s="57"/>
      <c r="H12628" s="18"/>
    </row>
    <row r="12629">
      <c r="C12629" s="18"/>
      <c r="D12629" s="19"/>
      <c r="E12629" s="57"/>
      <c r="H12629" s="18"/>
    </row>
    <row r="12630">
      <c r="C12630" s="18"/>
      <c r="D12630" s="19"/>
      <c r="E12630" s="57"/>
      <c r="H12630" s="18"/>
    </row>
    <row r="12631">
      <c r="C12631" s="18"/>
      <c r="D12631" s="19"/>
      <c r="E12631" s="57"/>
      <c r="H12631" s="18"/>
    </row>
    <row r="12632">
      <c r="C12632" s="18"/>
      <c r="D12632" s="19"/>
      <c r="E12632" s="57"/>
      <c r="H12632" s="18"/>
    </row>
    <row r="12633">
      <c r="C12633" s="18"/>
      <c r="D12633" s="19"/>
      <c r="E12633" s="57"/>
      <c r="H12633" s="18"/>
    </row>
    <row r="12634">
      <c r="C12634" s="18"/>
      <c r="D12634" s="19"/>
      <c r="E12634" s="57"/>
      <c r="H12634" s="18"/>
    </row>
    <row r="12635">
      <c r="C12635" s="18"/>
      <c r="D12635" s="19"/>
      <c r="E12635" s="57"/>
      <c r="H12635" s="18"/>
    </row>
    <row r="12636">
      <c r="C12636" s="18"/>
      <c r="D12636" s="19"/>
      <c r="E12636" s="57"/>
      <c r="H12636" s="18"/>
    </row>
    <row r="12637">
      <c r="C12637" s="18"/>
      <c r="D12637" s="19"/>
      <c r="E12637" s="57"/>
      <c r="H12637" s="18"/>
    </row>
    <row r="12638">
      <c r="C12638" s="18"/>
      <c r="D12638" s="19"/>
      <c r="E12638" s="57"/>
      <c r="H12638" s="18"/>
    </row>
    <row r="12639">
      <c r="C12639" s="18"/>
      <c r="D12639" s="19"/>
      <c r="E12639" s="57"/>
      <c r="H12639" s="18"/>
    </row>
    <row r="12640">
      <c r="C12640" s="18"/>
      <c r="D12640" s="19"/>
      <c r="E12640" s="57"/>
      <c r="H12640" s="18"/>
    </row>
    <row r="12641">
      <c r="C12641" s="18"/>
      <c r="D12641" s="19"/>
      <c r="E12641" s="57"/>
      <c r="H12641" s="18"/>
    </row>
    <row r="12642">
      <c r="C12642" s="18"/>
      <c r="D12642" s="19"/>
      <c r="E12642" s="57"/>
      <c r="H12642" s="18"/>
    </row>
    <row r="12643">
      <c r="C12643" s="18"/>
      <c r="D12643" s="19"/>
      <c r="E12643" s="57"/>
      <c r="H12643" s="18"/>
    </row>
    <row r="12644">
      <c r="C12644" s="18"/>
      <c r="D12644" s="19"/>
      <c r="E12644" s="57"/>
      <c r="H12644" s="18"/>
    </row>
    <row r="12645">
      <c r="C12645" s="18"/>
      <c r="D12645" s="19"/>
      <c r="E12645" s="57"/>
      <c r="H12645" s="18"/>
    </row>
    <row r="12646">
      <c r="C12646" s="18"/>
      <c r="D12646" s="19"/>
      <c r="E12646" s="57"/>
      <c r="H12646" s="18"/>
    </row>
    <row r="12647">
      <c r="C12647" s="18"/>
      <c r="D12647" s="19"/>
      <c r="E12647" s="57"/>
      <c r="H12647" s="18"/>
    </row>
    <row r="12648">
      <c r="C12648" s="18"/>
      <c r="D12648" s="19"/>
      <c r="E12648" s="57"/>
      <c r="H12648" s="18"/>
    </row>
    <row r="12649">
      <c r="C12649" s="18"/>
      <c r="D12649" s="19"/>
      <c r="E12649" s="57"/>
      <c r="H12649" s="18"/>
    </row>
    <row r="12650">
      <c r="C12650" s="18"/>
      <c r="D12650" s="19"/>
      <c r="E12650" s="57"/>
      <c r="H12650" s="18"/>
    </row>
    <row r="12651">
      <c r="C12651" s="18"/>
      <c r="D12651" s="19"/>
      <c r="E12651" s="57"/>
      <c r="H12651" s="18"/>
    </row>
    <row r="12652">
      <c r="C12652" s="18"/>
      <c r="D12652" s="19"/>
      <c r="E12652" s="57"/>
      <c r="H12652" s="18"/>
    </row>
    <row r="12653">
      <c r="C12653" s="18"/>
      <c r="D12653" s="19"/>
      <c r="E12653" s="57"/>
      <c r="H12653" s="18"/>
    </row>
    <row r="12654">
      <c r="C12654" s="18"/>
      <c r="D12654" s="19"/>
      <c r="E12654" s="57"/>
      <c r="H12654" s="18"/>
    </row>
    <row r="12655">
      <c r="C12655" s="18"/>
      <c r="D12655" s="19"/>
      <c r="E12655" s="57"/>
      <c r="H12655" s="18"/>
    </row>
    <row r="12656">
      <c r="C12656" s="18"/>
      <c r="D12656" s="19"/>
      <c r="E12656" s="57"/>
      <c r="H12656" s="18"/>
    </row>
    <row r="12657">
      <c r="C12657" s="18"/>
      <c r="D12657" s="19"/>
      <c r="E12657" s="57"/>
      <c r="H12657" s="18"/>
    </row>
    <row r="12658">
      <c r="C12658" s="18"/>
      <c r="D12658" s="19"/>
      <c r="E12658" s="57"/>
      <c r="H12658" s="18"/>
    </row>
    <row r="12659">
      <c r="C12659" s="18"/>
      <c r="D12659" s="19"/>
      <c r="E12659" s="57"/>
      <c r="H12659" s="18"/>
    </row>
    <row r="12660">
      <c r="C12660" s="18"/>
      <c r="D12660" s="19"/>
      <c r="E12660" s="57"/>
      <c r="H12660" s="18"/>
    </row>
    <row r="12661">
      <c r="C12661" s="18"/>
      <c r="D12661" s="19"/>
      <c r="E12661" s="57"/>
      <c r="H12661" s="18"/>
    </row>
    <row r="12662">
      <c r="C12662" s="18"/>
      <c r="D12662" s="19"/>
      <c r="E12662" s="57"/>
      <c r="H12662" s="18"/>
    </row>
    <row r="12663">
      <c r="C12663" s="18"/>
      <c r="D12663" s="19"/>
      <c r="E12663" s="57"/>
      <c r="H12663" s="18"/>
    </row>
    <row r="12664">
      <c r="C12664" s="18"/>
      <c r="D12664" s="19"/>
      <c r="E12664" s="57"/>
      <c r="H12664" s="18"/>
    </row>
    <row r="12665">
      <c r="C12665" s="18"/>
      <c r="D12665" s="19"/>
      <c r="E12665" s="57"/>
      <c r="H12665" s="18"/>
    </row>
    <row r="12666">
      <c r="C12666" s="18"/>
      <c r="D12666" s="19"/>
      <c r="E12666" s="57"/>
      <c r="H12666" s="18"/>
    </row>
    <row r="12667">
      <c r="C12667" s="18"/>
      <c r="D12667" s="19"/>
      <c r="E12667" s="57"/>
      <c r="H12667" s="18"/>
    </row>
    <row r="12668">
      <c r="C12668" s="18"/>
      <c r="D12668" s="19"/>
      <c r="E12668" s="57"/>
      <c r="H12668" s="18"/>
    </row>
    <row r="12669">
      <c r="C12669" s="18"/>
      <c r="D12669" s="19"/>
      <c r="E12669" s="57"/>
      <c r="H12669" s="18"/>
    </row>
    <row r="12670">
      <c r="C12670" s="18"/>
      <c r="D12670" s="19"/>
      <c r="E12670" s="57"/>
      <c r="H12670" s="18"/>
    </row>
    <row r="12671">
      <c r="C12671" s="18"/>
      <c r="D12671" s="19"/>
      <c r="E12671" s="57"/>
      <c r="H12671" s="18"/>
    </row>
    <row r="12672">
      <c r="C12672" s="18"/>
      <c r="D12672" s="19"/>
      <c r="E12672" s="57"/>
      <c r="H12672" s="18"/>
    </row>
    <row r="12673">
      <c r="C12673" s="18"/>
      <c r="D12673" s="19"/>
      <c r="E12673" s="57"/>
      <c r="H12673" s="18"/>
    </row>
    <row r="12674">
      <c r="C12674" s="18"/>
      <c r="D12674" s="19"/>
      <c r="E12674" s="57"/>
      <c r="H12674" s="18"/>
    </row>
    <row r="12675">
      <c r="C12675" s="18"/>
      <c r="D12675" s="19"/>
      <c r="E12675" s="57"/>
      <c r="H12675" s="18"/>
    </row>
    <row r="12676">
      <c r="C12676" s="18"/>
      <c r="D12676" s="19"/>
      <c r="E12676" s="57"/>
      <c r="H12676" s="18"/>
    </row>
    <row r="12677">
      <c r="C12677" s="18"/>
      <c r="D12677" s="19"/>
      <c r="E12677" s="57"/>
      <c r="H12677" s="18"/>
    </row>
    <row r="12678">
      <c r="C12678" s="18"/>
      <c r="D12678" s="19"/>
      <c r="E12678" s="57"/>
      <c r="H12678" s="18"/>
    </row>
    <row r="12679">
      <c r="C12679" s="18"/>
      <c r="D12679" s="19"/>
      <c r="E12679" s="57"/>
      <c r="H12679" s="18"/>
    </row>
    <row r="12680">
      <c r="C12680" s="18"/>
      <c r="D12680" s="19"/>
      <c r="E12680" s="57"/>
      <c r="H12680" s="18"/>
    </row>
    <row r="12681">
      <c r="C12681" s="18"/>
      <c r="D12681" s="19"/>
      <c r="E12681" s="57"/>
      <c r="H12681" s="18"/>
    </row>
    <row r="12682">
      <c r="C12682" s="18"/>
      <c r="D12682" s="19"/>
      <c r="E12682" s="57"/>
      <c r="H12682" s="18"/>
    </row>
    <row r="12683">
      <c r="C12683" s="18"/>
      <c r="D12683" s="19"/>
      <c r="E12683" s="57"/>
      <c r="H12683" s="18"/>
    </row>
    <row r="12684">
      <c r="C12684" s="18"/>
      <c r="D12684" s="19"/>
      <c r="E12684" s="57"/>
      <c r="H12684" s="18"/>
    </row>
    <row r="12685">
      <c r="C12685" s="18"/>
      <c r="D12685" s="19"/>
      <c r="E12685" s="57"/>
      <c r="H12685" s="18"/>
    </row>
    <row r="12686">
      <c r="C12686" s="18"/>
      <c r="D12686" s="19"/>
      <c r="E12686" s="57"/>
      <c r="H12686" s="18"/>
    </row>
    <row r="12687">
      <c r="C12687" s="18"/>
      <c r="D12687" s="19"/>
      <c r="E12687" s="57"/>
      <c r="H12687" s="18"/>
    </row>
    <row r="12688">
      <c r="C12688" s="18"/>
      <c r="D12688" s="19"/>
      <c r="E12688" s="57"/>
      <c r="H12688" s="18"/>
    </row>
    <row r="12689">
      <c r="C12689" s="18"/>
      <c r="D12689" s="19"/>
      <c r="E12689" s="57"/>
      <c r="H12689" s="18"/>
    </row>
    <row r="12690">
      <c r="C12690" s="18"/>
      <c r="D12690" s="19"/>
      <c r="E12690" s="57"/>
      <c r="H12690" s="18"/>
    </row>
    <row r="12691">
      <c r="C12691" s="18"/>
      <c r="D12691" s="19"/>
      <c r="E12691" s="57"/>
      <c r="H12691" s="18"/>
    </row>
    <row r="12692">
      <c r="C12692" s="18"/>
      <c r="D12692" s="19"/>
      <c r="E12692" s="57"/>
      <c r="H12692" s="18"/>
    </row>
    <row r="12693">
      <c r="C12693" s="18"/>
      <c r="D12693" s="19"/>
      <c r="E12693" s="57"/>
      <c r="H12693" s="18"/>
    </row>
    <row r="12694">
      <c r="C12694" s="18"/>
      <c r="D12694" s="19"/>
      <c r="E12694" s="57"/>
      <c r="H12694" s="18"/>
    </row>
    <row r="12695">
      <c r="C12695" s="18"/>
      <c r="D12695" s="19"/>
      <c r="E12695" s="57"/>
      <c r="H12695" s="18"/>
    </row>
    <row r="12696">
      <c r="C12696" s="18"/>
      <c r="D12696" s="19"/>
      <c r="E12696" s="57"/>
      <c r="H12696" s="18"/>
    </row>
    <row r="12697">
      <c r="C12697" s="18"/>
      <c r="D12697" s="19"/>
      <c r="E12697" s="57"/>
      <c r="H12697" s="18"/>
    </row>
    <row r="12698">
      <c r="C12698" s="18"/>
      <c r="D12698" s="19"/>
      <c r="E12698" s="57"/>
      <c r="H12698" s="18"/>
    </row>
    <row r="12699">
      <c r="C12699" s="18"/>
      <c r="D12699" s="19"/>
      <c r="E12699" s="57"/>
      <c r="H12699" s="18"/>
    </row>
    <row r="12700">
      <c r="C12700" s="18"/>
      <c r="D12700" s="19"/>
      <c r="E12700" s="57"/>
      <c r="H12700" s="18"/>
    </row>
    <row r="12701">
      <c r="C12701" s="18"/>
      <c r="D12701" s="19"/>
      <c r="E12701" s="57"/>
      <c r="H12701" s="18"/>
    </row>
    <row r="12702">
      <c r="C12702" s="18"/>
      <c r="D12702" s="19"/>
      <c r="E12702" s="57"/>
      <c r="H12702" s="18"/>
    </row>
    <row r="12703">
      <c r="C12703" s="18"/>
      <c r="D12703" s="19"/>
      <c r="E12703" s="57"/>
      <c r="H12703" s="18"/>
    </row>
    <row r="12704">
      <c r="C12704" s="18"/>
      <c r="D12704" s="19"/>
      <c r="E12704" s="57"/>
      <c r="H12704" s="18"/>
    </row>
    <row r="12705">
      <c r="C12705" s="18"/>
      <c r="D12705" s="19"/>
      <c r="E12705" s="57"/>
      <c r="H12705" s="18"/>
    </row>
    <row r="12706">
      <c r="C12706" s="18"/>
      <c r="D12706" s="19"/>
      <c r="E12706" s="57"/>
      <c r="H12706" s="18"/>
    </row>
    <row r="12707">
      <c r="C12707" s="18"/>
      <c r="D12707" s="19"/>
      <c r="E12707" s="57"/>
      <c r="H12707" s="18"/>
    </row>
    <row r="12708">
      <c r="C12708" s="18"/>
      <c r="D12708" s="19"/>
      <c r="E12708" s="57"/>
      <c r="H12708" s="18"/>
    </row>
    <row r="12709">
      <c r="C12709" s="18"/>
      <c r="D12709" s="19"/>
      <c r="E12709" s="57"/>
      <c r="H12709" s="18"/>
    </row>
    <row r="12710">
      <c r="C12710" s="18"/>
      <c r="D12710" s="19"/>
      <c r="E12710" s="57"/>
      <c r="H12710" s="18"/>
    </row>
    <row r="12711">
      <c r="C12711" s="18"/>
      <c r="D12711" s="19"/>
      <c r="E12711" s="57"/>
      <c r="H12711" s="18"/>
    </row>
    <row r="12712">
      <c r="C12712" s="18"/>
      <c r="D12712" s="19"/>
      <c r="E12712" s="57"/>
      <c r="H12712" s="18"/>
    </row>
    <row r="12713">
      <c r="C12713" s="18"/>
      <c r="D12713" s="19"/>
      <c r="E12713" s="57"/>
      <c r="H12713" s="18"/>
    </row>
    <row r="12714">
      <c r="C12714" s="18"/>
      <c r="D12714" s="19"/>
      <c r="E12714" s="57"/>
      <c r="H12714" s="18"/>
    </row>
    <row r="12715">
      <c r="C12715" s="18"/>
      <c r="D12715" s="19"/>
      <c r="E12715" s="57"/>
      <c r="H12715" s="18"/>
    </row>
    <row r="12716">
      <c r="C12716" s="18"/>
      <c r="D12716" s="19"/>
      <c r="E12716" s="57"/>
      <c r="H12716" s="18"/>
    </row>
    <row r="12717">
      <c r="C12717" s="18"/>
      <c r="D12717" s="19"/>
      <c r="E12717" s="57"/>
      <c r="H12717" s="18"/>
    </row>
    <row r="12718">
      <c r="C12718" s="18"/>
      <c r="D12718" s="19"/>
      <c r="E12718" s="57"/>
      <c r="H12718" s="18"/>
    </row>
    <row r="12719">
      <c r="C12719" s="18"/>
      <c r="D12719" s="19"/>
      <c r="E12719" s="57"/>
      <c r="H12719" s="18"/>
    </row>
    <row r="12720">
      <c r="C12720" s="18"/>
      <c r="D12720" s="19"/>
      <c r="E12720" s="57"/>
      <c r="H12720" s="18"/>
    </row>
    <row r="12721">
      <c r="C12721" s="18"/>
      <c r="D12721" s="19"/>
      <c r="E12721" s="57"/>
      <c r="H12721" s="18"/>
    </row>
    <row r="12722">
      <c r="C12722" s="18"/>
      <c r="D12722" s="19"/>
      <c r="E12722" s="57"/>
      <c r="H12722" s="18"/>
    </row>
    <row r="12723">
      <c r="C12723" s="18"/>
      <c r="D12723" s="19"/>
      <c r="E12723" s="57"/>
      <c r="H12723" s="18"/>
    </row>
    <row r="12724">
      <c r="C12724" s="18"/>
      <c r="D12724" s="19"/>
      <c r="E12724" s="57"/>
      <c r="H12724" s="18"/>
    </row>
    <row r="12725">
      <c r="C12725" s="18"/>
      <c r="D12725" s="19"/>
      <c r="E12725" s="57"/>
      <c r="H12725" s="18"/>
    </row>
    <row r="12726">
      <c r="C12726" s="18"/>
      <c r="D12726" s="19"/>
      <c r="E12726" s="57"/>
      <c r="H12726" s="18"/>
    </row>
    <row r="12727">
      <c r="C12727" s="18"/>
      <c r="D12727" s="19"/>
      <c r="E12727" s="57"/>
      <c r="H12727" s="18"/>
    </row>
    <row r="12728">
      <c r="C12728" s="18"/>
      <c r="D12728" s="19"/>
      <c r="E12728" s="57"/>
      <c r="H12728" s="18"/>
    </row>
    <row r="12729">
      <c r="C12729" s="18"/>
      <c r="D12729" s="19"/>
      <c r="E12729" s="57"/>
      <c r="H12729" s="18"/>
    </row>
    <row r="12730">
      <c r="C12730" s="18"/>
      <c r="D12730" s="19"/>
      <c r="E12730" s="57"/>
      <c r="H12730" s="18"/>
    </row>
    <row r="12731">
      <c r="C12731" s="18"/>
      <c r="D12731" s="19"/>
      <c r="E12731" s="57"/>
      <c r="H12731" s="18"/>
    </row>
    <row r="12732">
      <c r="C12732" s="18"/>
      <c r="D12732" s="19"/>
      <c r="E12732" s="57"/>
      <c r="H12732" s="18"/>
    </row>
    <row r="12733">
      <c r="C12733" s="18"/>
      <c r="D12733" s="19"/>
      <c r="E12733" s="57"/>
      <c r="H12733" s="18"/>
    </row>
    <row r="12734">
      <c r="C12734" s="18"/>
      <c r="D12734" s="19"/>
      <c r="E12734" s="57"/>
      <c r="H12734" s="18"/>
    </row>
    <row r="12735">
      <c r="C12735" s="18"/>
      <c r="D12735" s="19"/>
      <c r="E12735" s="57"/>
      <c r="H12735" s="18"/>
    </row>
    <row r="12736">
      <c r="C12736" s="18"/>
      <c r="D12736" s="19"/>
      <c r="E12736" s="57"/>
      <c r="H12736" s="18"/>
    </row>
    <row r="12737">
      <c r="C12737" s="18"/>
      <c r="D12737" s="19"/>
      <c r="E12737" s="57"/>
      <c r="H12737" s="18"/>
    </row>
    <row r="12738">
      <c r="C12738" s="18"/>
      <c r="D12738" s="19"/>
      <c r="E12738" s="57"/>
      <c r="H12738" s="18"/>
    </row>
    <row r="12739">
      <c r="C12739" s="18"/>
      <c r="D12739" s="19"/>
      <c r="E12739" s="57"/>
      <c r="H12739" s="18"/>
    </row>
    <row r="12740">
      <c r="C12740" s="18"/>
      <c r="D12740" s="19"/>
      <c r="E12740" s="57"/>
      <c r="H12740" s="18"/>
    </row>
    <row r="12741">
      <c r="C12741" s="18"/>
      <c r="D12741" s="19"/>
      <c r="E12741" s="57"/>
      <c r="H12741" s="18"/>
    </row>
    <row r="12742">
      <c r="C12742" s="18"/>
      <c r="D12742" s="19"/>
      <c r="E12742" s="57"/>
      <c r="H12742" s="18"/>
    </row>
    <row r="12743">
      <c r="C12743" s="18"/>
      <c r="D12743" s="19"/>
      <c r="E12743" s="57"/>
      <c r="H12743" s="18"/>
    </row>
    <row r="12744">
      <c r="C12744" s="18"/>
      <c r="D12744" s="19"/>
      <c r="E12744" s="57"/>
      <c r="H12744" s="18"/>
    </row>
    <row r="12745">
      <c r="C12745" s="18"/>
      <c r="D12745" s="19"/>
      <c r="E12745" s="57"/>
      <c r="H12745" s="18"/>
    </row>
    <row r="12746">
      <c r="C12746" s="18"/>
      <c r="D12746" s="19"/>
      <c r="E12746" s="57"/>
      <c r="H12746" s="18"/>
    </row>
    <row r="12747">
      <c r="C12747" s="18"/>
      <c r="D12747" s="19"/>
      <c r="E12747" s="57"/>
      <c r="H12747" s="18"/>
    </row>
    <row r="12748">
      <c r="C12748" s="18"/>
      <c r="D12748" s="19"/>
      <c r="E12748" s="57"/>
      <c r="H12748" s="18"/>
    </row>
    <row r="12749">
      <c r="C12749" s="18"/>
      <c r="D12749" s="19"/>
      <c r="E12749" s="57"/>
      <c r="H12749" s="18"/>
    </row>
    <row r="12750">
      <c r="C12750" s="18"/>
      <c r="D12750" s="19"/>
      <c r="E12750" s="57"/>
      <c r="H12750" s="18"/>
    </row>
    <row r="12751">
      <c r="C12751" s="18"/>
      <c r="D12751" s="19"/>
      <c r="E12751" s="57"/>
      <c r="H12751" s="18"/>
    </row>
    <row r="12752">
      <c r="C12752" s="18"/>
      <c r="D12752" s="19"/>
      <c r="E12752" s="57"/>
      <c r="H12752" s="18"/>
    </row>
    <row r="12753">
      <c r="C12753" s="18"/>
      <c r="D12753" s="19"/>
      <c r="E12753" s="57"/>
      <c r="H12753" s="18"/>
    </row>
    <row r="12754">
      <c r="C12754" s="18"/>
      <c r="D12754" s="19"/>
      <c r="E12754" s="57"/>
      <c r="H12754" s="18"/>
    </row>
    <row r="12755">
      <c r="C12755" s="18"/>
      <c r="D12755" s="19"/>
      <c r="E12755" s="57"/>
      <c r="H12755" s="18"/>
    </row>
    <row r="12756">
      <c r="C12756" s="18"/>
      <c r="D12756" s="19"/>
      <c r="E12756" s="57"/>
      <c r="H12756" s="18"/>
    </row>
    <row r="12757">
      <c r="C12757" s="18"/>
      <c r="D12757" s="19"/>
      <c r="E12757" s="57"/>
      <c r="H12757" s="18"/>
    </row>
    <row r="12758">
      <c r="C12758" s="18"/>
      <c r="D12758" s="19"/>
      <c r="E12758" s="57"/>
      <c r="H12758" s="18"/>
    </row>
    <row r="12759">
      <c r="C12759" s="18"/>
      <c r="D12759" s="19"/>
      <c r="E12759" s="57"/>
      <c r="H12759" s="18"/>
    </row>
    <row r="12760">
      <c r="C12760" s="18"/>
      <c r="D12760" s="19"/>
      <c r="E12760" s="57"/>
      <c r="H12760" s="18"/>
    </row>
    <row r="12761">
      <c r="C12761" s="18"/>
      <c r="D12761" s="19"/>
      <c r="E12761" s="57"/>
      <c r="H12761" s="18"/>
    </row>
    <row r="12762">
      <c r="C12762" s="18"/>
      <c r="D12762" s="19"/>
      <c r="E12762" s="57"/>
      <c r="H12762" s="18"/>
    </row>
    <row r="12763">
      <c r="C12763" s="18"/>
      <c r="D12763" s="19"/>
      <c r="E12763" s="57"/>
      <c r="H12763" s="18"/>
    </row>
    <row r="12764">
      <c r="C12764" s="18"/>
      <c r="D12764" s="19"/>
      <c r="E12764" s="57"/>
      <c r="H12764" s="18"/>
    </row>
    <row r="12765">
      <c r="C12765" s="18"/>
      <c r="D12765" s="19"/>
      <c r="E12765" s="57"/>
      <c r="H12765" s="18"/>
    </row>
    <row r="12766">
      <c r="C12766" s="18"/>
      <c r="D12766" s="19"/>
      <c r="E12766" s="57"/>
      <c r="H12766" s="18"/>
    </row>
    <row r="12767">
      <c r="C12767" s="18"/>
      <c r="D12767" s="19"/>
      <c r="E12767" s="57"/>
      <c r="H12767" s="18"/>
    </row>
    <row r="12768">
      <c r="C12768" s="18"/>
      <c r="D12768" s="19"/>
      <c r="E12768" s="57"/>
      <c r="H12768" s="18"/>
    </row>
    <row r="12769">
      <c r="C12769" s="18"/>
      <c r="D12769" s="19"/>
      <c r="E12769" s="57"/>
      <c r="H12769" s="18"/>
    </row>
    <row r="12770">
      <c r="C12770" s="18"/>
      <c r="D12770" s="19"/>
      <c r="E12770" s="57"/>
      <c r="H12770" s="18"/>
    </row>
    <row r="12771">
      <c r="C12771" s="18"/>
      <c r="D12771" s="19"/>
      <c r="E12771" s="57"/>
      <c r="H12771" s="18"/>
    </row>
    <row r="12772">
      <c r="C12772" s="18"/>
      <c r="D12772" s="19"/>
      <c r="E12772" s="57"/>
      <c r="H12772" s="18"/>
    </row>
    <row r="12773">
      <c r="C12773" s="18"/>
      <c r="D12773" s="19"/>
      <c r="E12773" s="57"/>
      <c r="H12773" s="18"/>
    </row>
    <row r="12774">
      <c r="C12774" s="18"/>
      <c r="D12774" s="19"/>
      <c r="E12774" s="57"/>
      <c r="H12774" s="18"/>
    </row>
    <row r="12775">
      <c r="C12775" s="18"/>
      <c r="D12775" s="19"/>
      <c r="E12775" s="57"/>
      <c r="H12775" s="18"/>
    </row>
    <row r="12776">
      <c r="C12776" s="18"/>
      <c r="D12776" s="19"/>
      <c r="E12776" s="57"/>
      <c r="H12776" s="18"/>
    </row>
    <row r="12777">
      <c r="C12777" s="18"/>
      <c r="D12777" s="19"/>
      <c r="E12777" s="57"/>
      <c r="H12777" s="18"/>
    </row>
    <row r="12778">
      <c r="C12778" s="18"/>
      <c r="D12778" s="19"/>
      <c r="E12778" s="57"/>
      <c r="H12778" s="18"/>
    </row>
    <row r="12779">
      <c r="C12779" s="18"/>
      <c r="D12779" s="19"/>
      <c r="E12779" s="57"/>
      <c r="H12779" s="18"/>
    </row>
    <row r="12780">
      <c r="C12780" s="18"/>
      <c r="D12780" s="19"/>
      <c r="E12780" s="57"/>
      <c r="H12780" s="18"/>
    </row>
    <row r="12781">
      <c r="C12781" s="18"/>
      <c r="D12781" s="19"/>
      <c r="E12781" s="57"/>
      <c r="H12781" s="18"/>
    </row>
    <row r="12782">
      <c r="C12782" s="18"/>
      <c r="D12782" s="19"/>
      <c r="E12782" s="57"/>
      <c r="H12782" s="18"/>
    </row>
    <row r="12783">
      <c r="C12783" s="18"/>
      <c r="D12783" s="19"/>
      <c r="E12783" s="57"/>
      <c r="H12783" s="18"/>
    </row>
    <row r="12784">
      <c r="C12784" s="18"/>
      <c r="D12784" s="19"/>
      <c r="E12784" s="57"/>
      <c r="H12784" s="18"/>
    </row>
    <row r="12785">
      <c r="C12785" s="18"/>
      <c r="D12785" s="19"/>
      <c r="E12785" s="57"/>
      <c r="H12785" s="18"/>
    </row>
    <row r="12786">
      <c r="C12786" s="18"/>
      <c r="D12786" s="19"/>
      <c r="E12786" s="57"/>
      <c r="H12786" s="18"/>
    </row>
    <row r="12787">
      <c r="C12787" s="18"/>
      <c r="D12787" s="19"/>
      <c r="E12787" s="57"/>
      <c r="H12787" s="18"/>
    </row>
    <row r="12788">
      <c r="C12788" s="18"/>
      <c r="D12788" s="19"/>
      <c r="E12788" s="57"/>
      <c r="H12788" s="18"/>
    </row>
    <row r="12789">
      <c r="C12789" s="18"/>
      <c r="D12789" s="19"/>
      <c r="E12789" s="57"/>
      <c r="H12789" s="18"/>
    </row>
    <row r="12790">
      <c r="C12790" s="18"/>
      <c r="D12790" s="19"/>
      <c r="E12790" s="57"/>
      <c r="H12790" s="18"/>
    </row>
    <row r="12791">
      <c r="C12791" s="18"/>
      <c r="D12791" s="19"/>
      <c r="E12791" s="57"/>
      <c r="H12791" s="18"/>
    </row>
    <row r="12792">
      <c r="C12792" s="18"/>
      <c r="D12792" s="19"/>
      <c r="E12792" s="57"/>
      <c r="H12792" s="18"/>
    </row>
    <row r="12793">
      <c r="C12793" s="18"/>
      <c r="D12793" s="19"/>
      <c r="E12793" s="57"/>
      <c r="H12793" s="18"/>
    </row>
    <row r="12794">
      <c r="C12794" s="18"/>
      <c r="D12794" s="19"/>
      <c r="E12794" s="57"/>
      <c r="H12794" s="18"/>
    </row>
    <row r="12795">
      <c r="C12795" s="18"/>
      <c r="D12795" s="19"/>
      <c r="E12795" s="57"/>
      <c r="H12795" s="18"/>
    </row>
    <row r="12796">
      <c r="C12796" s="18"/>
      <c r="D12796" s="19"/>
      <c r="E12796" s="57"/>
      <c r="H12796" s="18"/>
    </row>
    <row r="12797">
      <c r="C12797" s="18"/>
      <c r="D12797" s="19"/>
      <c r="E12797" s="57"/>
      <c r="H12797" s="18"/>
    </row>
    <row r="12798">
      <c r="C12798" s="18"/>
      <c r="D12798" s="19"/>
      <c r="E12798" s="57"/>
      <c r="H12798" s="18"/>
    </row>
    <row r="12799">
      <c r="C12799" s="18"/>
      <c r="D12799" s="19"/>
      <c r="E12799" s="57"/>
      <c r="H12799" s="18"/>
    </row>
    <row r="12800">
      <c r="C12800" s="18"/>
      <c r="D12800" s="19"/>
      <c r="E12800" s="57"/>
      <c r="H12800" s="18"/>
    </row>
    <row r="12801">
      <c r="C12801" s="18"/>
      <c r="D12801" s="19"/>
      <c r="E12801" s="57"/>
      <c r="H12801" s="18"/>
    </row>
    <row r="12802">
      <c r="C12802" s="18"/>
      <c r="D12802" s="19"/>
      <c r="E12802" s="57"/>
      <c r="H12802" s="18"/>
    </row>
    <row r="12803">
      <c r="C12803" s="18"/>
      <c r="D12803" s="19"/>
      <c r="E12803" s="57"/>
      <c r="H12803" s="18"/>
    </row>
    <row r="12804">
      <c r="C12804" s="18"/>
      <c r="D12804" s="19"/>
      <c r="E12804" s="57"/>
      <c r="H12804" s="18"/>
    </row>
    <row r="12805">
      <c r="C12805" s="18"/>
      <c r="D12805" s="19"/>
      <c r="E12805" s="57"/>
      <c r="H12805" s="18"/>
    </row>
    <row r="12806">
      <c r="C12806" s="18"/>
      <c r="D12806" s="19"/>
      <c r="E12806" s="57"/>
      <c r="H12806" s="18"/>
    </row>
    <row r="12807">
      <c r="C12807" s="18"/>
      <c r="D12807" s="19"/>
      <c r="E12807" s="57"/>
      <c r="H12807" s="18"/>
    </row>
    <row r="12808">
      <c r="C12808" s="18"/>
      <c r="D12808" s="19"/>
      <c r="E12808" s="57"/>
      <c r="H12808" s="18"/>
    </row>
    <row r="12809">
      <c r="C12809" s="18"/>
      <c r="D12809" s="19"/>
      <c r="E12809" s="57"/>
      <c r="H12809" s="18"/>
    </row>
    <row r="12810">
      <c r="C12810" s="18"/>
      <c r="D12810" s="19"/>
      <c r="E12810" s="57"/>
      <c r="H12810" s="18"/>
    </row>
    <row r="12811">
      <c r="C12811" s="18"/>
      <c r="D12811" s="19"/>
      <c r="E12811" s="57"/>
      <c r="H12811" s="18"/>
    </row>
    <row r="12812">
      <c r="C12812" s="18"/>
      <c r="D12812" s="19"/>
      <c r="E12812" s="57"/>
      <c r="H12812" s="18"/>
    </row>
    <row r="12813">
      <c r="C12813" s="18"/>
      <c r="D12813" s="19"/>
      <c r="E12813" s="57"/>
      <c r="H12813" s="18"/>
    </row>
    <row r="12814">
      <c r="C12814" s="18"/>
      <c r="D12814" s="19"/>
      <c r="E12814" s="57"/>
      <c r="H12814" s="18"/>
    </row>
    <row r="12815">
      <c r="C12815" s="18"/>
      <c r="D12815" s="19"/>
      <c r="E12815" s="57"/>
      <c r="H12815" s="18"/>
    </row>
    <row r="12816">
      <c r="C12816" s="18"/>
      <c r="D12816" s="19"/>
      <c r="E12816" s="57"/>
      <c r="H12816" s="18"/>
    </row>
    <row r="12817">
      <c r="C12817" s="18"/>
      <c r="D12817" s="19"/>
      <c r="E12817" s="57"/>
      <c r="H12817" s="18"/>
    </row>
    <row r="12818">
      <c r="C12818" s="18"/>
      <c r="D12818" s="19"/>
      <c r="E12818" s="57"/>
      <c r="H12818" s="18"/>
    </row>
    <row r="12819">
      <c r="C12819" s="18"/>
      <c r="D12819" s="19"/>
      <c r="E12819" s="57"/>
      <c r="H12819" s="18"/>
    </row>
    <row r="12820">
      <c r="C12820" s="18"/>
      <c r="D12820" s="19"/>
      <c r="E12820" s="57"/>
      <c r="H12820" s="18"/>
    </row>
    <row r="12821">
      <c r="C12821" s="18"/>
      <c r="D12821" s="19"/>
      <c r="E12821" s="57"/>
      <c r="H12821" s="18"/>
    </row>
    <row r="12822">
      <c r="C12822" s="18"/>
      <c r="D12822" s="19"/>
      <c r="E12822" s="57"/>
      <c r="H12822" s="18"/>
    </row>
    <row r="12823">
      <c r="C12823" s="18"/>
      <c r="D12823" s="19"/>
      <c r="E12823" s="57"/>
      <c r="H12823" s="18"/>
    </row>
    <row r="12824">
      <c r="C12824" s="18"/>
      <c r="D12824" s="19"/>
      <c r="E12824" s="57"/>
      <c r="H12824" s="18"/>
    </row>
    <row r="12825">
      <c r="C12825" s="18"/>
      <c r="D12825" s="19"/>
      <c r="E12825" s="57"/>
      <c r="H12825" s="18"/>
    </row>
    <row r="12826">
      <c r="C12826" s="18"/>
      <c r="D12826" s="19"/>
      <c r="E12826" s="57"/>
      <c r="H12826" s="18"/>
    </row>
    <row r="12827">
      <c r="C12827" s="18"/>
      <c r="D12827" s="19"/>
      <c r="E12827" s="57"/>
      <c r="H12827" s="18"/>
    </row>
    <row r="12828">
      <c r="C12828" s="18"/>
      <c r="D12828" s="19"/>
      <c r="E12828" s="57"/>
      <c r="H12828" s="18"/>
    </row>
    <row r="12829">
      <c r="C12829" s="18"/>
      <c r="D12829" s="19"/>
      <c r="E12829" s="57"/>
      <c r="H12829" s="18"/>
    </row>
    <row r="12830">
      <c r="C12830" s="18"/>
      <c r="D12830" s="19"/>
      <c r="E12830" s="57"/>
      <c r="H12830" s="18"/>
    </row>
    <row r="12831">
      <c r="C12831" s="18"/>
      <c r="D12831" s="19"/>
      <c r="E12831" s="57"/>
      <c r="H12831" s="18"/>
    </row>
    <row r="12832">
      <c r="C12832" s="18"/>
      <c r="D12832" s="19"/>
      <c r="E12832" s="57"/>
      <c r="H12832" s="18"/>
    </row>
    <row r="12833">
      <c r="C12833" s="18"/>
      <c r="D12833" s="19"/>
      <c r="E12833" s="57"/>
      <c r="H12833" s="18"/>
    </row>
    <row r="12834">
      <c r="C12834" s="18"/>
      <c r="D12834" s="19"/>
      <c r="E12834" s="57"/>
      <c r="H12834" s="18"/>
    </row>
    <row r="12835">
      <c r="C12835" s="18"/>
      <c r="D12835" s="19"/>
      <c r="E12835" s="57"/>
      <c r="H12835" s="18"/>
    </row>
    <row r="12836">
      <c r="C12836" s="18"/>
      <c r="D12836" s="19"/>
      <c r="E12836" s="57"/>
      <c r="H12836" s="18"/>
    </row>
    <row r="12837">
      <c r="C12837" s="18"/>
      <c r="D12837" s="19"/>
      <c r="E12837" s="57"/>
      <c r="H12837" s="18"/>
    </row>
    <row r="12838">
      <c r="C12838" s="18"/>
      <c r="D12838" s="19"/>
      <c r="E12838" s="57"/>
      <c r="H12838" s="18"/>
    </row>
    <row r="12839">
      <c r="C12839" s="18"/>
      <c r="D12839" s="19"/>
      <c r="E12839" s="57"/>
      <c r="H12839" s="18"/>
    </row>
    <row r="12840">
      <c r="C12840" s="18"/>
      <c r="D12840" s="19"/>
      <c r="E12840" s="57"/>
      <c r="H12840" s="18"/>
    </row>
    <row r="12841">
      <c r="C12841" s="18"/>
      <c r="D12841" s="19"/>
      <c r="E12841" s="57"/>
      <c r="H12841" s="18"/>
    </row>
    <row r="12842">
      <c r="C12842" s="18"/>
      <c r="D12842" s="19"/>
      <c r="E12842" s="57"/>
      <c r="H12842" s="18"/>
    </row>
    <row r="12843">
      <c r="C12843" s="18"/>
      <c r="D12843" s="19"/>
      <c r="E12843" s="57"/>
      <c r="H12843" s="18"/>
    </row>
    <row r="12844">
      <c r="C12844" s="18"/>
      <c r="D12844" s="19"/>
      <c r="E12844" s="57"/>
      <c r="H12844" s="18"/>
    </row>
    <row r="12845">
      <c r="C12845" s="18"/>
      <c r="D12845" s="19"/>
      <c r="E12845" s="57"/>
      <c r="H12845" s="18"/>
    </row>
    <row r="12846">
      <c r="C12846" s="18"/>
      <c r="D12846" s="19"/>
      <c r="E12846" s="57"/>
      <c r="H12846" s="18"/>
    </row>
    <row r="12847">
      <c r="C12847" s="18"/>
      <c r="D12847" s="19"/>
      <c r="E12847" s="57"/>
      <c r="H12847" s="18"/>
    </row>
    <row r="12848">
      <c r="C12848" s="18"/>
      <c r="D12848" s="19"/>
      <c r="E12848" s="57"/>
      <c r="H12848" s="18"/>
    </row>
    <row r="12849">
      <c r="C12849" s="18"/>
      <c r="D12849" s="19"/>
      <c r="E12849" s="57"/>
      <c r="H12849" s="18"/>
    </row>
    <row r="12850">
      <c r="C12850" s="18"/>
      <c r="D12850" s="19"/>
      <c r="E12850" s="57"/>
      <c r="H12850" s="18"/>
    </row>
    <row r="12851">
      <c r="C12851" s="18"/>
      <c r="D12851" s="19"/>
      <c r="E12851" s="57"/>
      <c r="H12851" s="18"/>
    </row>
    <row r="12852">
      <c r="C12852" s="18"/>
      <c r="D12852" s="19"/>
      <c r="E12852" s="57"/>
      <c r="H12852" s="18"/>
    </row>
    <row r="12853">
      <c r="C12853" s="18"/>
      <c r="D12853" s="19"/>
      <c r="E12853" s="57"/>
      <c r="H12853" s="18"/>
    </row>
    <row r="12854">
      <c r="C12854" s="18"/>
      <c r="D12854" s="19"/>
      <c r="E12854" s="57"/>
      <c r="H12854" s="18"/>
    </row>
    <row r="12855">
      <c r="C12855" s="18"/>
      <c r="D12855" s="19"/>
      <c r="E12855" s="57"/>
      <c r="H12855" s="18"/>
    </row>
    <row r="12856">
      <c r="C12856" s="18"/>
      <c r="D12856" s="19"/>
      <c r="E12856" s="57"/>
      <c r="H12856" s="18"/>
    </row>
    <row r="12857">
      <c r="C12857" s="18"/>
      <c r="D12857" s="19"/>
      <c r="E12857" s="57"/>
      <c r="H12857" s="18"/>
    </row>
    <row r="12858">
      <c r="C12858" s="18"/>
      <c r="D12858" s="19"/>
      <c r="E12858" s="57"/>
      <c r="H12858" s="18"/>
    </row>
    <row r="12859">
      <c r="C12859" s="18"/>
      <c r="D12859" s="19"/>
      <c r="E12859" s="57"/>
      <c r="H12859" s="18"/>
    </row>
    <row r="12860">
      <c r="C12860" s="18"/>
      <c r="D12860" s="19"/>
      <c r="E12860" s="57"/>
      <c r="H12860" s="18"/>
    </row>
    <row r="12861">
      <c r="C12861" s="18"/>
      <c r="D12861" s="19"/>
      <c r="E12861" s="57"/>
      <c r="H12861" s="18"/>
    </row>
    <row r="12862">
      <c r="C12862" s="18"/>
      <c r="D12862" s="19"/>
      <c r="E12862" s="57"/>
      <c r="H12862" s="18"/>
    </row>
    <row r="12863">
      <c r="C12863" s="18"/>
      <c r="D12863" s="19"/>
      <c r="E12863" s="57"/>
      <c r="H12863" s="18"/>
    </row>
    <row r="12864">
      <c r="C12864" s="18"/>
      <c r="D12864" s="19"/>
      <c r="E12864" s="57"/>
      <c r="H12864" s="18"/>
    </row>
    <row r="12865">
      <c r="C12865" s="18"/>
      <c r="D12865" s="19"/>
      <c r="E12865" s="57"/>
      <c r="H12865" s="18"/>
    </row>
    <row r="12866">
      <c r="C12866" s="18"/>
      <c r="D12866" s="19"/>
      <c r="E12866" s="57"/>
      <c r="H12866" s="18"/>
    </row>
    <row r="12867">
      <c r="C12867" s="18"/>
      <c r="D12867" s="19"/>
      <c r="E12867" s="57"/>
      <c r="H12867" s="18"/>
    </row>
    <row r="12868">
      <c r="C12868" s="18"/>
      <c r="D12868" s="19"/>
      <c r="E12868" s="57"/>
      <c r="H12868" s="18"/>
    </row>
    <row r="12869">
      <c r="C12869" s="18"/>
      <c r="D12869" s="19"/>
      <c r="E12869" s="57"/>
      <c r="H12869" s="18"/>
    </row>
    <row r="12870">
      <c r="C12870" s="18"/>
      <c r="D12870" s="19"/>
      <c r="E12870" s="57"/>
      <c r="H12870" s="18"/>
    </row>
    <row r="12871">
      <c r="C12871" s="18"/>
      <c r="D12871" s="19"/>
      <c r="E12871" s="57"/>
      <c r="H12871" s="18"/>
    </row>
    <row r="12872">
      <c r="C12872" s="18"/>
      <c r="D12872" s="19"/>
      <c r="E12872" s="57"/>
      <c r="H12872" s="18"/>
    </row>
    <row r="12873">
      <c r="C12873" s="18"/>
      <c r="D12873" s="19"/>
      <c r="E12873" s="57"/>
      <c r="H12873" s="18"/>
    </row>
    <row r="12874">
      <c r="C12874" s="18"/>
      <c r="D12874" s="19"/>
      <c r="E12874" s="57"/>
      <c r="H12874" s="18"/>
    </row>
    <row r="12875">
      <c r="C12875" s="18"/>
      <c r="D12875" s="19"/>
      <c r="E12875" s="57"/>
      <c r="H12875" s="18"/>
    </row>
    <row r="12876">
      <c r="C12876" s="18"/>
      <c r="D12876" s="19"/>
      <c r="E12876" s="57"/>
      <c r="H12876" s="18"/>
    </row>
    <row r="12877">
      <c r="C12877" s="18"/>
      <c r="D12877" s="19"/>
      <c r="E12877" s="57"/>
      <c r="H12877" s="18"/>
    </row>
    <row r="12878">
      <c r="C12878" s="18"/>
      <c r="D12878" s="19"/>
      <c r="E12878" s="57"/>
      <c r="H12878" s="18"/>
    </row>
    <row r="12879">
      <c r="C12879" s="18"/>
      <c r="D12879" s="19"/>
      <c r="E12879" s="57"/>
      <c r="H12879" s="18"/>
    </row>
    <row r="12880">
      <c r="C12880" s="18"/>
      <c r="D12880" s="19"/>
      <c r="E12880" s="57"/>
      <c r="H12880" s="18"/>
    </row>
    <row r="12881">
      <c r="C12881" s="18"/>
      <c r="D12881" s="19"/>
      <c r="E12881" s="57"/>
      <c r="H12881" s="18"/>
    </row>
    <row r="12882">
      <c r="C12882" s="18"/>
      <c r="D12882" s="19"/>
      <c r="E12882" s="57"/>
      <c r="H12882" s="18"/>
    </row>
    <row r="12883">
      <c r="C12883" s="18"/>
      <c r="D12883" s="19"/>
      <c r="E12883" s="57"/>
      <c r="H12883" s="18"/>
    </row>
    <row r="12884">
      <c r="C12884" s="18"/>
      <c r="D12884" s="19"/>
      <c r="E12884" s="57"/>
      <c r="H12884" s="18"/>
    </row>
    <row r="12885">
      <c r="C12885" s="18"/>
      <c r="D12885" s="19"/>
      <c r="E12885" s="57"/>
      <c r="H12885" s="18"/>
    </row>
    <row r="12886">
      <c r="C12886" s="18"/>
      <c r="D12886" s="19"/>
      <c r="E12886" s="57"/>
      <c r="H12886" s="18"/>
    </row>
    <row r="12887">
      <c r="C12887" s="18"/>
      <c r="D12887" s="19"/>
      <c r="E12887" s="57"/>
      <c r="H12887" s="18"/>
    </row>
    <row r="12888">
      <c r="C12888" s="18"/>
      <c r="D12888" s="19"/>
      <c r="E12888" s="57"/>
      <c r="H12888" s="18"/>
    </row>
    <row r="12889">
      <c r="C12889" s="18"/>
      <c r="D12889" s="19"/>
      <c r="E12889" s="57"/>
      <c r="H12889" s="18"/>
    </row>
    <row r="12890">
      <c r="C12890" s="18"/>
      <c r="D12890" s="19"/>
      <c r="E12890" s="57"/>
      <c r="H12890" s="18"/>
    </row>
    <row r="12891">
      <c r="C12891" s="18"/>
      <c r="D12891" s="19"/>
      <c r="E12891" s="57"/>
      <c r="H12891" s="18"/>
    </row>
    <row r="12892">
      <c r="C12892" s="18"/>
      <c r="D12892" s="19"/>
      <c r="E12892" s="57"/>
      <c r="H12892" s="18"/>
    </row>
    <row r="12893">
      <c r="C12893" s="18"/>
      <c r="D12893" s="19"/>
      <c r="E12893" s="57"/>
      <c r="H12893" s="18"/>
    </row>
    <row r="12894">
      <c r="C12894" s="18"/>
      <c r="D12894" s="19"/>
      <c r="E12894" s="57"/>
      <c r="H12894" s="18"/>
    </row>
    <row r="12895">
      <c r="C12895" s="18"/>
      <c r="D12895" s="19"/>
      <c r="E12895" s="57"/>
      <c r="H12895" s="18"/>
    </row>
    <row r="12896">
      <c r="C12896" s="18"/>
      <c r="D12896" s="19"/>
      <c r="E12896" s="57"/>
      <c r="H12896" s="18"/>
    </row>
    <row r="12897">
      <c r="C12897" s="18"/>
      <c r="D12897" s="19"/>
      <c r="E12897" s="57"/>
      <c r="H12897" s="18"/>
    </row>
    <row r="12898">
      <c r="C12898" s="18"/>
      <c r="D12898" s="19"/>
      <c r="E12898" s="57"/>
      <c r="H12898" s="18"/>
    </row>
    <row r="12899">
      <c r="C12899" s="18"/>
      <c r="D12899" s="19"/>
      <c r="E12899" s="57"/>
      <c r="H12899" s="18"/>
    </row>
    <row r="12900">
      <c r="C12900" s="18"/>
      <c r="D12900" s="19"/>
      <c r="E12900" s="57"/>
      <c r="H12900" s="18"/>
    </row>
    <row r="12901">
      <c r="C12901" s="18"/>
      <c r="D12901" s="19"/>
      <c r="E12901" s="57"/>
      <c r="H12901" s="18"/>
    </row>
    <row r="12902">
      <c r="C12902" s="18"/>
      <c r="D12902" s="19"/>
      <c r="E12902" s="57"/>
      <c r="H12902" s="18"/>
    </row>
    <row r="12903">
      <c r="C12903" s="18"/>
      <c r="D12903" s="19"/>
      <c r="E12903" s="57"/>
      <c r="H12903" s="18"/>
    </row>
    <row r="12904">
      <c r="C12904" s="18"/>
      <c r="D12904" s="19"/>
      <c r="E12904" s="57"/>
      <c r="H12904" s="18"/>
    </row>
    <row r="12905">
      <c r="C12905" s="18"/>
      <c r="D12905" s="19"/>
      <c r="E12905" s="57"/>
      <c r="H12905" s="18"/>
    </row>
    <row r="12906">
      <c r="C12906" s="18"/>
      <c r="D12906" s="19"/>
      <c r="E12906" s="57"/>
      <c r="H12906" s="18"/>
    </row>
    <row r="12907">
      <c r="C12907" s="18"/>
      <c r="D12907" s="19"/>
      <c r="E12907" s="57"/>
      <c r="H12907" s="18"/>
    </row>
    <row r="12908">
      <c r="C12908" s="18"/>
      <c r="D12908" s="19"/>
      <c r="E12908" s="57"/>
      <c r="H12908" s="18"/>
    </row>
    <row r="12909">
      <c r="C12909" s="18"/>
      <c r="D12909" s="19"/>
      <c r="E12909" s="57"/>
      <c r="H12909" s="18"/>
    </row>
    <row r="12910">
      <c r="C12910" s="18"/>
      <c r="D12910" s="19"/>
      <c r="E12910" s="57"/>
      <c r="H12910" s="18"/>
    </row>
    <row r="12911">
      <c r="C12911" s="18"/>
      <c r="D12911" s="19"/>
      <c r="E12911" s="57"/>
      <c r="H12911" s="18"/>
    </row>
    <row r="12912">
      <c r="C12912" s="18"/>
      <c r="D12912" s="19"/>
      <c r="E12912" s="57"/>
      <c r="H12912" s="18"/>
    </row>
    <row r="12913">
      <c r="C12913" s="18"/>
      <c r="D12913" s="19"/>
      <c r="E12913" s="57"/>
      <c r="H12913" s="18"/>
    </row>
    <row r="12914">
      <c r="C12914" s="18"/>
      <c r="D12914" s="19"/>
      <c r="E12914" s="57"/>
      <c r="H12914" s="18"/>
    </row>
    <row r="12915">
      <c r="C12915" s="18"/>
      <c r="D12915" s="19"/>
      <c r="E12915" s="57"/>
      <c r="H12915" s="18"/>
    </row>
    <row r="12916">
      <c r="C12916" s="18"/>
      <c r="D12916" s="19"/>
      <c r="E12916" s="57"/>
      <c r="H12916" s="18"/>
    </row>
    <row r="12917">
      <c r="C12917" s="18"/>
      <c r="D12917" s="19"/>
      <c r="E12917" s="57"/>
      <c r="H12917" s="18"/>
    </row>
    <row r="12918">
      <c r="C12918" s="18"/>
      <c r="D12918" s="19"/>
      <c r="E12918" s="57"/>
      <c r="H12918" s="18"/>
    </row>
    <row r="12919">
      <c r="C12919" s="18"/>
      <c r="D12919" s="19"/>
      <c r="E12919" s="57"/>
      <c r="H12919" s="18"/>
    </row>
    <row r="12920">
      <c r="C12920" s="18"/>
      <c r="D12920" s="19"/>
      <c r="E12920" s="57"/>
      <c r="H12920" s="18"/>
    </row>
    <row r="12921">
      <c r="C12921" s="18"/>
      <c r="D12921" s="19"/>
      <c r="E12921" s="57"/>
      <c r="H12921" s="18"/>
    </row>
    <row r="12922">
      <c r="C12922" s="18"/>
      <c r="D12922" s="19"/>
      <c r="E12922" s="57"/>
      <c r="H12922" s="18"/>
    </row>
    <row r="12923">
      <c r="C12923" s="18"/>
      <c r="D12923" s="19"/>
      <c r="E12923" s="57"/>
      <c r="H12923" s="18"/>
    </row>
    <row r="12924">
      <c r="C12924" s="18"/>
      <c r="D12924" s="19"/>
      <c r="E12924" s="57"/>
      <c r="H12924" s="18"/>
    </row>
    <row r="12925">
      <c r="C12925" s="18"/>
      <c r="D12925" s="19"/>
      <c r="E12925" s="57"/>
      <c r="H12925" s="18"/>
    </row>
    <row r="12926">
      <c r="C12926" s="18"/>
      <c r="D12926" s="19"/>
      <c r="E12926" s="57"/>
      <c r="H12926" s="18"/>
    </row>
    <row r="12927">
      <c r="C12927" s="18"/>
      <c r="D12927" s="19"/>
      <c r="E12927" s="57"/>
      <c r="H12927" s="18"/>
    </row>
    <row r="12928">
      <c r="C12928" s="18"/>
      <c r="D12928" s="19"/>
      <c r="E12928" s="57"/>
      <c r="H12928" s="18"/>
    </row>
    <row r="12929">
      <c r="C12929" s="18"/>
      <c r="D12929" s="19"/>
      <c r="E12929" s="57"/>
      <c r="H12929" s="18"/>
    </row>
    <row r="12930">
      <c r="C12930" s="18"/>
      <c r="D12930" s="19"/>
      <c r="E12930" s="57"/>
      <c r="H12930" s="18"/>
    </row>
    <row r="12931">
      <c r="C12931" s="18"/>
      <c r="D12931" s="19"/>
      <c r="E12931" s="57"/>
      <c r="H12931" s="18"/>
    </row>
    <row r="12932">
      <c r="C12932" s="18"/>
      <c r="D12932" s="19"/>
      <c r="E12932" s="57"/>
      <c r="H12932" s="18"/>
    </row>
    <row r="12933">
      <c r="C12933" s="18"/>
      <c r="D12933" s="19"/>
      <c r="E12933" s="57"/>
      <c r="H12933" s="18"/>
    </row>
    <row r="12934">
      <c r="C12934" s="18"/>
      <c r="D12934" s="19"/>
      <c r="E12934" s="57"/>
      <c r="H12934" s="18"/>
    </row>
    <row r="12935">
      <c r="C12935" s="18"/>
      <c r="D12935" s="19"/>
      <c r="E12935" s="57"/>
      <c r="H12935" s="18"/>
    </row>
    <row r="12936">
      <c r="C12936" s="18"/>
      <c r="D12936" s="19"/>
      <c r="E12936" s="57"/>
      <c r="H12936" s="18"/>
    </row>
    <row r="12937">
      <c r="C12937" s="18"/>
      <c r="D12937" s="19"/>
      <c r="E12937" s="57"/>
      <c r="H12937" s="18"/>
    </row>
    <row r="12938">
      <c r="C12938" s="18"/>
      <c r="D12938" s="19"/>
      <c r="E12938" s="57"/>
      <c r="H12938" s="18"/>
    </row>
    <row r="12939">
      <c r="C12939" s="18"/>
      <c r="D12939" s="19"/>
      <c r="E12939" s="57"/>
      <c r="H12939" s="18"/>
    </row>
    <row r="12940">
      <c r="C12940" s="18"/>
      <c r="D12940" s="19"/>
      <c r="E12940" s="57"/>
      <c r="H12940" s="18"/>
    </row>
    <row r="12941">
      <c r="C12941" s="18"/>
      <c r="D12941" s="19"/>
      <c r="E12941" s="57"/>
      <c r="H12941" s="18"/>
    </row>
    <row r="12942">
      <c r="C12942" s="18"/>
      <c r="D12942" s="19"/>
      <c r="E12942" s="57"/>
      <c r="H12942" s="18"/>
    </row>
    <row r="12943">
      <c r="C12943" s="18"/>
      <c r="D12943" s="19"/>
      <c r="E12943" s="57"/>
      <c r="H12943" s="18"/>
    </row>
    <row r="12944">
      <c r="C12944" s="18"/>
      <c r="D12944" s="19"/>
      <c r="E12944" s="57"/>
      <c r="H12944" s="18"/>
    </row>
    <row r="12945">
      <c r="C12945" s="18"/>
      <c r="D12945" s="19"/>
      <c r="E12945" s="57"/>
      <c r="H12945" s="18"/>
    </row>
    <row r="12946">
      <c r="C12946" s="18"/>
      <c r="D12946" s="19"/>
      <c r="E12946" s="57"/>
      <c r="H12946" s="18"/>
    </row>
    <row r="12947">
      <c r="C12947" s="18"/>
      <c r="D12947" s="19"/>
      <c r="E12947" s="57"/>
      <c r="H12947" s="18"/>
    </row>
    <row r="12948">
      <c r="C12948" s="18"/>
      <c r="D12948" s="19"/>
      <c r="E12948" s="57"/>
      <c r="H12948" s="18"/>
    </row>
    <row r="12949">
      <c r="C12949" s="18"/>
      <c r="D12949" s="19"/>
      <c r="E12949" s="57"/>
      <c r="H12949" s="18"/>
    </row>
    <row r="12950">
      <c r="C12950" s="18"/>
      <c r="D12950" s="19"/>
      <c r="E12950" s="57"/>
      <c r="H12950" s="18"/>
    </row>
    <row r="12951">
      <c r="C12951" s="18"/>
      <c r="D12951" s="19"/>
      <c r="E12951" s="57"/>
      <c r="H12951" s="18"/>
    </row>
    <row r="12952">
      <c r="C12952" s="18"/>
      <c r="D12952" s="19"/>
      <c r="E12952" s="57"/>
      <c r="H12952" s="18"/>
    </row>
    <row r="12953">
      <c r="C12953" s="18"/>
      <c r="D12953" s="19"/>
      <c r="E12953" s="57"/>
      <c r="H12953" s="18"/>
    </row>
    <row r="12954">
      <c r="C12954" s="18"/>
      <c r="D12954" s="19"/>
      <c r="E12954" s="57"/>
      <c r="H12954" s="18"/>
    </row>
    <row r="12955">
      <c r="C12955" s="18"/>
      <c r="D12955" s="19"/>
      <c r="E12955" s="57"/>
      <c r="H12955" s="18"/>
    </row>
    <row r="12956">
      <c r="C12956" s="18"/>
      <c r="D12956" s="19"/>
      <c r="E12956" s="57"/>
      <c r="H12956" s="18"/>
    </row>
    <row r="12957">
      <c r="C12957" s="18"/>
      <c r="D12957" s="19"/>
      <c r="E12957" s="57"/>
      <c r="H12957" s="18"/>
    </row>
    <row r="12958">
      <c r="C12958" s="18"/>
      <c r="D12958" s="19"/>
      <c r="E12958" s="57"/>
      <c r="H12958" s="18"/>
    </row>
    <row r="12959">
      <c r="C12959" s="18"/>
      <c r="D12959" s="19"/>
      <c r="E12959" s="57"/>
      <c r="H12959" s="18"/>
    </row>
    <row r="12960">
      <c r="C12960" s="18"/>
      <c r="D12960" s="19"/>
      <c r="E12960" s="57"/>
      <c r="H12960" s="18"/>
    </row>
    <row r="12961">
      <c r="C12961" s="18"/>
      <c r="D12961" s="19"/>
      <c r="E12961" s="57"/>
      <c r="H12961" s="18"/>
    </row>
    <row r="12962">
      <c r="C12962" s="18"/>
      <c r="D12962" s="19"/>
      <c r="E12962" s="57"/>
      <c r="H12962" s="18"/>
    </row>
    <row r="12963">
      <c r="C12963" s="18"/>
      <c r="D12963" s="19"/>
      <c r="E12963" s="57"/>
      <c r="H12963" s="18"/>
    </row>
    <row r="12964">
      <c r="C12964" s="18"/>
      <c r="D12964" s="19"/>
      <c r="E12964" s="57"/>
      <c r="H12964" s="18"/>
    </row>
    <row r="12965">
      <c r="C12965" s="18"/>
      <c r="D12965" s="19"/>
      <c r="E12965" s="57"/>
      <c r="H12965" s="18"/>
    </row>
    <row r="12966">
      <c r="C12966" s="18"/>
      <c r="D12966" s="19"/>
      <c r="E12966" s="57"/>
      <c r="H12966" s="18"/>
    </row>
    <row r="12967">
      <c r="C12967" s="18"/>
      <c r="D12967" s="19"/>
      <c r="E12967" s="57"/>
      <c r="H12967" s="18"/>
    </row>
    <row r="12968">
      <c r="C12968" s="18"/>
      <c r="D12968" s="19"/>
      <c r="E12968" s="57"/>
      <c r="H12968" s="18"/>
    </row>
    <row r="12969">
      <c r="C12969" s="18"/>
      <c r="D12969" s="19"/>
      <c r="E12969" s="57"/>
      <c r="H12969" s="18"/>
    </row>
    <row r="12970">
      <c r="C12970" s="18"/>
      <c r="D12970" s="19"/>
      <c r="E12970" s="57"/>
      <c r="H12970" s="18"/>
    </row>
    <row r="12971">
      <c r="C12971" s="18"/>
      <c r="D12971" s="19"/>
      <c r="E12971" s="57"/>
      <c r="H12971" s="18"/>
    </row>
    <row r="12972">
      <c r="C12972" s="18"/>
      <c r="D12972" s="19"/>
      <c r="E12972" s="57"/>
      <c r="H12972" s="18"/>
    </row>
    <row r="12973">
      <c r="C12973" s="18"/>
      <c r="D12973" s="19"/>
      <c r="E12973" s="57"/>
      <c r="H12973" s="18"/>
    </row>
    <row r="12974">
      <c r="C12974" s="18"/>
      <c r="D12974" s="19"/>
      <c r="E12974" s="57"/>
      <c r="H12974" s="18"/>
    </row>
    <row r="12975">
      <c r="C12975" s="18"/>
      <c r="D12975" s="19"/>
      <c r="E12975" s="57"/>
      <c r="H12975" s="18"/>
    </row>
    <row r="12976">
      <c r="C12976" s="18"/>
      <c r="D12976" s="19"/>
      <c r="E12976" s="57"/>
      <c r="H12976" s="18"/>
    </row>
    <row r="12977">
      <c r="C12977" s="18"/>
      <c r="D12977" s="19"/>
      <c r="E12977" s="57"/>
      <c r="H12977" s="18"/>
    </row>
    <row r="12978">
      <c r="C12978" s="18"/>
      <c r="D12978" s="19"/>
      <c r="E12978" s="57"/>
      <c r="H12978" s="18"/>
    </row>
    <row r="12979">
      <c r="C12979" s="18"/>
      <c r="D12979" s="19"/>
      <c r="E12979" s="57"/>
      <c r="H12979" s="18"/>
    </row>
    <row r="12980">
      <c r="C12980" s="18"/>
      <c r="D12980" s="19"/>
      <c r="E12980" s="57"/>
      <c r="H12980" s="18"/>
    </row>
    <row r="12981">
      <c r="C12981" s="18"/>
      <c r="D12981" s="19"/>
      <c r="E12981" s="57"/>
      <c r="H12981" s="18"/>
    </row>
    <row r="12982">
      <c r="C12982" s="18"/>
      <c r="D12982" s="19"/>
      <c r="E12982" s="57"/>
      <c r="H12982" s="18"/>
    </row>
    <row r="12983">
      <c r="C12983" s="18"/>
      <c r="D12983" s="19"/>
      <c r="E12983" s="57"/>
      <c r="H12983" s="18"/>
    </row>
    <row r="12984">
      <c r="C12984" s="18"/>
      <c r="D12984" s="19"/>
      <c r="E12984" s="57"/>
      <c r="H12984" s="18"/>
    </row>
    <row r="12985">
      <c r="C12985" s="18"/>
      <c r="D12985" s="19"/>
      <c r="E12985" s="57"/>
      <c r="H12985" s="18"/>
    </row>
    <row r="12986">
      <c r="C12986" s="18"/>
      <c r="D12986" s="19"/>
      <c r="E12986" s="57"/>
      <c r="H12986" s="18"/>
    </row>
    <row r="12987">
      <c r="C12987" s="18"/>
      <c r="D12987" s="19"/>
      <c r="E12987" s="57"/>
      <c r="H12987" s="18"/>
    </row>
    <row r="12988">
      <c r="C12988" s="18"/>
      <c r="D12988" s="19"/>
      <c r="E12988" s="57"/>
      <c r="H12988" s="18"/>
    </row>
    <row r="12989">
      <c r="C12989" s="18"/>
      <c r="D12989" s="19"/>
      <c r="E12989" s="57"/>
      <c r="H12989" s="18"/>
    </row>
    <row r="12990">
      <c r="C12990" s="18"/>
      <c r="D12990" s="19"/>
      <c r="E12990" s="57"/>
      <c r="H12990" s="18"/>
    </row>
    <row r="12991">
      <c r="C12991" s="18"/>
      <c r="D12991" s="19"/>
      <c r="E12991" s="57"/>
      <c r="H12991" s="18"/>
    </row>
    <row r="12992">
      <c r="C12992" s="18"/>
      <c r="D12992" s="19"/>
      <c r="E12992" s="57"/>
      <c r="H12992" s="18"/>
    </row>
    <row r="12993">
      <c r="C12993" s="18"/>
      <c r="D12993" s="19"/>
      <c r="E12993" s="57"/>
      <c r="H12993" s="18"/>
    </row>
    <row r="12994">
      <c r="C12994" s="18"/>
      <c r="D12994" s="19"/>
      <c r="E12994" s="57"/>
      <c r="H12994" s="18"/>
    </row>
    <row r="12995">
      <c r="C12995" s="18"/>
      <c r="D12995" s="19"/>
      <c r="E12995" s="57"/>
      <c r="H12995" s="18"/>
    </row>
    <row r="12996">
      <c r="C12996" s="18"/>
      <c r="D12996" s="19"/>
      <c r="E12996" s="57"/>
      <c r="H12996" s="18"/>
    </row>
    <row r="12997">
      <c r="C12997" s="18"/>
      <c r="D12997" s="19"/>
      <c r="E12997" s="57"/>
      <c r="H12997" s="18"/>
    </row>
    <row r="12998">
      <c r="C12998" s="18"/>
      <c r="D12998" s="19"/>
      <c r="E12998" s="57"/>
      <c r="H12998" s="18"/>
    </row>
    <row r="12999">
      <c r="C12999" s="18"/>
      <c r="D12999" s="19"/>
      <c r="E12999" s="57"/>
      <c r="H12999" s="18"/>
    </row>
    <row r="13000">
      <c r="C13000" s="18"/>
      <c r="D13000" s="19"/>
      <c r="E13000" s="57"/>
      <c r="H13000" s="18"/>
    </row>
    <row r="13001">
      <c r="C13001" s="18"/>
      <c r="D13001" s="19"/>
      <c r="E13001" s="57"/>
      <c r="H13001" s="18"/>
    </row>
    <row r="13002">
      <c r="C13002" s="18"/>
      <c r="D13002" s="19"/>
      <c r="E13002" s="57"/>
      <c r="H13002" s="18"/>
    </row>
    <row r="13003">
      <c r="C13003" s="18"/>
      <c r="D13003" s="19"/>
      <c r="E13003" s="57"/>
      <c r="H13003" s="18"/>
    </row>
    <row r="13004">
      <c r="C13004" s="18"/>
      <c r="D13004" s="19"/>
      <c r="E13004" s="57"/>
      <c r="H13004" s="18"/>
    </row>
    <row r="13005">
      <c r="C13005" s="18"/>
      <c r="D13005" s="19"/>
      <c r="E13005" s="57"/>
      <c r="H13005" s="18"/>
    </row>
    <row r="13006">
      <c r="C13006" s="18"/>
      <c r="D13006" s="19"/>
      <c r="E13006" s="57"/>
      <c r="H13006" s="18"/>
    </row>
    <row r="13007">
      <c r="C13007" s="18"/>
      <c r="D13007" s="19"/>
      <c r="E13007" s="57"/>
      <c r="H13007" s="18"/>
    </row>
    <row r="13008">
      <c r="C13008" s="18"/>
      <c r="D13008" s="19"/>
      <c r="E13008" s="57"/>
      <c r="H13008" s="18"/>
    </row>
    <row r="13009">
      <c r="C13009" s="18"/>
      <c r="D13009" s="19"/>
      <c r="E13009" s="57"/>
      <c r="H13009" s="18"/>
    </row>
    <row r="13010">
      <c r="C13010" s="18"/>
      <c r="D13010" s="19"/>
      <c r="E13010" s="57"/>
      <c r="H13010" s="18"/>
    </row>
    <row r="13011">
      <c r="C13011" s="18"/>
      <c r="D13011" s="19"/>
      <c r="E13011" s="57"/>
      <c r="H13011" s="18"/>
    </row>
    <row r="13012">
      <c r="C13012" s="18"/>
      <c r="D13012" s="19"/>
      <c r="E13012" s="57"/>
      <c r="H13012" s="18"/>
    </row>
    <row r="13013">
      <c r="C13013" s="18"/>
      <c r="D13013" s="19"/>
      <c r="E13013" s="57"/>
      <c r="H13013" s="18"/>
    </row>
    <row r="13014">
      <c r="C13014" s="18"/>
      <c r="D13014" s="19"/>
      <c r="E13014" s="57"/>
      <c r="H13014" s="18"/>
    </row>
    <row r="13015">
      <c r="C13015" s="18"/>
      <c r="D13015" s="19"/>
      <c r="E13015" s="57"/>
      <c r="H13015" s="18"/>
    </row>
    <row r="13016">
      <c r="C13016" s="18"/>
      <c r="D13016" s="19"/>
      <c r="E13016" s="57"/>
      <c r="H13016" s="18"/>
    </row>
    <row r="13017">
      <c r="C13017" s="18"/>
      <c r="D13017" s="19"/>
      <c r="E13017" s="57"/>
      <c r="H13017" s="18"/>
    </row>
    <row r="13018">
      <c r="C13018" s="18"/>
      <c r="D13018" s="19"/>
      <c r="E13018" s="57"/>
      <c r="H13018" s="18"/>
    </row>
    <row r="13019">
      <c r="C13019" s="18"/>
      <c r="D13019" s="19"/>
      <c r="E13019" s="57"/>
      <c r="H13019" s="18"/>
    </row>
    <row r="13020">
      <c r="C13020" s="18"/>
      <c r="D13020" s="19"/>
      <c r="E13020" s="57"/>
      <c r="H13020" s="18"/>
    </row>
    <row r="13021">
      <c r="C13021" s="18"/>
      <c r="D13021" s="19"/>
      <c r="E13021" s="57"/>
      <c r="H13021" s="18"/>
    </row>
    <row r="13022">
      <c r="C13022" s="18"/>
      <c r="D13022" s="19"/>
      <c r="E13022" s="57"/>
      <c r="H13022" s="18"/>
    </row>
    <row r="13023">
      <c r="C13023" s="18"/>
      <c r="D13023" s="19"/>
      <c r="E13023" s="57"/>
      <c r="H13023" s="18"/>
    </row>
    <row r="13024">
      <c r="C13024" s="18"/>
      <c r="D13024" s="19"/>
      <c r="E13024" s="57"/>
      <c r="H13024" s="18"/>
    </row>
    <row r="13025">
      <c r="C13025" s="18"/>
      <c r="D13025" s="19"/>
      <c r="E13025" s="57"/>
      <c r="H13025" s="18"/>
    </row>
    <row r="13026">
      <c r="C13026" s="18"/>
      <c r="D13026" s="19"/>
      <c r="E13026" s="57"/>
      <c r="H13026" s="18"/>
    </row>
    <row r="13027">
      <c r="C13027" s="18"/>
      <c r="D13027" s="19"/>
      <c r="E13027" s="57"/>
      <c r="H13027" s="18"/>
    </row>
    <row r="13028">
      <c r="C13028" s="18"/>
      <c r="D13028" s="19"/>
      <c r="E13028" s="57"/>
      <c r="H13028" s="18"/>
    </row>
    <row r="13029">
      <c r="C13029" s="18"/>
      <c r="D13029" s="19"/>
      <c r="E13029" s="57"/>
      <c r="H13029" s="18"/>
    </row>
    <row r="13030">
      <c r="C13030" s="18"/>
      <c r="D13030" s="19"/>
      <c r="E13030" s="57"/>
      <c r="H13030" s="18"/>
    </row>
    <row r="13031">
      <c r="C13031" s="18"/>
      <c r="D13031" s="19"/>
      <c r="E13031" s="57"/>
      <c r="H13031" s="18"/>
    </row>
    <row r="13032">
      <c r="C13032" s="18"/>
      <c r="D13032" s="19"/>
      <c r="E13032" s="57"/>
      <c r="H13032" s="18"/>
    </row>
    <row r="13033">
      <c r="C13033" s="18"/>
      <c r="D13033" s="19"/>
      <c r="E13033" s="57"/>
      <c r="H13033" s="18"/>
    </row>
    <row r="13034">
      <c r="C13034" s="18"/>
      <c r="D13034" s="19"/>
      <c r="E13034" s="57"/>
      <c r="H13034" s="18"/>
    </row>
    <row r="13035">
      <c r="C13035" s="18"/>
      <c r="D13035" s="19"/>
      <c r="E13035" s="57"/>
      <c r="H13035" s="18"/>
    </row>
    <row r="13036">
      <c r="C13036" s="18"/>
      <c r="D13036" s="19"/>
      <c r="E13036" s="57"/>
      <c r="H13036" s="18"/>
    </row>
    <row r="13037">
      <c r="C13037" s="18"/>
      <c r="D13037" s="19"/>
      <c r="E13037" s="57"/>
      <c r="H13037" s="18"/>
    </row>
    <row r="13038">
      <c r="C13038" s="18"/>
      <c r="D13038" s="19"/>
      <c r="E13038" s="57"/>
      <c r="H13038" s="18"/>
    </row>
    <row r="13039">
      <c r="C13039" s="18"/>
      <c r="D13039" s="19"/>
      <c r="E13039" s="57"/>
      <c r="H13039" s="18"/>
    </row>
    <row r="13040">
      <c r="C13040" s="18"/>
      <c r="D13040" s="19"/>
      <c r="E13040" s="57"/>
      <c r="H13040" s="18"/>
    </row>
    <row r="13041">
      <c r="C13041" s="18"/>
      <c r="D13041" s="19"/>
      <c r="E13041" s="57"/>
      <c r="H13041" s="18"/>
    </row>
    <row r="13042">
      <c r="C13042" s="18"/>
      <c r="D13042" s="19"/>
      <c r="E13042" s="57"/>
      <c r="H13042" s="18"/>
    </row>
    <row r="13043">
      <c r="C13043" s="18"/>
      <c r="D13043" s="19"/>
      <c r="E13043" s="57"/>
      <c r="H13043" s="18"/>
    </row>
    <row r="13044">
      <c r="C13044" s="18"/>
      <c r="D13044" s="19"/>
      <c r="E13044" s="57"/>
      <c r="H13044" s="18"/>
    </row>
    <row r="13045">
      <c r="C13045" s="18"/>
      <c r="D13045" s="19"/>
      <c r="E13045" s="57"/>
      <c r="H13045" s="18"/>
    </row>
    <row r="13046">
      <c r="C13046" s="18"/>
      <c r="D13046" s="19"/>
      <c r="E13046" s="57"/>
      <c r="H13046" s="18"/>
    </row>
    <row r="13047">
      <c r="C13047" s="18"/>
      <c r="D13047" s="19"/>
      <c r="E13047" s="57"/>
      <c r="H13047" s="18"/>
    </row>
    <row r="13048">
      <c r="C13048" s="18"/>
      <c r="D13048" s="19"/>
      <c r="E13048" s="57"/>
      <c r="H13048" s="18"/>
    </row>
    <row r="13049">
      <c r="C13049" s="18"/>
      <c r="D13049" s="19"/>
      <c r="E13049" s="57"/>
      <c r="H13049" s="18"/>
    </row>
    <row r="13050">
      <c r="C13050" s="18"/>
      <c r="D13050" s="19"/>
      <c r="E13050" s="57"/>
      <c r="H13050" s="18"/>
    </row>
    <row r="13051">
      <c r="C13051" s="18"/>
      <c r="D13051" s="19"/>
      <c r="E13051" s="57"/>
      <c r="H13051" s="18"/>
    </row>
    <row r="13052">
      <c r="C13052" s="18"/>
      <c r="D13052" s="19"/>
      <c r="E13052" s="57"/>
      <c r="H13052" s="18"/>
    </row>
    <row r="13053">
      <c r="C13053" s="18"/>
      <c r="D13053" s="19"/>
      <c r="E13053" s="57"/>
      <c r="H13053" s="18"/>
    </row>
    <row r="13054">
      <c r="C13054" s="18"/>
      <c r="D13054" s="19"/>
      <c r="E13054" s="57"/>
      <c r="H13054" s="18"/>
    </row>
    <row r="13055">
      <c r="C13055" s="18"/>
      <c r="D13055" s="19"/>
      <c r="E13055" s="57"/>
      <c r="H13055" s="18"/>
    </row>
    <row r="13056">
      <c r="C13056" s="18"/>
      <c r="D13056" s="19"/>
      <c r="E13056" s="57"/>
      <c r="H13056" s="18"/>
    </row>
    <row r="13057">
      <c r="C13057" s="18"/>
      <c r="D13057" s="19"/>
      <c r="E13057" s="57"/>
      <c r="H13057" s="18"/>
    </row>
    <row r="13058">
      <c r="C13058" s="18"/>
      <c r="D13058" s="19"/>
      <c r="E13058" s="57"/>
      <c r="H13058" s="18"/>
    </row>
    <row r="13059">
      <c r="C13059" s="18"/>
      <c r="D13059" s="19"/>
      <c r="E13059" s="57"/>
      <c r="H13059" s="18"/>
    </row>
    <row r="13060">
      <c r="C13060" s="18"/>
      <c r="D13060" s="19"/>
      <c r="E13060" s="57"/>
      <c r="H13060" s="18"/>
    </row>
    <row r="13061">
      <c r="C13061" s="18"/>
      <c r="D13061" s="19"/>
      <c r="E13061" s="57"/>
      <c r="H13061" s="18"/>
    </row>
    <row r="13062">
      <c r="C13062" s="18"/>
      <c r="D13062" s="19"/>
      <c r="E13062" s="57"/>
      <c r="H13062" s="18"/>
    </row>
    <row r="13063">
      <c r="C13063" s="18"/>
      <c r="D13063" s="19"/>
      <c r="E13063" s="57"/>
      <c r="H13063" s="18"/>
    </row>
    <row r="13064">
      <c r="C13064" s="18"/>
      <c r="D13064" s="19"/>
      <c r="E13064" s="57"/>
      <c r="H13064" s="18"/>
    </row>
    <row r="13065">
      <c r="C13065" s="18"/>
      <c r="D13065" s="19"/>
      <c r="E13065" s="57"/>
      <c r="H13065" s="18"/>
    </row>
    <row r="13066">
      <c r="C13066" s="18"/>
      <c r="D13066" s="19"/>
      <c r="E13066" s="57"/>
      <c r="H13066" s="18"/>
    </row>
    <row r="13067">
      <c r="C13067" s="18"/>
      <c r="D13067" s="19"/>
      <c r="E13067" s="57"/>
      <c r="H13067" s="18"/>
    </row>
    <row r="13068">
      <c r="C13068" s="18"/>
      <c r="D13068" s="19"/>
      <c r="E13068" s="57"/>
      <c r="H13068" s="18"/>
    </row>
    <row r="13069">
      <c r="C13069" s="18"/>
      <c r="D13069" s="19"/>
      <c r="E13069" s="57"/>
      <c r="H13069" s="18"/>
    </row>
    <row r="13070">
      <c r="C13070" s="18"/>
      <c r="D13070" s="19"/>
      <c r="E13070" s="57"/>
      <c r="H13070" s="18"/>
    </row>
    <row r="13071">
      <c r="C13071" s="18"/>
      <c r="D13071" s="19"/>
      <c r="E13071" s="57"/>
      <c r="H13071" s="18"/>
    </row>
    <row r="13072">
      <c r="C13072" s="18"/>
      <c r="D13072" s="19"/>
      <c r="E13072" s="57"/>
      <c r="H13072" s="18"/>
    </row>
    <row r="13073">
      <c r="C13073" s="18"/>
      <c r="D13073" s="19"/>
      <c r="E13073" s="57"/>
      <c r="H13073" s="18"/>
    </row>
    <row r="13074">
      <c r="C13074" s="18"/>
      <c r="D13074" s="19"/>
      <c r="E13074" s="57"/>
      <c r="H13074" s="18"/>
    </row>
    <row r="13075">
      <c r="C13075" s="18"/>
      <c r="D13075" s="19"/>
      <c r="E13075" s="57"/>
      <c r="H13075" s="18"/>
    </row>
    <row r="13076">
      <c r="C13076" s="18"/>
      <c r="D13076" s="19"/>
      <c r="E13076" s="57"/>
      <c r="H13076" s="18"/>
    </row>
    <row r="13077">
      <c r="C13077" s="18"/>
      <c r="D13077" s="19"/>
      <c r="E13077" s="57"/>
      <c r="H13077" s="18"/>
    </row>
    <row r="13078">
      <c r="C13078" s="18"/>
      <c r="D13078" s="19"/>
      <c r="E13078" s="57"/>
      <c r="H13078" s="18"/>
    </row>
    <row r="13079">
      <c r="C13079" s="18"/>
      <c r="D13079" s="19"/>
      <c r="E13079" s="57"/>
      <c r="H13079" s="18"/>
    </row>
    <row r="13080">
      <c r="C13080" s="18"/>
      <c r="D13080" s="19"/>
      <c r="E13080" s="57"/>
      <c r="H13080" s="18"/>
    </row>
    <row r="13081">
      <c r="C13081" s="18"/>
      <c r="D13081" s="19"/>
      <c r="E13081" s="57"/>
      <c r="H13081" s="18"/>
    </row>
    <row r="13082">
      <c r="C13082" s="18"/>
      <c r="D13082" s="19"/>
      <c r="E13082" s="57"/>
      <c r="H13082" s="18"/>
    </row>
    <row r="13083">
      <c r="C13083" s="18"/>
      <c r="D13083" s="19"/>
      <c r="E13083" s="57"/>
      <c r="H13083" s="18"/>
    </row>
    <row r="13084">
      <c r="C13084" s="18"/>
      <c r="D13084" s="19"/>
      <c r="E13084" s="57"/>
      <c r="H13084" s="18"/>
    </row>
    <row r="13085">
      <c r="C13085" s="18"/>
      <c r="D13085" s="19"/>
      <c r="E13085" s="57"/>
      <c r="H13085" s="18"/>
    </row>
    <row r="13086">
      <c r="C13086" s="18"/>
      <c r="D13086" s="19"/>
      <c r="E13086" s="57"/>
      <c r="H13086" s="18"/>
    </row>
    <row r="13087">
      <c r="C13087" s="18"/>
      <c r="D13087" s="19"/>
      <c r="E13087" s="57"/>
      <c r="H13087" s="18"/>
    </row>
    <row r="13088">
      <c r="C13088" s="18"/>
      <c r="D13088" s="19"/>
      <c r="E13088" s="57"/>
      <c r="H13088" s="18"/>
    </row>
    <row r="13089">
      <c r="C13089" s="18"/>
      <c r="D13089" s="19"/>
      <c r="E13089" s="57"/>
      <c r="H13089" s="18"/>
    </row>
    <row r="13090">
      <c r="C13090" s="18"/>
      <c r="D13090" s="19"/>
      <c r="E13090" s="57"/>
      <c r="H13090" s="18"/>
    </row>
    <row r="13091">
      <c r="C13091" s="18"/>
      <c r="D13091" s="19"/>
      <c r="E13091" s="57"/>
      <c r="H13091" s="18"/>
    </row>
    <row r="13092">
      <c r="C13092" s="18"/>
      <c r="D13092" s="19"/>
      <c r="E13092" s="57"/>
      <c r="H13092" s="18"/>
    </row>
    <row r="13093">
      <c r="C13093" s="18"/>
      <c r="D13093" s="19"/>
      <c r="E13093" s="57"/>
      <c r="H13093" s="18"/>
    </row>
    <row r="13094">
      <c r="C13094" s="18"/>
      <c r="D13094" s="19"/>
      <c r="E13094" s="57"/>
      <c r="H13094" s="18"/>
    </row>
    <row r="13095">
      <c r="C13095" s="18"/>
      <c r="D13095" s="19"/>
      <c r="E13095" s="57"/>
      <c r="H13095" s="18"/>
    </row>
    <row r="13096">
      <c r="C13096" s="18"/>
      <c r="D13096" s="19"/>
      <c r="E13096" s="57"/>
      <c r="H13096" s="18"/>
    </row>
    <row r="13097">
      <c r="C13097" s="18"/>
      <c r="D13097" s="19"/>
      <c r="E13097" s="57"/>
      <c r="H13097" s="18"/>
    </row>
    <row r="13098">
      <c r="C13098" s="18"/>
      <c r="D13098" s="19"/>
      <c r="E13098" s="57"/>
      <c r="H13098" s="18"/>
    </row>
    <row r="13099">
      <c r="C13099" s="18"/>
      <c r="D13099" s="19"/>
      <c r="E13099" s="57"/>
      <c r="H13099" s="18"/>
    </row>
    <row r="13100">
      <c r="C13100" s="18"/>
      <c r="D13100" s="19"/>
      <c r="E13100" s="57"/>
      <c r="H13100" s="18"/>
    </row>
    <row r="13101">
      <c r="C13101" s="18"/>
      <c r="D13101" s="19"/>
      <c r="E13101" s="57"/>
      <c r="H13101" s="18"/>
    </row>
    <row r="13102">
      <c r="C13102" s="18"/>
      <c r="D13102" s="19"/>
      <c r="E13102" s="57"/>
      <c r="H13102" s="18"/>
    </row>
    <row r="13103">
      <c r="C13103" s="18"/>
      <c r="D13103" s="19"/>
      <c r="E13103" s="57"/>
      <c r="H13103" s="18"/>
    </row>
    <row r="13104">
      <c r="C13104" s="18"/>
      <c r="D13104" s="19"/>
      <c r="E13104" s="57"/>
      <c r="H13104" s="18"/>
    </row>
    <row r="13105">
      <c r="C13105" s="18"/>
      <c r="D13105" s="19"/>
      <c r="E13105" s="57"/>
      <c r="H13105" s="18"/>
    </row>
    <row r="13106">
      <c r="C13106" s="18"/>
      <c r="D13106" s="19"/>
      <c r="E13106" s="57"/>
      <c r="H13106" s="18"/>
    </row>
    <row r="13107">
      <c r="C13107" s="18"/>
      <c r="D13107" s="19"/>
      <c r="E13107" s="57"/>
      <c r="H13107" s="18"/>
    </row>
    <row r="13108">
      <c r="C13108" s="18"/>
      <c r="D13108" s="19"/>
      <c r="E13108" s="57"/>
      <c r="H13108" s="18"/>
    </row>
    <row r="13109">
      <c r="C13109" s="18"/>
      <c r="D13109" s="19"/>
      <c r="E13109" s="57"/>
      <c r="H13109" s="18"/>
    </row>
    <row r="13110">
      <c r="C13110" s="18"/>
      <c r="D13110" s="19"/>
      <c r="E13110" s="57"/>
      <c r="H13110" s="18"/>
    </row>
    <row r="13111">
      <c r="C13111" s="18"/>
      <c r="D13111" s="19"/>
      <c r="E13111" s="57"/>
      <c r="H13111" s="18"/>
    </row>
    <row r="13112">
      <c r="C13112" s="18"/>
      <c r="D13112" s="19"/>
      <c r="E13112" s="57"/>
      <c r="H13112" s="18"/>
    </row>
    <row r="13113">
      <c r="C13113" s="18"/>
      <c r="D13113" s="19"/>
      <c r="E13113" s="57"/>
      <c r="H13113" s="18"/>
    </row>
    <row r="13114">
      <c r="C13114" s="18"/>
      <c r="D13114" s="19"/>
      <c r="E13114" s="57"/>
      <c r="H13114" s="18"/>
    </row>
    <row r="13115">
      <c r="C13115" s="18"/>
      <c r="D13115" s="19"/>
      <c r="E13115" s="57"/>
      <c r="H13115" s="18"/>
    </row>
    <row r="13116">
      <c r="C13116" s="18"/>
      <c r="D13116" s="19"/>
      <c r="E13116" s="57"/>
      <c r="H13116" s="18"/>
    </row>
    <row r="13117">
      <c r="C13117" s="18"/>
      <c r="D13117" s="19"/>
      <c r="E13117" s="57"/>
      <c r="H13117" s="18"/>
    </row>
    <row r="13118">
      <c r="C13118" s="18"/>
      <c r="D13118" s="19"/>
      <c r="E13118" s="57"/>
      <c r="H13118" s="18"/>
    </row>
    <row r="13119">
      <c r="C13119" s="18"/>
      <c r="D13119" s="19"/>
      <c r="E13119" s="57"/>
      <c r="H13119" s="18"/>
    </row>
    <row r="13120">
      <c r="C13120" s="18"/>
      <c r="D13120" s="19"/>
      <c r="E13120" s="57"/>
      <c r="H13120" s="18"/>
    </row>
    <row r="13121">
      <c r="C13121" s="18"/>
      <c r="D13121" s="19"/>
      <c r="E13121" s="57"/>
      <c r="H13121" s="18"/>
    </row>
    <row r="13122">
      <c r="C13122" s="18"/>
      <c r="D13122" s="19"/>
      <c r="E13122" s="57"/>
      <c r="H13122" s="18"/>
    </row>
    <row r="13123">
      <c r="C13123" s="18"/>
      <c r="D13123" s="19"/>
      <c r="E13123" s="57"/>
      <c r="H13123" s="18"/>
    </row>
    <row r="13124">
      <c r="C13124" s="18"/>
      <c r="D13124" s="19"/>
      <c r="E13124" s="57"/>
      <c r="H13124" s="18"/>
    </row>
    <row r="13125">
      <c r="C13125" s="18"/>
      <c r="D13125" s="19"/>
      <c r="E13125" s="57"/>
      <c r="H13125" s="18"/>
    </row>
    <row r="13126">
      <c r="C13126" s="18"/>
      <c r="D13126" s="19"/>
      <c r="E13126" s="57"/>
      <c r="H13126" s="18"/>
    </row>
    <row r="13127">
      <c r="C13127" s="18"/>
      <c r="D13127" s="19"/>
      <c r="E13127" s="57"/>
      <c r="H13127" s="18"/>
    </row>
    <row r="13128">
      <c r="C13128" s="18"/>
      <c r="D13128" s="19"/>
      <c r="E13128" s="57"/>
      <c r="H13128" s="18"/>
    </row>
    <row r="13129">
      <c r="C13129" s="18"/>
      <c r="D13129" s="19"/>
      <c r="E13129" s="57"/>
      <c r="H13129" s="18"/>
    </row>
    <row r="13130">
      <c r="C13130" s="18"/>
      <c r="D13130" s="19"/>
      <c r="E13130" s="57"/>
      <c r="H13130" s="18"/>
    </row>
    <row r="13131">
      <c r="C13131" s="18"/>
      <c r="D13131" s="19"/>
      <c r="E13131" s="57"/>
      <c r="H13131" s="18"/>
    </row>
    <row r="13132">
      <c r="C13132" s="18"/>
      <c r="D13132" s="19"/>
      <c r="E13132" s="57"/>
      <c r="H13132" s="18"/>
    </row>
    <row r="13133">
      <c r="C13133" s="18"/>
      <c r="D13133" s="19"/>
      <c r="E13133" s="57"/>
      <c r="H13133" s="18"/>
    </row>
    <row r="13134">
      <c r="C13134" s="18"/>
      <c r="D13134" s="19"/>
      <c r="E13134" s="57"/>
      <c r="H13134" s="18"/>
    </row>
    <row r="13135">
      <c r="C13135" s="18"/>
      <c r="D13135" s="19"/>
      <c r="E13135" s="57"/>
      <c r="H13135" s="18"/>
    </row>
    <row r="13136">
      <c r="C13136" s="18"/>
      <c r="D13136" s="19"/>
      <c r="E13136" s="57"/>
      <c r="H13136" s="18"/>
    </row>
    <row r="13137">
      <c r="C13137" s="18"/>
      <c r="D13137" s="19"/>
      <c r="E13137" s="57"/>
      <c r="H13137" s="18"/>
    </row>
    <row r="13138">
      <c r="C13138" s="18"/>
      <c r="D13138" s="19"/>
      <c r="E13138" s="57"/>
      <c r="H13138" s="18"/>
    </row>
    <row r="13139">
      <c r="C13139" s="18"/>
      <c r="D13139" s="19"/>
      <c r="E13139" s="57"/>
      <c r="H13139" s="18"/>
    </row>
    <row r="13140">
      <c r="C13140" s="18"/>
      <c r="D13140" s="19"/>
      <c r="E13140" s="57"/>
      <c r="H13140" s="18"/>
    </row>
    <row r="13141">
      <c r="C13141" s="18"/>
      <c r="D13141" s="19"/>
      <c r="E13141" s="57"/>
      <c r="H13141" s="18"/>
    </row>
    <row r="13142">
      <c r="C13142" s="18"/>
      <c r="D13142" s="19"/>
      <c r="E13142" s="57"/>
      <c r="H13142" s="18"/>
    </row>
    <row r="13143">
      <c r="C13143" s="18"/>
      <c r="D13143" s="19"/>
      <c r="E13143" s="57"/>
      <c r="H13143" s="18"/>
    </row>
    <row r="13144">
      <c r="C13144" s="18"/>
      <c r="D13144" s="19"/>
      <c r="E13144" s="57"/>
      <c r="H13144" s="18"/>
    </row>
    <row r="13145">
      <c r="C13145" s="18"/>
      <c r="D13145" s="19"/>
      <c r="E13145" s="57"/>
      <c r="H13145" s="18"/>
    </row>
    <row r="13146">
      <c r="C13146" s="18"/>
      <c r="D13146" s="19"/>
      <c r="E13146" s="57"/>
      <c r="H13146" s="18"/>
    </row>
    <row r="13147">
      <c r="C13147" s="18"/>
      <c r="D13147" s="19"/>
      <c r="E13147" s="57"/>
      <c r="H13147" s="18"/>
    </row>
    <row r="13148">
      <c r="C13148" s="18"/>
      <c r="D13148" s="19"/>
      <c r="E13148" s="57"/>
      <c r="H13148" s="18"/>
    </row>
    <row r="13149">
      <c r="C13149" s="18"/>
      <c r="D13149" s="19"/>
      <c r="E13149" s="57"/>
      <c r="H13149" s="18"/>
    </row>
    <row r="13150">
      <c r="C13150" s="18"/>
      <c r="D13150" s="19"/>
      <c r="E13150" s="57"/>
      <c r="H13150" s="18"/>
    </row>
    <row r="13151">
      <c r="C13151" s="18"/>
      <c r="D13151" s="19"/>
      <c r="E13151" s="57"/>
      <c r="H13151" s="18"/>
    </row>
    <row r="13152">
      <c r="C13152" s="18"/>
      <c r="D13152" s="19"/>
      <c r="E13152" s="57"/>
      <c r="H13152" s="18"/>
    </row>
    <row r="13153">
      <c r="C13153" s="18"/>
      <c r="D13153" s="19"/>
      <c r="E13153" s="57"/>
      <c r="H13153" s="18"/>
    </row>
    <row r="13154">
      <c r="C13154" s="18"/>
      <c r="D13154" s="19"/>
      <c r="E13154" s="57"/>
      <c r="H13154" s="18"/>
    </row>
    <row r="13155">
      <c r="C13155" s="18"/>
      <c r="D13155" s="19"/>
      <c r="E13155" s="57"/>
      <c r="H13155" s="18"/>
    </row>
    <row r="13156">
      <c r="C13156" s="18"/>
      <c r="D13156" s="19"/>
      <c r="E13156" s="57"/>
      <c r="H13156" s="18"/>
    </row>
    <row r="13157">
      <c r="C13157" s="18"/>
      <c r="D13157" s="19"/>
      <c r="E13157" s="57"/>
      <c r="H13157" s="18"/>
    </row>
    <row r="13158">
      <c r="C13158" s="18"/>
      <c r="D13158" s="19"/>
      <c r="E13158" s="57"/>
      <c r="H13158" s="18"/>
    </row>
    <row r="13159">
      <c r="C13159" s="18"/>
      <c r="D13159" s="19"/>
      <c r="E13159" s="57"/>
      <c r="H13159" s="18"/>
    </row>
    <row r="13160">
      <c r="C13160" s="18"/>
      <c r="D13160" s="19"/>
      <c r="E13160" s="57"/>
      <c r="H13160" s="18"/>
    </row>
    <row r="13161">
      <c r="C13161" s="18"/>
      <c r="D13161" s="19"/>
      <c r="E13161" s="57"/>
      <c r="H13161" s="18"/>
    </row>
    <row r="13162">
      <c r="C13162" s="18"/>
      <c r="D13162" s="19"/>
      <c r="E13162" s="57"/>
      <c r="H13162" s="18"/>
    </row>
    <row r="13163">
      <c r="C13163" s="18"/>
      <c r="D13163" s="19"/>
      <c r="E13163" s="57"/>
      <c r="H13163" s="18"/>
    </row>
    <row r="13164">
      <c r="C13164" s="18"/>
      <c r="D13164" s="19"/>
      <c r="E13164" s="57"/>
      <c r="H13164" s="18"/>
    </row>
    <row r="13165">
      <c r="C13165" s="18"/>
      <c r="D13165" s="19"/>
      <c r="E13165" s="57"/>
      <c r="H13165" s="18"/>
    </row>
    <row r="13166">
      <c r="C13166" s="18"/>
      <c r="D13166" s="19"/>
      <c r="E13166" s="57"/>
      <c r="H13166" s="18"/>
    </row>
    <row r="13167">
      <c r="C13167" s="18"/>
      <c r="D13167" s="19"/>
      <c r="E13167" s="57"/>
      <c r="H13167" s="18"/>
    </row>
    <row r="13168">
      <c r="C13168" s="18"/>
      <c r="D13168" s="19"/>
      <c r="E13168" s="57"/>
      <c r="H13168" s="18"/>
    </row>
    <row r="13169">
      <c r="C13169" s="18"/>
      <c r="D13169" s="19"/>
      <c r="E13169" s="57"/>
      <c r="H13169" s="18"/>
    </row>
    <row r="13170">
      <c r="C13170" s="18"/>
      <c r="D13170" s="19"/>
      <c r="E13170" s="57"/>
      <c r="H13170" s="18"/>
    </row>
    <row r="13171">
      <c r="C13171" s="18"/>
      <c r="D13171" s="19"/>
      <c r="E13171" s="57"/>
      <c r="H13171" s="18"/>
    </row>
    <row r="13172">
      <c r="C13172" s="18"/>
      <c r="D13172" s="19"/>
      <c r="E13172" s="57"/>
      <c r="H13172" s="18"/>
    </row>
    <row r="13173">
      <c r="C13173" s="18"/>
      <c r="D13173" s="19"/>
      <c r="E13173" s="57"/>
      <c r="H13173" s="18"/>
    </row>
    <row r="13174">
      <c r="C13174" s="18"/>
      <c r="D13174" s="19"/>
      <c r="E13174" s="57"/>
      <c r="H13174" s="18"/>
    </row>
    <row r="13175">
      <c r="C13175" s="18"/>
      <c r="D13175" s="19"/>
      <c r="E13175" s="57"/>
      <c r="H13175" s="18"/>
    </row>
    <row r="13176">
      <c r="C13176" s="18"/>
      <c r="D13176" s="19"/>
      <c r="E13176" s="57"/>
      <c r="H13176" s="18"/>
    </row>
    <row r="13177">
      <c r="C13177" s="18"/>
      <c r="D13177" s="19"/>
      <c r="E13177" s="57"/>
      <c r="H13177" s="18"/>
    </row>
    <row r="13178">
      <c r="C13178" s="18"/>
      <c r="D13178" s="19"/>
      <c r="E13178" s="57"/>
      <c r="H13178" s="18"/>
    </row>
    <row r="13179">
      <c r="C13179" s="18"/>
      <c r="D13179" s="19"/>
      <c r="E13179" s="57"/>
      <c r="H13179" s="18"/>
    </row>
    <row r="13180">
      <c r="C13180" s="18"/>
      <c r="D13180" s="19"/>
      <c r="E13180" s="57"/>
      <c r="H13180" s="18"/>
    </row>
    <row r="13181">
      <c r="C13181" s="18"/>
      <c r="D13181" s="19"/>
      <c r="E13181" s="57"/>
      <c r="H13181" s="18"/>
    </row>
    <row r="13182">
      <c r="C13182" s="18"/>
      <c r="D13182" s="19"/>
      <c r="E13182" s="57"/>
      <c r="H13182" s="18"/>
    </row>
    <row r="13183">
      <c r="C13183" s="18"/>
      <c r="D13183" s="19"/>
      <c r="E13183" s="57"/>
      <c r="H13183" s="18"/>
    </row>
    <row r="13184">
      <c r="C13184" s="18"/>
      <c r="D13184" s="19"/>
      <c r="E13184" s="57"/>
      <c r="H13184" s="18"/>
    </row>
    <row r="13185">
      <c r="C13185" s="18"/>
      <c r="D13185" s="19"/>
      <c r="E13185" s="57"/>
      <c r="H13185" s="18"/>
    </row>
    <row r="13186">
      <c r="C13186" s="18"/>
      <c r="D13186" s="19"/>
      <c r="E13186" s="57"/>
      <c r="H13186" s="18"/>
    </row>
    <row r="13187">
      <c r="C13187" s="18"/>
      <c r="D13187" s="19"/>
      <c r="E13187" s="57"/>
      <c r="H13187" s="18"/>
    </row>
    <row r="13188">
      <c r="C13188" s="18"/>
      <c r="D13188" s="19"/>
      <c r="E13188" s="57"/>
      <c r="H13188" s="18"/>
    </row>
    <row r="13189">
      <c r="C13189" s="18"/>
      <c r="D13189" s="19"/>
      <c r="E13189" s="57"/>
      <c r="H13189" s="18"/>
    </row>
    <row r="13190">
      <c r="C13190" s="18"/>
      <c r="D13190" s="19"/>
      <c r="E13190" s="57"/>
      <c r="H13190" s="18"/>
    </row>
    <row r="13191">
      <c r="C13191" s="18"/>
      <c r="D13191" s="19"/>
      <c r="E13191" s="57"/>
      <c r="H13191" s="18"/>
    </row>
    <row r="13192">
      <c r="C13192" s="18"/>
      <c r="D13192" s="19"/>
      <c r="E13192" s="57"/>
      <c r="H13192" s="18"/>
    </row>
    <row r="13193">
      <c r="C13193" s="18"/>
      <c r="D13193" s="19"/>
      <c r="E13193" s="57"/>
      <c r="H13193" s="18"/>
    </row>
    <row r="13194">
      <c r="C13194" s="18"/>
      <c r="D13194" s="19"/>
      <c r="E13194" s="57"/>
      <c r="H13194" s="18"/>
    </row>
    <row r="13195">
      <c r="C13195" s="18"/>
      <c r="D13195" s="19"/>
      <c r="E13195" s="57"/>
      <c r="H13195" s="18"/>
    </row>
    <row r="13196">
      <c r="C13196" s="18"/>
      <c r="D13196" s="19"/>
      <c r="E13196" s="57"/>
      <c r="H13196" s="18"/>
    </row>
    <row r="13197">
      <c r="C13197" s="18"/>
      <c r="D13197" s="19"/>
      <c r="E13197" s="57"/>
      <c r="H13197" s="18"/>
    </row>
    <row r="13198">
      <c r="C13198" s="18"/>
      <c r="D13198" s="19"/>
      <c r="E13198" s="57"/>
      <c r="H13198" s="18"/>
    </row>
    <row r="13199">
      <c r="C13199" s="18"/>
      <c r="D13199" s="19"/>
      <c r="E13199" s="57"/>
      <c r="H13199" s="18"/>
    </row>
    <row r="13200">
      <c r="C13200" s="18"/>
      <c r="D13200" s="19"/>
      <c r="E13200" s="57"/>
      <c r="H13200" s="18"/>
    </row>
    <row r="13201">
      <c r="C13201" s="18"/>
      <c r="D13201" s="19"/>
      <c r="E13201" s="57"/>
      <c r="H13201" s="18"/>
    </row>
    <row r="13202">
      <c r="C13202" s="18"/>
      <c r="D13202" s="19"/>
      <c r="E13202" s="57"/>
      <c r="H13202" s="18"/>
    </row>
    <row r="13203">
      <c r="C13203" s="18"/>
      <c r="D13203" s="19"/>
      <c r="E13203" s="57"/>
      <c r="H13203" s="18"/>
    </row>
    <row r="13204">
      <c r="C13204" s="18"/>
      <c r="D13204" s="19"/>
      <c r="E13204" s="57"/>
      <c r="H13204" s="18"/>
    </row>
    <row r="13205">
      <c r="C13205" s="18"/>
      <c r="D13205" s="19"/>
      <c r="E13205" s="57"/>
      <c r="H13205" s="18"/>
    </row>
    <row r="13206">
      <c r="C13206" s="18"/>
      <c r="D13206" s="19"/>
      <c r="E13206" s="57"/>
      <c r="H13206" s="18"/>
    </row>
    <row r="13207">
      <c r="C13207" s="18"/>
      <c r="D13207" s="19"/>
      <c r="E13207" s="57"/>
      <c r="H13207" s="18"/>
    </row>
    <row r="13208">
      <c r="C13208" s="18"/>
      <c r="D13208" s="19"/>
      <c r="E13208" s="57"/>
      <c r="H13208" s="18"/>
    </row>
    <row r="13209">
      <c r="C13209" s="18"/>
      <c r="D13209" s="19"/>
      <c r="E13209" s="57"/>
      <c r="H13209" s="18"/>
    </row>
    <row r="13210">
      <c r="C13210" s="18"/>
      <c r="D13210" s="19"/>
      <c r="E13210" s="57"/>
      <c r="H13210" s="18"/>
    </row>
    <row r="13211">
      <c r="C13211" s="18"/>
      <c r="D13211" s="19"/>
      <c r="E13211" s="57"/>
      <c r="H13211" s="18"/>
    </row>
    <row r="13212">
      <c r="C13212" s="18"/>
      <c r="D13212" s="19"/>
      <c r="E13212" s="57"/>
      <c r="H13212" s="18"/>
    </row>
    <row r="13213">
      <c r="C13213" s="18"/>
      <c r="D13213" s="19"/>
      <c r="E13213" s="57"/>
      <c r="H13213" s="18"/>
    </row>
    <row r="13214">
      <c r="C13214" s="18"/>
      <c r="D13214" s="19"/>
      <c r="E13214" s="57"/>
      <c r="H13214" s="18"/>
    </row>
    <row r="13215">
      <c r="C13215" s="18"/>
      <c r="D13215" s="19"/>
      <c r="E13215" s="57"/>
      <c r="H13215" s="18"/>
    </row>
    <row r="13216">
      <c r="C13216" s="18"/>
      <c r="D13216" s="19"/>
      <c r="E13216" s="57"/>
      <c r="H13216" s="18"/>
    </row>
    <row r="13217">
      <c r="C13217" s="18"/>
      <c r="D13217" s="19"/>
      <c r="E13217" s="57"/>
      <c r="H13217" s="18"/>
    </row>
    <row r="13218">
      <c r="C13218" s="18"/>
      <c r="D13218" s="19"/>
      <c r="E13218" s="57"/>
      <c r="H13218" s="18"/>
    </row>
    <row r="13219">
      <c r="C13219" s="18"/>
      <c r="D13219" s="19"/>
      <c r="E13219" s="57"/>
      <c r="H13219" s="18"/>
    </row>
    <row r="13220">
      <c r="C13220" s="18"/>
      <c r="D13220" s="19"/>
      <c r="E13220" s="57"/>
      <c r="H13220" s="18"/>
    </row>
    <row r="13221">
      <c r="C13221" s="18"/>
      <c r="D13221" s="19"/>
      <c r="E13221" s="57"/>
      <c r="H13221" s="18"/>
    </row>
    <row r="13222">
      <c r="C13222" s="18"/>
      <c r="D13222" s="19"/>
      <c r="E13222" s="57"/>
      <c r="H13222" s="18"/>
    </row>
    <row r="13223">
      <c r="C13223" s="18"/>
      <c r="D13223" s="19"/>
      <c r="E13223" s="57"/>
      <c r="H13223" s="18"/>
    </row>
    <row r="13224">
      <c r="C13224" s="18"/>
      <c r="D13224" s="19"/>
      <c r="E13224" s="57"/>
      <c r="H13224" s="18"/>
    </row>
    <row r="13225">
      <c r="C13225" s="18"/>
      <c r="D13225" s="19"/>
      <c r="E13225" s="57"/>
      <c r="H13225" s="18"/>
    </row>
    <row r="13226">
      <c r="C13226" s="18"/>
      <c r="D13226" s="19"/>
      <c r="E13226" s="57"/>
      <c r="H13226" s="18"/>
    </row>
    <row r="13227">
      <c r="C13227" s="18"/>
      <c r="D13227" s="19"/>
      <c r="E13227" s="57"/>
      <c r="H13227" s="18"/>
    </row>
    <row r="13228">
      <c r="C13228" s="18"/>
      <c r="D13228" s="19"/>
      <c r="E13228" s="57"/>
      <c r="H13228" s="18"/>
    </row>
    <row r="13229">
      <c r="C13229" s="18"/>
      <c r="D13229" s="19"/>
      <c r="E13229" s="57"/>
      <c r="H13229" s="18"/>
    </row>
    <row r="13230">
      <c r="C13230" s="18"/>
      <c r="D13230" s="19"/>
      <c r="E13230" s="57"/>
      <c r="H13230" s="18"/>
    </row>
    <row r="13231">
      <c r="C13231" s="18"/>
      <c r="D13231" s="19"/>
      <c r="E13231" s="57"/>
      <c r="H13231" s="18"/>
    </row>
    <row r="13232">
      <c r="C13232" s="18"/>
      <c r="D13232" s="19"/>
      <c r="E13232" s="57"/>
      <c r="H13232" s="18"/>
    </row>
    <row r="13233">
      <c r="C13233" s="18"/>
      <c r="D13233" s="19"/>
      <c r="E13233" s="57"/>
      <c r="H13233" s="18"/>
    </row>
    <row r="13234">
      <c r="C13234" s="18"/>
      <c r="D13234" s="19"/>
      <c r="E13234" s="57"/>
      <c r="H13234" s="18"/>
    </row>
    <row r="13235">
      <c r="C13235" s="18"/>
      <c r="D13235" s="19"/>
      <c r="E13235" s="57"/>
      <c r="H13235" s="18"/>
    </row>
    <row r="13236">
      <c r="C13236" s="18"/>
      <c r="D13236" s="19"/>
      <c r="E13236" s="57"/>
      <c r="H13236" s="18"/>
    </row>
    <row r="13237">
      <c r="C13237" s="18"/>
      <c r="D13237" s="19"/>
      <c r="E13237" s="57"/>
      <c r="H13237" s="18"/>
    </row>
    <row r="13238">
      <c r="C13238" s="18"/>
      <c r="D13238" s="19"/>
      <c r="E13238" s="57"/>
      <c r="H13238" s="18"/>
    </row>
    <row r="13239">
      <c r="C13239" s="18"/>
      <c r="D13239" s="19"/>
      <c r="E13239" s="57"/>
      <c r="H13239" s="18"/>
    </row>
    <row r="13240">
      <c r="C13240" s="18"/>
      <c r="D13240" s="19"/>
      <c r="E13240" s="57"/>
      <c r="H13240" s="18"/>
    </row>
    <row r="13241">
      <c r="C13241" s="18"/>
      <c r="D13241" s="19"/>
      <c r="E13241" s="57"/>
      <c r="H13241" s="18"/>
    </row>
    <row r="13242">
      <c r="C13242" s="18"/>
      <c r="D13242" s="19"/>
      <c r="E13242" s="57"/>
      <c r="H13242" s="18"/>
    </row>
    <row r="13243">
      <c r="C13243" s="18"/>
      <c r="D13243" s="19"/>
      <c r="E13243" s="57"/>
      <c r="H13243" s="18"/>
    </row>
    <row r="13244">
      <c r="C13244" s="18"/>
      <c r="D13244" s="19"/>
      <c r="E13244" s="57"/>
      <c r="H13244" s="18"/>
    </row>
    <row r="13245">
      <c r="C13245" s="18"/>
      <c r="D13245" s="19"/>
      <c r="E13245" s="57"/>
      <c r="H13245" s="18"/>
    </row>
    <row r="13246">
      <c r="C13246" s="18"/>
      <c r="D13246" s="19"/>
      <c r="E13246" s="57"/>
      <c r="H13246" s="18"/>
    </row>
    <row r="13247">
      <c r="C13247" s="18"/>
      <c r="D13247" s="19"/>
      <c r="E13247" s="57"/>
      <c r="H13247" s="18"/>
    </row>
    <row r="13248">
      <c r="C13248" s="18"/>
      <c r="D13248" s="19"/>
      <c r="E13248" s="57"/>
      <c r="H13248" s="18"/>
    </row>
    <row r="13249">
      <c r="C13249" s="18"/>
      <c r="D13249" s="19"/>
      <c r="E13249" s="57"/>
      <c r="H13249" s="18"/>
    </row>
    <row r="13250">
      <c r="C13250" s="18"/>
      <c r="D13250" s="19"/>
      <c r="E13250" s="57"/>
      <c r="H13250" s="18"/>
    </row>
    <row r="13251">
      <c r="C13251" s="18"/>
      <c r="D13251" s="19"/>
      <c r="E13251" s="57"/>
      <c r="H13251" s="18"/>
    </row>
    <row r="13252">
      <c r="C13252" s="18"/>
      <c r="D13252" s="19"/>
      <c r="E13252" s="57"/>
      <c r="H13252" s="18"/>
    </row>
    <row r="13253">
      <c r="C13253" s="18"/>
      <c r="D13253" s="19"/>
      <c r="E13253" s="57"/>
      <c r="H13253" s="18"/>
    </row>
    <row r="13254">
      <c r="C13254" s="18"/>
      <c r="D13254" s="19"/>
      <c r="E13254" s="57"/>
      <c r="H13254" s="18"/>
    </row>
    <row r="13255">
      <c r="C13255" s="18"/>
      <c r="D13255" s="19"/>
      <c r="E13255" s="57"/>
      <c r="H13255" s="18"/>
    </row>
    <row r="13256">
      <c r="C13256" s="18"/>
      <c r="D13256" s="19"/>
      <c r="E13256" s="57"/>
      <c r="H13256" s="18"/>
    </row>
    <row r="13257">
      <c r="C13257" s="18"/>
      <c r="D13257" s="19"/>
      <c r="E13257" s="57"/>
      <c r="H13257" s="18"/>
    </row>
    <row r="13258">
      <c r="C13258" s="18"/>
      <c r="D13258" s="19"/>
      <c r="E13258" s="57"/>
      <c r="H13258" s="18"/>
    </row>
    <row r="13259">
      <c r="C13259" s="18"/>
      <c r="D13259" s="19"/>
      <c r="E13259" s="57"/>
      <c r="H13259" s="18"/>
    </row>
    <row r="13260">
      <c r="C13260" s="18"/>
      <c r="D13260" s="19"/>
      <c r="E13260" s="57"/>
      <c r="H13260" s="18"/>
    </row>
    <row r="13261">
      <c r="C13261" s="18"/>
      <c r="D13261" s="19"/>
      <c r="E13261" s="57"/>
      <c r="H13261" s="18"/>
    </row>
    <row r="13262">
      <c r="C13262" s="18"/>
      <c r="D13262" s="19"/>
      <c r="E13262" s="57"/>
      <c r="H13262" s="18"/>
    </row>
    <row r="13263">
      <c r="C13263" s="18"/>
      <c r="D13263" s="19"/>
      <c r="E13263" s="57"/>
      <c r="H13263" s="18"/>
    </row>
    <row r="13264">
      <c r="C13264" s="18"/>
      <c r="D13264" s="19"/>
      <c r="E13264" s="57"/>
      <c r="H13264" s="18"/>
    </row>
    <row r="13265">
      <c r="C13265" s="18"/>
      <c r="D13265" s="19"/>
      <c r="E13265" s="57"/>
      <c r="H13265" s="18"/>
    </row>
    <row r="13266">
      <c r="C13266" s="18"/>
      <c r="D13266" s="19"/>
      <c r="E13266" s="57"/>
      <c r="H13266" s="18"/>
    </row>
    <row r="13267">
      <c r="C13267" s="18"/>
      <c r="D13267" s="19"/>
      <c r="E13267" s="57"/>
      <c r="H13267" s="18"/>
    </row>
    <row r="13268">
      <c r="C13268" s="18"/>
      <c r="D13268" s="19"/>
      <c r="E13268" s="57"/>
      <c r="H13268" s="18"/>
    </row>
    <row r="13269">
      <c r="C13269" s="18"/>
      <c r="D13269" s="19"/>
      <c r="E13269" s="57"/>
      <c r="H13269" s="18"/>
    </row>
    <row r="13270">
      <c r="C13270" s="18"/>
      <c r="D13270" s="19"/>
      <c r="E13270" s="57"/>
      <c r="H13270" s="18"/>
    </row>
    <row r="13271">
      <c r="C13271" s="18"/>
      <c r="D13271" s="19"/>
      <c r="E13271" s="57"/>
      <c r="H13271" s="18"/>
    </row>
    <row r="13272">
      <c r="C13272" s="18"/>
      <c r="D13272" s="19"/>
      <c r="E13272" s="57"/>
      <c r="H13272" s="18"/>
    </row>
    <row r="13273">
      <c r="C13273" s="18"/>
      <c r="D13273" s="19"/>
      <c r="E13273" s="57"/>
      <c r="H13273" s="18"/>
    </row>
    <row r="13274">
      <c r="C13274" s="18"/>
      <c r="D13274" s="19"/>
      <c r="E13274" s="57"/>
      <c r="H13274" s="18"/>
    </row>
    <row r="13275">
      <c r="C13275" s="18"/>
      <c r="D13275" s="19"/>
      <c r="E13275" s="57"/>
      <c r="H13275" s="18"/>
    </row>
    <row r="13276">
      <c r="C13276" s="18"/>
      <c r="D13276" s="19"/>
      <c r="E13276" s="57"/>
      <c r="H13276" s="18"/>
    </row>
    <row r="13277">
      <c r="C13277" s="18"/>
      <c r="D13277" s="19"/>
      <c r="E13277" s="57"/>
      <c r="H13277" s="18"/>
    </row>
    <row r="13278">
      <c r="C13278" s="18"/>
      <c r="D13278" s="19"/>
      <c r="E13278" s="57"/>
      <c r="H13278" s="18"/>
    </row>
    <row r="13279">
      <c r="C13279" s="18"/>
      <c r="D13279" s="19"/>
      <c r="E13279" s="57"/>
      <c r="H13279" s="18"/>
    </row>
    <row r="13280">
      <c r="C13280" s="18"/>
      <c r="D13280" s="19"/>
      <c r="E13280" s="57"/>
      <c r="H13280" s="18"/>
    </row>
    <row r="13281">
      <c r="C13281" s="18"/>
      <c r="D13281" s="19"/>
      <c r="E13281" s="57"/>
      <c r="H13281" s="18"/>
    </row>
    <row r="13282">
      <c r="C13282" s="18"/>
      <c r="D13282" s="19"/>
      <c r="E13282" s="57"/>
      <c r="H13282" s="18"/>
    </row>
    <row r="13283">
      <c r="C13283" s="18"/>
      <c r="D13283" s="19"/>
      <c r="E13283" s="57"/>
      <c r="H13283" s="18"/>
    </row>
    <row r="13284">
      <c r="C13284" s="18"/>
      <c r="D13284" s="19"/>
      <c r="E13284" s="57"/>
      <c r="H13284" s="18"/>
    </row>
    <row r="13285">
      <c r="C13285" s="18"/>
      <c r="D13285" s="19"/>
      <c r="E13285" s="57"/>
      <c r="H13285" s="18"/>
    </row>
    <row r="13286">
      <c r="C13286" s="18"/>
      <c r="D13286" s="19"/>
      <c r="E13286" s="57"/>
      <c r="H13286" s="18"/>
    </row>
    <row r="13287">
      <c r="C13287" s="18"/>
      <c r="D13287" s="19"/>
      <c r="E13287" s="57"/>
      <c r="H13287" s="18"/>
    </row>
    <row r="13288">
      <c r="C13288" s="18"/>
      <c r="D13288" s="19"/>
      <c r="E13288" s="57"/>
      <c r="H13288" s="18"/>
    </row>
    <row r="13289">
      <c r="C13289" s="18"/>
      <c r="D13289" s="19"/>
      <c r="E13289" s="57"/>
      <c r="H13289" s="18"/>
    </row>
    <row r="13290">
      <c r="C13290" s="18"/>
      <c r="D13290" s="19"/>
      <c r="E13290" s="57"/>
      <c r="H13290" s="18"/>
    </row>
    <row r="13291">
      <c r="C13291" s="18"/>
      <c r="D13291" s="19"/>
      <c r="E13291" s="57"/>
      <c r="H13291" s="18"/>
    </row>
    <row r="13292">
      <c r="C13292" s="18"/>
      <c r="D13292" s="19"/>
      <c r="E13292" s="57"/>
      <c r="H13292" s="18"/>
    </row>
    <row r="13293">
      <c r="C13293" s="18"/>
      <c r="D13293" s="19"/>
      <c r="E13293" s="57"/>
      <c r="H13293" s="18"/>
    </row>
    <row r="13294">
      <c r="C13294" s="18"/>
      <c r="D13294" s="19"/>
      <c r="E13294" s="57"/>
      <c r="H13294" s="18"/>
    </row>
    <row r="13295">
      <c r="C13295" s="18"/>
      <c r="D13295" s="19"/>
      <c r="E13295" s="57"/>
      <c r="H13295" s="18"/>
    </row>
    <row r="13296">
      <c r="C13296" s="18"/>
      <c r="D13296" s="19"/>
      <c r="E13296" s="57"/>
      <c r="H13296" s="18"/>
    </row>
    <row r="13297">
      <c r="C13297" s="18"/>
      <c r="D13297" s="19"/>
      <c r="E13297" s="57"/>
      <c r="H13297" s="18"/>
    </row>
    <row r="13298">
      <c r="C13298" s="18"/>
      <c r="D13298" s="19"/>
      <c r="E13298" s="57"/>
      <c r="H13298" s="18"/>
    </row>
    <row r="13299">
      <c r="C13299" s="18"/>
      <c r="D13299" s="19"/>
      <c r="E13299" s="57"/>
      <c r="H13299" s="18"/>
    </row>
    <row r="13300">
      <c r="C13300" s="18"/>
      <c r="D13300" s="19"/>
      <c r="E13300" s="57"/>
      <c r="H13300" s="18"/>
    </row>
    <row r="13301">
      <c r="C13301" s="18"/>
      <c r="D13301" s="19"/>
      <c r="E13301" s="57"/>
      <c r="H13301" s="18"/>
    </row>
    <row r="13302">
      <c r="C13302" s="18"/>
      <c r="D13302" s="19"/>
      <c r="E13302" s="57"/>
      <c r="H13302" s="18"/>
    </row>
    <row r="13303">
      <c r="C13303" s="18"/>
      <c r="D13303" s="19"/>
      <c r="E13303" s="57"/>
      <c r="H13303" s="18"/>
    </row>
    <row r="13304">
      <c r="C13304" s="18"/>
      <c r="D13304" s="19"/>
      <c r="E13304" s="57"/>
      <c r="H13304" s="18"/>
    </row>
    <row r="13305">
      <c r="C13305" s="18"/>
      <c r="D13305" s="19"/>
      <c r="E13305" s="57"/>
      <c r="H13305" s="18"/>
    </row>
    <row r="13306">
      <c r="C13306" s="18"/>
      <c r="D13306" s="19"/>
      <c r="E13306" s="57"/>
      <c r="H13306" s="18"/>
    </row>
    <row r="13307">
      <c r="C13307" s="18"/>
      <c r="D13307" s="19"/>
      <c r="E13307" s="57"/>
      <c r="H13307" s="18"/>
    </row>
    <row r="13308">
      <c r="C13308" s="18"/>
      <c r="D13308" s="19"/>
      <c r="E13308" s="57"/>
      <c r="H13308" s="18"/>
    </row>
    <row r="13309">
      <c r="C13309" s="18"/>
      <c r="D13309" s="19"/>
      <c r="E13309" s="57"/>
      <c r="H13309" s="18"/>
    </row>
    <row r="13310">
      <c r="C13310" s="18"/>
      <c r="D13310" s="19"/>
      <c r="E13310" s="57"/>
      <c r="H13310" s="18"/>
    </row>
    <row r="13311">
      <c r="C13311" s="18"/>
      <c r="D13311" s="19"/>
      <c r="E13311" s="57"/>
      <c r="H13311" s="18"/>
    </row>
    <row r="13312">
      <c r="C13312" s="18"/>
      <c r="D13312" s="19"/>
      <c r="E13312" s="57"/>
      <c r="H13312" s="18"/>
    </row>
    <row r="13313">
      <c r="C13313" s="18"/>
      <c r="D13313" s="19"/>
      <c r="E13313" s="57"/>
      <c r="H13313" s="18"/>
    </row>
    <row r="13314">
      <c r="C13314" s="18"/>
      <c r="D13314" s="19"/>
      <c r="E13314" s="57"/>
      <c r="H13314" s="18"/>
    </row>
    <row r="13315">
      <c r="C13315" s="18"/>
      <c r="D13315" s="19"/>
      <c r="E13315" s="57"/>
      <c r="H13315" s="18"/>
    </row>
    <row r="13316">
      <c r="C13316" s="18"/>
      <c r="D13316" s="19"/>
      <c r="E13316" s="57"/>
      <c r="H13316" s="18"/>
    </row>
    <row r="13317">
      <c r="C13317" s="18"/>
      <c r="D13317" s="19"/>
      <c r="E13317" s="57"/>
      <c r="H13317" s="18"/>
    </row>
    <row r="13318">
      <c r="C13318" s="18"/>
      <c r="D13318" s="19"/>
      <c r="E13318" s="57"/>
      <c r="H13318" s="18"/>
    </row>
    <row r="13319">
      <c r="C13319" s="18"/>
      <c r="D13319" s="19"/>
      <c r="E13319" s="57"/>
      <c r="H13319" s="18"/>
    </row>
    <row r="13320">
      <c r="C13320" s="18"/>
      <c r="D13320" s="19"/>
      <c r="E13320" s="57"/>
      <c r="H13320" s="18"/>
    </row>
    <row r="13321">
      <c r="C13321" s="18"/>
      <c r="D13321" s="19"/>
      <c r="E13321" s="57"/>
      <c r="H13321" s="18"/>
    </row>
    <row r="13322">
      <c r="C13322" s="18"/>
      <c r="D13322" s="19"/>
      <c r="E13322" s="57"/>
      <c r="H13322" s="18"/>
    </row>
    <row r="13323">
      <c r="C13323" s="18"/>
      <c r="D13323" s="19"/>
      <c r="E13323" s="57"/>
      <c r="H13323" s="18"/>
    </row>
    <row r="13324">
      <c r="C13324" s="18"/>
      <c r="D13324" s="19"/>
      <c r="E13324" s="57"/>
      <c r="H13324" s="18"/>
    </row>
    <row r="13325">
      <c r="C13325" s="18"/>
      <c r="D13325" s="19"/>
      <c r="E13325" s="57"/>
      <c r="H13325" s="18"/>
    </row>
    <row r="13326">
      <c r="C13326" s="18"/>
      <c r="D13326" s="19"/>
      <c r="E13326" s="57"/>
      <c r="H13326" s="18"/>
    </row>
    <row r="13327">
      <c r="C13327" s="18"/>
      <c r="D13327" s="19"/>
      <c r="E13327" s="57"/>
      <c r="H13327" s="18"/>
    </row>
    <row r="13328">
      <c r="C13328" s="18"/>
      <c r="D13328" s="19"/>
      <c r="E13328" s="57"/>
      <c r="H13328" s="18"/>
    </row>
    <row r="13329">
      <c r="C13329" s="18"/>
      <c r="D13329" s="19"/>
      <c r="E13329" s="57"/>
      <c r="H13329" s="18"/>
    </row>
    <row r="13330">
      <c r="C13330" s="18"/>
      <c r="D13330" s="19"/>
      <c r="E13330" s="57"/>
      <c r="H13330" s="18"/>
    </row>
    <row r="13331">
      <c r="C13331" s="18"/>
      <c r="D13331" s="19"/>
      <c r="E13331" s="57"/>
      <c r="H13331" s="18"/>
    </row>
    <row r="13332">
      <c r="C13332" s="18"/>
      <c r="D13332" s="19"/>
      <c r="E13332" s="57"/>
      <c r="H13332" s="18"/>
    </row>
    <row r="13333">
      <c r="C13333" s="18"/>
      <c r="D13333" s="19"/>
      <c r="E13333" s="57"/>
      <c r="H13333" s="18"/>
    </row>
    <row r="13334">
      <c r="C13334" s="18"/>
      <c r="D13334" s="19"/>
      <c r="E13334" s="57"/>
      <c r="H13334" s="18"/>
    </row>
    <row r="13335">
      <c r="C13335" s="18"/>
      <c r="D13335" s="19"/>
      <c r="E13335" s="57"/>
      <c r="H13335" s="18"/>
    </row>
    <row r="13336">
      <c r="C13336" s="18"/>
      <c r="D13336" s="19"/>
      <c r="E13336" s="57"/>
      <c r="H13336" s="18"/>
    </row>
    <row r="13337">
      <c r="C13337" s="18"/>
      <c r="D13337" s="19"/>
      <c r="E13337" s="57"/>
      <c r="H13337" s="18"/>
    </row>
    <row r="13338">
      <c r="C13338" s="18"/>
      <c r="D13338" s="19"/>
      <c r="E13338" s="57"/>
      <c r="H13338" s="18"/>
    </row>
    <row r="13339">
      <c r="C13339" s="18"/>
      <c r="D13339" s="19"/>
      <c r="E13339" s="57"/>
      <c r="H13339" s="18"/>
    </row>
    <row r="13340">
      <c r="C13340" s="18"/>
      <c r="D13340" s="19"/>
      <c r="E13340" s="57"/>
      <c r="H13340" s="18"/>
    </row>
    <row r="13341">
      <c r="C13341" s="18"/>
      <c r="D13341" s="19"/>
      <c r="E13341" s="57"/>
      <c r="H13341" s="18"/>
    </row>
    <row r="13342">
      <c r="C13342" s="18"/>
      <c r="D13342" s="19"/>
      <c r="E13342" s="57"/>
      <c r="H13342" s="18"/>
    </row>
    <row r="13343">
      <c r="C13343" s="18"/>
      <c r="D13343" s="19"/>
      <c r="E13343" s="57"/>
      <c r="H13343" s="18"/>
    </row>
    <row r="13344">
      <c r="C13344" s="18"/>
      <c r="D13344" s="19"/>
      <c r="E13344" s="57"/>
      <c r="H13344" s="18"/>
    </row>
    <row r="13345">
      <c r="C13345" s="18"/>
      <c r="D13345" s="19"/>
      <c r="E13345" s="57"/>
      <c r="H13345" s="18"/>
    </row>
    <row r="13346">
      <c r="C13346" s="18"/>
      <c r="D13346" s="19"/>
      <c r="E13346" s="57"/>
      <c r="H13346" s="18"/>
    </row>
    <row r="13347">
      <c r="C13347" s="18"/>
      <c r="D13347" s="19"/>
      <c r="E13347" s="57"/>
      <c r="H13347" s="18"/>
    </row>
    <row r="13348">
      <c r="C13348" s="18"/>
      <c r="D13348" s="19"/>
      <c r="E13348" s="57"/>
      <c r="H13348" s="18"/>
    </row>
    <row r="13349">
      <c r="C13349" s="18"/>
      <c r="D13349" s="19"/>
      <c r="E13349" s="57"/>
      <c r="H13349" s="18"/>
    </row>
    <row r="13350">
      <c r="C13350" s="18"/>
      <c r="D13350" s="19"/>
      <c r="E13350" s="57"/>
      <c r="H13350" s="18"/>
    </row>
    <row r="13351">
      <c r="C13351" s="18"/>
      <c r="D13351" s="19"/>
      <c r="E13351" s="57"/>
      <c r="H13351" s="18"/>
    </row>
    <row r="13352">
      <c r="C13352" s="18"/>
      <c r="D13352" s="19"/>
      <c r="E13352" s="57"/>
      <c r="H13352" s="18"/>
    </row>
    <row r="13353">
      <c r="C13353" s="18"/>
      <c r="D13353" s="19"/>
      <c r="E13353" s="57"/>
      <c r="H13353" s="18"/>
    </row>
    <row r="13354">
      <c r="C13354" s="18"/>
      <c r="D13354" s="19"/>
      <c r="E13354" s="57"/>
      <c r="H13354" s="18"/>
    </row>
    <row r="13355">
      <c r="C13355" s="18"/>
      <c r="D13355" s="19"/>
      <c r="E13355" s="57"/>
      <c r="H13355" s="18"/>
    </row>
    <row r="13356">
      <c r="C13356" s="18"/>
      <c r="D13356" s="19"/>
      <c r="E13356" s="57"/>
      <c r="H13356" s="18"/>
    </row>
    <row r="13357">
      <c r="C13357" s="18"/>
      <c r="D13357" s="19"/>
      <c r="E13357" s="57"/>
      <c r="H13357" s="18"/>
    </row>
    <row r="13358">
      <c r="C13358" s="18"/>
      <c r="D13358" s="19"/>
      <c r="E13358" s="57"/>
      <c r="H13358" s="18"/>
    </row>
    <row r="13359">
      <c r="C13359" s="18"/>
      <c r="D13359" s="19"/>
      <c r="E13359" s="57"/>
      <c r="H13359" s="18"/>
    </row>
    <row r="13360">
      <c r="C13360" s="18"/>
      <c r="D13360" s="19"/>
      <c r="E13360" s="57"/>
      <c r="H13360" s="18"/>
    </row>
    <row r="13361">
      <c r="C13361" s="18"/>
      <c r="D13361" s="19"/>
      <c r="E13361" s="57"/>
      <c r="H13361" s="18"/>
    </row>
    <row r="13362">
      <c r="C13362" s="18"/>
      <c r="D13362" s="19"/>
      <c r="E13362" s="57"/>
      <c r="H13362" s="18"/>
    </row>
    <row r="13363">
      <c r="C13363" s="18"/>
      <c r="D13363" s="19"/>
      <c r="E13363" s="57"/>
      <c r="H13363" s="18"/>
    </row>
    <row r="13364">
      <c r="C13364" s="18"/>
      <c r="D13364" s="19"/>
      <c r="E13364" s="57"/>
      <c r="H13364" s="18"/>
    </row>
    <row r="13365">
      <c r="C13365" s="18"/>
      <c r="D13365" s="19"/>
      <c r="E13365" s="57"/>
      <c r="H13365" s="18"/>
    </row>
    <row r="13366">
      <c r="C13366" s="18"/>
      <c r="D13366" s="19"/>
      <c r="E13366" s="57"/>
      <c r="H13366" s="18"/>
    </row>
    <row r="13367">
      <c r="C13367" s="18"/>
      <c r="D13367" s="19"/>
      <c r="E13367" s="57"/>
      <c r="H13367" s="18"/>
    </row>
    <row r="13368">
      <c r="C13368" s="18"/>
      <c r="D13368" s="19"/>
      <c r="E13368" s="57"/>
      <c r="H13368" s="18"/>
    </row>
    <row r="13369">
      <c r="C13369" s="18"/>
      <c r="D13369" s="19"/>
      <c r="E13369" s="57"/>
      <c r="H13369" s="18"/>
    </row>
    <row r="13370">
      <c r="C13370" s="18"/>
      <c r="D13370" s="19"/>
      <c r="E13370" s="57"/>
      <c r="H13370" s="18"/>
    </row>
    <row r="13371">
      <c r="C13371" s="18"/>
      <c r="D13371" s="19"/>
      <c r="E13371" s="57"/>
      <c r="H13371" s="18"/>
    </row>
    <row r="13372">
      <c r="C13372" s="18"/>
      <c r="D13372" s="19"/>
      <c r="E13372" s="57"/>
      <c r="H13372" s="18"/>
    </row>
    <row r="13373">
      <c r="C13373" s="18"/>
      <c r="D13373" s="19"/>
      <c r="E13373" s="57"/>
      <c r="H13373" s="18"/>
    </row>
    <row r="13374">
      <c r="C13374" s="18"/>
      <c r="D13374" s="19"/>
      <c r="E13374" s="57"/>
      <c r="H13374" s="18"/>
    </row>
    <row r="13375">
      <c r="C13375" s="18"/>
      <c r="D13375" s="19"/>
      <c r="E13375" s="57"/>
      <c r="H13375" s="18"/>
    </row>
    <row r="13376">
      <c r="C13376" s="18"/>
      <c r="D13376" s="19"/>
      <c r="E13376" s="57"/>
      <c r="H13376" s="18"/>
    </row>
    <row r="13377">
      <c r="C13377" s="18"/>
      <c r="D13377" s="19"/>
      <c r="E13377" s="57"/>
      <c r="H13377" s="18"/>
    </row>
    <row r="13378">
      <c r="C13378" s="18"/>
      <c r="D13378" s="19"/>
      <c r="E13378" s="57"/>
      <c r="H13378" s="18"/>
    </row>
    <row r="13379">
      <c r="C13379" s="18"/>
      <c r="D13379" s="19"/>
      <c r="E13379" s="57"/>
      <c r="H13379" s="18"/>
    </row>
    <row r="13380">
      <c r="C13380" s="18"/>
      <c r="D13380" s="19"/>
      <c r="E13380" s="57"/>
      <c r="H13380" s="18"/>
    </row>
    <row r="13381">
      <c r="C13381" s="18"/>
      <c r="D13381" s="19"/>
      <c r="E13381" s="57"/>
      <c r="H13381" s="18"/>
    </row>
    <row r="13382">
      <c r="C13382" s="18"/>
      <c r="D13382" s="19"/>
      <c r="E13382" s="57"/>
      <c r="H13382" s="18"/>
    </row>
    <row r="13383">
      <c r="C13383" s="18"/>
      <c r="D13383" s="19"/>
      <c r="E13383" s="57"/>
      <c r="H13383" s="18"/>
    </row>
    <row r="13384">
      <c r="C13384" s="18"/>
      <c r="D13384" s="19"/>
      <c r="E13384" s="57"/>
      <c r="H13384" s="18"/>
    </row>
    <row r="13385">
      <c r="C13385" s="18"/>
      <c r="D13385" s="19"/>
      <c r="E13385" s="57"/>
      <c r="H13385" s="18"/>
    </row>
    <row r="13386">
      <c r="C13386" s="18"/>
      <c r="D13386" s="19"/>
      <c r="E13386" s="57"/>
      <c r="H13386" s="18"/>
    </row>
    <row r="13387">
      <c r="C13387" s="18"/>
      <c r="D13387" s="19"/>
      <c r="E13387" s="57"/>
      <c r="H13387" s="18"/>
    </row>
    <row r="13388">
      <c r="C13388" s="18"/>
      <c r="D13388" s="19"/>
      <c r="E13388" s="57"/>
      <c r="H13388" s="18"/>
    </row>
    <row r="13389">
      <c r="C13389" s="18"/>
      <c r="D13389" s="19"/>
      <c r="E13389" s="57"/>
      <c r="H13389" s="18"/>
    </row>
    <row r="13390">
      <c r="C13390" s="18"/>
      <c r="D13390" s="19"/>
      <c r="E13390" s="57"/>
      <c r="H13390" s="18"/>
    </row>
    <row r="13391">
      <c r="C13391" s="18"/>
      <c r="D13391" s="19"/>
      <c r="E13391" s="57"/>
      <c r="H13391" s="18"/>
    </row>
    <row r="13392">
      <c r="C13392" s="18"/>
      <c r="D13392" s="19"/>
      <c r="E13392" s="57"/>
      <c r="H13392" s="18"/>
    </row>
    <row r="13393">
      <c r="C13393" s="18"/>
      <c r="D13393" s="19"/>
      <c r="E13393" s="57"/>
      <c r="H13393" s="18"/>
    </row>
    <row r="13394">
      <c r="C13394" s="18"/>
      <c r="D13394" s="19"/>
      <c r="E13394" s="57"/>
      <c r="H13394" s="18"/>
    </row>
    <row r="13395">
      <c r="C13395" s="18"/>
      <c r="D13395" s="19"/>
      <c r="E13395" s="57"/>
      <c r="H13395" s="18"/>
    </row>
    <row r="13396">
      <c r="C13396" s="18"/>
      <c r="D13396" s="19"/>
      <c r="E13396" s="57"/>
      <c r="H13396" s="18"/>
    </row>
    <row r="13397">
      <c r="C13397" s="18"/>
      <c r="D13397" s="19"/>
      <c r="E13397" s="57"/>
      <c r="H13397" s="18"/>
    </row>
    <row r="13398">
      <c r="C13398" s="18"/>
      <c r="D13398" s="19"/>
      <c r="E13398" s="57"/>
      <c r="H13398" s="18"/>
    </row>
    <row r="13399">
      <c r="C13399" s="18"/>
      <c r="D13399" s="19"/>
      <c r="E13399" s="57"/>
      <c r="H13399" s="18"/>
    </row>
    <row r="13400">
      <c r="C13400" s="18"/>
      <c r="D13400" s="19"/>
      <c r="E13400" s="57"/>
      <c r="H13400" s="18"/>
    </row>
    <row r="13401">
      <c r="C13401" s="18"/>
      <c r="D13401" s="19"/>
      <c r="E13401" s="57"/>
      <c r="H13401" s="18"/>
    </row>
    <row r="13402">
      <c r="C13402" s="18"/>
      <c r="D13402" s="19"/>
      <c r="E13402" s="57"/>
      <c r="H13402" s="18"/>
    </row>
    <row r="13403">
      <c r="C13403" s="18"/>
      <c r="D13403" s="19"/>
      <c r="E13403" s="57"/>
      <c r="H13403" s="18"/>
    </row>
    <row r="13404">
      <c r="C13404" s="18"/>
      <c r="D13404" s="19"/>
      <c r="E13404" s="57"/>
      <c r="H13404" s="18"/>
    </row>
    <row r="13405">
      <c r="C13405" s="18"/>
      <c r="D13405" s="19"/>
      <c r="E13405" s="57"/>
      <c r="H13405" s="18"/>
    </row>
    <row r="13406">
      <c r="C13406" s="18"/>
      <c r="D13406" s="19"/>
      <c r="E13406" s="57"/>
      <c r="H13406" s="18"/>
    </row>
    <row r="13407">
      <c r="C13407" s="18"/>
      <c r="D13407" s="19"/>
      <c r="E13407" s="57"/>
      <c r="H13407" s="18"/>
    </row>
    <row r="13408">
      <c r="C13408" s="18"/>
      <c r="D13408" s="19"/>
      <c r="E13408" s="57"/>
      <c r="H13408" s="18"/>
    </row>
    <row r="13409">
      <c r="C13409" s="18"/>
      <c r="D13409" s="19"/>
      <c r="E13409" s="57"/>
      <c r="H13409" s="18"/>
    </row>
    <row r="13410">
      <c r="C13410" s="18"/>
      <c r="D13410" s="19"/>
      <c r="E13410" s="57"/>
      <c r="H13410" s="18"/>
    </row>
    <row r="13411">
      <c r="C13411" s="18"/>
      <c r="D13411" s="19"/>
      <c r="E13411" s="57"/>
      <c r="H13411" s="18"/>
    </row>
    <row r="13412">
      <c r="C13412" s="18"/>
      <c r="D13412" s="19"/>
      <c r="E13412" s="57"/>
      <c r="H13412" s="18"/>
    </row>
    <row r="13413">
      <c r="C13413" s="18"/>
      <c r="D13413" s="19"/>
      <c r="E13413" s="57"/>
      <c r="H13413" s="18"/>
    </row>
    <row r="13414">
      <c r="C13414" s="18"/>
      <c r="D13414" s="19"/>
      <c r="E13414" s="57"/>
      <c r="H13414" s="18"/>
    </row>
    <row r="13415">
      <c r="C13415" s="18"/>
      <c r="D13415" s="19"/>
      <c r="E13415" s="57"/>
      <c r="H13415" s="18"/>
    </row>
    <row r="13416">
      <c r="C13416" s="18"/>
      <c r="D13416" s="19"/>
      <c r="E13416" s="57"/>
      <c r="H13416" s="18"/>
    </row>
    <row r="13417">
      <c r="C13417" s="18"/>
      <c r="D13417" s="19"/>
      <c r="E13417" s="57"/>
      <c r="H13417" s="18"/>
    </row>
    <row r="13418">
      <c r="C13418" s="18"/>
      <c r="D13418" s="19"/>
      <c r="E13418" s="57"/>
      <c r="H13418" s="18"/>
    </row>
    <row r="13419">
      <c r="C13419" s="18"/>
      <c r="D13419" s="19"/>
      <c r="E13419" s="57"/>
      <c r="H13419" s="18"/>
    </row>
    <row r="13420">
      <c r="C13420" s="18"/>
      <c r="D13420" s="19"/>
      <c r="E13420" s="57"/>
      <c r="H13420" s="18"/>
    </row>
    <row r="13421">
      <c r="C13421" s="18"/>
      <c r="D13421" s="19"/>
      <c r="E13421" s="57"/>
      <c r="H13421" s="18"/>
    </row>
    <row r="13422">
      <c r="C13422" s="18"/>
      <c r="D13422" s="19"/>
      <c r="E13422" s="57"/>
      <c r="H13422" s="18"/>
    </row>
    <row r="13423">
      <c r="C13423" s="18"/>
      <c r="D13423" s="19"/>
      <c r="E13423" s="57"/>
      <c r="H13423" s="18"/>
    </row>
    <row r="13424">
      <c r="C13424" s="18"/>
      <c r="D13424" s="19"/>
      <c r="E13424" s="57"/>
      <c r="H13424" s="18"/>
    </row>
    <row r="13425">
      <c r="C13425" s="18"/>
      <c r="D13425" s="19"/>
      <c r="E13425" s="57"/>
      <c r="H13425" s="18"/>
    </row>
    <row r="13426">
      <c r="C13426" s="18"/>
      <c r="D13426" s="19"/>
      <c r="E13426" s="57"/>
      <c r="H13426" s="18"/>
    </row>
    <row r="13427">
      <c r="C13427" s="18"/>
      <c r="D13427" s="19"/>
      <c r="E13427" s="57"/>
      <c r="H13427" s="18"/>
    </row>
    <row r="13428">
      <c r="C13428" s="18"/>
      <c r="D13428" s="19"/>
      <c r="E13428" s="57"/>
      <c r="H13428" s="18"/>
    </row>
    <row r="13429">
      <c r="C13429" s="18"/>
      <c r="D13429" s="19"/>
      <c r="E13429" s="57"/>
      <c r="H13429" s="18"/>
    </row>
    <row r="13430">
      <c r="C13430" s="18"/>
      <c r="D13430" s="19"/>
      <c r="E13430" s="57"/>
      <c r="H13430" s="18"/>
    </row>
    <row r="13431">
      <c r="C13431" s="18"/>
      <c r="D13431" s="19"/>
      <c r="E13431" s="57"/>
      <c r="H13431" s="18"/>
    </row>
    <row r="13432">
      <c r="C13432" s="18"/>
      <c r="D13432" s="19"/>
      <c r="E13432" s="57"/>
      <c r="H13432" s="18"/>
    </row>
    <row r="13433">
      <c r="C13433" s="18"/>
      <c r="D13433" s="19"/>
      <c r="E13433" s="57"/>
      <c r="H13433" s="18"/>
    </row>
    <row r="13434">
      <c r="C13434" s="18"/>
      <c r="D13434" s="19"/>
      <c r="E13434" s="57"/>
      <c r="H13434" s="18"/>
    </row>
    <row r="13435">
      <c r="C13435" s="18"/>
      <c r="D13435" s="19"/>
      <c r="E13435" s="57"/>
      <c r="H13435" s="18"/>
    </row>
    <row r="13436">
      <c r="C13436" s="18"/>
      <c r="D13436" s="19"/>
      <c r="E13436" s="57"/>
      <c r="H13436" s="18"/>
    </row>
    <row r="13437">
      <c r="C13437" s="18"/>
      <c r="D13437" s="19"/>
      <c r="E13437" s="57"/>
      <c r="H13437" s="18"/>
    </row>
    <row r="13438">
      <c r="C13438" s="18"/>
      <c r="D13438" s="19"/>
      <c r="E13438" s="57"/>
      <c r="H13438" s="18"/>
    </row>
    <row r="13439">
      <c r="C13439" s="18"/>
      <c r="D13439" s="19"/>
      <c r="E13439" s="57"/>
      <c r="H13439" s="18"/>
    </row>
    <row r="13440">
      <c r="C13440" s="18"/>
      <c r="D13440" s="19"/>
      <c r="E13440" s="57"/>
      <c r="H13440" s="18"/>
    </row>
    <row r="13441">
      <c r="C13441" s="18"/>
      <c r="D13441" s="19"/>
      <c r="E13441" s="57"/>
      <c r="H13441" s="18"/>
    </row>
    <row r="13442">
      <c r="C13442" s="18"/>
      <c r="D13442" s="19"/>
      <c r="E13442" s="57"/>
      <c r="H13442" s="18"/>
    </row>
    <row r="13443">
      <c r="C13443" s="18"/>
      <c r="D13443" s="19"/>
      <c r="E13443" s="57"/>
      <c r="H13443" s="18"/>
    </row>
    <row r="13444">
      <c r="C13444" s="18"/>
      <c r="D13444" s="19"/>
      <c r="E13444" s="57"/>
      <c r="H13444" s="18"/>
    </row>
    <row r="13445">
      <c r="C13445" s="18"/>
      <c r="D13445" s="19"/>
      <c r="E13445" s="57"/>
      <c r="H13445" s="18"/>
    </row>
    <row r="13446">
      <c r="C13446" s="18"/>
      <c r="D13446" s="19"/>
      <c r="E13446" s="57"/>
      <c r="H13446" s="18"/>
    </row>
    <row r="13447">
      <c r="C13447" s="18"/>
      <c r="D13447" s="19"/>
      <c r="E13447" s="57"/>
      <c r="H13447" s="18"/>
    </row>
    <row r="13448">
      <c r="C13448" s="18"/>
      <c r="D13448" s="19"/>
      <c r="E13448" s="57"/>
      <c r="H13448" s="18"/>
    </row>
    <row r="13449">
      <c r="C13449" s="18"/>
      <c r="D13449" s="19"/>
      <c r="E13449" s="57"/>
      <c r="H13449" s="18"/>
    </row>
    <row r="13450">
      <c r="C13450" s="18"/>
      <c r="D13450" s="19"/>
      <c r="E13450" s="57"/>
      <c r="H13450" s="18"/>
    </row>
    <row r="13451">
      <c r="C13451" s="18"/>
      <c r="D13451" s="19"/>
      <c r="E13451" s="57"/>
      <c r="H13451" s="18"/>
    </row>
    <row r="13452">
      <c r="C13452" s="18"/>
      <c r="D13452" s="19"/>
      <c r="E13452" s="57"/>
      <c r="H13452" s="18"/>
    </row>
    <row r="13453">
      <c r="C13453" s="18"/>
      <c r="D13453" s="19"/>
      <c r="E13453" s="57"/>
      <c r="H13453" s="18"/>
    </row>
    <row r="13454">
      <c r="C13454" s="18"/>
      <c r="D13454" s="19"/>
      <c r="E13454" s="57"/>
      <c r="H13454" s="18"/>
    </row>
    <row r="13455">
      <c r="C13455" s="18"/>
      <c r="D13455" s="19"/>
      <c r="E13455" s="57"/>
      <c r="H13455" s="18"/>
    </row>
    <row r="13456">
      <c r="C13456" s="18"/>
      <c r="D13456" s="19"/>
      <c r="E13456" s="57"/>
      <c r="H13456" s="18"/>
    </row>
    <row r="13457">
      <c r="C13457" s="18"/>
      <c r="D13457" s="19"/>
      <c r="E13457" s="57"/>
      <c r="H13457" s="18"/>
    </row>
    <row r="13458">
      <c r="C13458" s="18"/>
      <c r="D13458" s="19"/>
      <c r="E13458" s="57"/>
      <c r="H13458" s="18"/>
    </row>
    <row r="13459">
      <c r="C13459" s="18"/>
      <c r="D13459" s="19"/>
      <c r="E13459" s="57"/>
      <c r="H13459" s="18"/>
    </row>
    <row r="13460">
      <c r="C13460" s="18"/>
      <c r="D13460" s="19"/>
      <c r="E13460" s="57"/>
      <c r="H13460" s="18"/>
    </row>
    <row r="13461">
      <c r="C13461" s="18"/>
      <c r="D13461" s="19"/>
      <c r="E13461" s="57"/>
      <c r="H13461" s="18"/>
    </row>
    <row r="13462">
      <c r="C13462" s="18"/>
      <c r="D13462" s="19"/>
      <c r="E13462" s="57"/>
      <c r="H13462" s="18"/>
    </row>
    <row r="13463">
      <c r="C13463" s="18"/>
      <c r="D13463" s="19"/>
      <c r="E13463" s="57"/>
      <c r="H13463" s="18"/>
    </row>
    <row r="13464">
      <c r="C13464" s="18"/>
      <c r="D13464" s="19"/>
      <c r="E13464" s="57"/>
      <c r="H13464" s="18"/>
    </row>
    <row r="13465">
      <c r="C13465" s="18"/>
      <c r="D13465" s="19"/>
      <c r="E13465" s="57"/>
      <c r="H13465" s="18"/>
    </row>
    <row r="13466">
      <c r="C13466" s="18"/>
      <c r="D13466" s="19"/>
      <c r="E13466" s="57"/>
      <c r="H13466" s="18"/>
    </row>
    <row r="13467">
      <c r="C13467" s="18"/>
      <c r="D13467" s="19"/>
      <c r="E13467" s="57"/>
      <c r="H13467" s="18"/>
    </row>
    <row r="13468">
      <c r="C13468" s="18"/>
      <c r="D13468" s="19"/>
      <c r="E13468" s="57"/>
      <c r="H13468" s="18"/>
    </row>
    <row r="13469">
      <c r="C13469" s="18"/>
      <c r="D13469" s="19"/>
      <c r="E13469" s="57"/>
      <c r="H13469" s="18"/>
    </row>
    <row r="13470">
      <c r="C13470" s="18"/>
      <c r="D13470" s="19"/>
      <c r="E13470" s="57"/>
      <c r="H13470" s="18"/>
    </row>
    <row r="13471">
      <c r="C13471" s="18"/>
      <c r="D13471" s="19"/>
      <c r="E13471" s="57"/>
      <c r="H13471" s="18"/>
    </row>
    <row r="13472">
      <c r="C13472" s="18"/>
      <c r="D13472" s="19"/>
      <c r="E13472" s="57"/>
      <c r="H13472" s="18"/>
    </row>
    <row r="13473">
      <c r="C13473" s="18"/>
      <c r="D13473" s="19"/>
      <c r="E13473" s="57"/>
      <c r="H13473" s="18"/>
    </row>
    <row r="13474">
      <c r="C13474" s="18"/>
      <c r="D13474" s="19"/>
      <c r="E13474" s="57"/>
      <c r="H13474" s="18"/>
    </row>
    <row r="13475">
      <c r="C13475" s="18"/>
      <c r="D13475" s="19"/>
      <c r="E13475" s="57"/>
      <c r="H13475" s="18"/>
    </row>
    <row r="13476">
      <c r="C13476" s="18"/>
      <c r="D13476" s="19"/>
      <c r="E13476" s="57"/>
      <c r="H13476" s="18"/>
    </row>
    <row r="13477">
      <c r="C13477" s="18"/>
      <c r="D13477" s="19"/>
      <c r="E13477" s="57"/>
      <c r="H13477" s="18"/>
    </row>
    <row r="13478">
      <c r="C13478" s="18"/>
      <c r="D13478" s="19"/>
      <c r="E13478" s="57"/>
      <c r="H13478" s="18"/>
    </row>
    <row r="13479">
      <c r="C13479" s="18"/>
      <c r="D13479" s="19"/>
      <c r="E13479" s="57"/>
      <c r="H13479" s="18"/>
    </row>
    <row r="13480">
      <c r="C13480" s="18"/>
      <c r="D13480" s="19"/>
      <c r="E13480" s="57"/>
      <c r="H13480" s="18"/>
    </row>
    <row r="13481">
      <c r="C13481" s="18"/>
      <c r="D13481" s="19"/>
      <c r="E13481" s="57"/>
      <c r="H13481" s="18"/>
    </row>
    <row r="13482">
      <c r="C13482" s="18"/>
      <c r="D13482" s="19"/>
      <c r="E13482" s="57"/>
      <c r="H13482" s="18"/>
    </row>
    <row r="13483">
      <c r="C13483" s="18"/>
      <c r="D13483" s="19"/>
      <c r="E13483" s="57"/>
      <c r="H13483" s="18"/>
    </row>
    <row r="13484">
      <c r="C13484" s="18"/>
      <c r="D13484" s="19"/>
      <c r="E13484" s="57"/>
      <c r="H13484" s="18"/>
    </row>
    <row r="13485">
      <c r="C13485" s="18"/>
      <c r="D13485" s="19"/>
      <c r="E13485" s="57"/>
      <c r="H13485" s="18"/>
    </row>
    <row r="13486">
      <c r="C13486" s="18"/>
      <c r="D13486" s="19"/>
      <c r="E13486" s="57"/>
      <c r="H13486" s="18"/>
    </row>
    <row r="13487">
      <c r="C13487" s="18"/>
      <c r="D13487" s="19"/>
      <c r="E13487" s="57"/>
      <c r="H13487" s="18"/>
    </row>
    <row r="13488">
      <c r="C13488" s="18"/>
      <c r="D13488" s="19"/>
      <c r="E13488" s="57"/>
      <c r="H13488" s="18"/>
    </row>
    <row r="13489">
      <c r="C13489" s="18"/>
      <c r="D13489" s="19"/>
      <c r="E13489" s="57"/>
      <c r="H13489" s="18"/>
    </row>
    <row r="13490">
      <c r="C13490" s="18"/>
      <c r="D13490" s="19"/>
      <c r="E13490" s="57"/>
      <c r="H13490" s="18"/>
    </row>
    <row r="13491">
      <c r="C13491" s="18"/>
      <c r="D13491" s="19"/>
      <c r="E13491" s="57"/>
      <c r="H13491" s="18"/>
    </row>
    <row r="13492">
      <c r="C13492" s="18"/>
      <c r="D13492" s="19"/>
      <c r="E13492" s="57"/>
      <c r="H13492" s="18"/>
    </row>
    <row r="13493">
      <c r="C13493" s="18"/>
      <c r="D13493" s="19"/>
      <c r="E13493" s="57"/>
      <c r="H13493" s="18"/>
    </row>
    <row r="13494">
      <c r="C13494" s="18"/>
      <c r="D13494" s="19"/>
      <c r="E13494" s="57"/>
      <c r="H13494" s="18"/>
    </row>
    <row r="13495">
      <c r="C13495" s="18"/>
      <c r="D13495" s="19"/>
      <c r="E13495" s="57"/>
      <c r="H13495" s="18"/>
    </row>
    <row r="13496">
      <c r="C13496" s="18"/>
      <c r="D13496" s="19"/>
      <c r="E13496" s="57"/>
      <c r="H13496" s="18"/>
    </row>
    <row r="13497">
      <c r="C13497" s="18"/>
      <c r="D13497" s="19"/>
      <c r="E13497" s="57"/>
      <c r="H13497" s="18"/>
    </row>
    <row r="13498">
      <c r="C13498" s="18"/>
      <c r="D13498" s="19"/>
      <c r="E13498" s="57"/>
      <c r="H13498" s="18"/>
    </row>
    <row r="13499">
      <c r="C13499" s="18"/>
      <c r="D13499" s="19"/>
      <c r="E13499" s="57"/>
      <c r="H13499" s="18"/>
    </row>
    <row r="13500">
      <c r="C13500" s="18"/>
      <c r="D13500" s="19"/>
      <c r="E13500" s="57"/>
      <c r="H13500" s="18"/>
    </row>
    <row r="13501">
      <c r="C13501" s="18"/>
      <c r="D13501" s="19"/>
      <c r="E13501" s="57"/>
      <c r="H13501" s="18"/>
    </row>
    <row r="13502">
      <c r="C13502" s="18"/>
      <c r="D13502" s="19"/>
      <c r="E13502" s="57"/>
      <c r="H13502" s="18"/>
    </row>
    <row r="13503">
      <c r="C13503" s="18"/>
      <c r="D13503" s="19"/>
      <c r="E13503" s="57"/>
      <c r="H13503" s="18"/>
    </row>
    <row r="13504">
      <c r="C13504" s="18"/>
      <c r="D13504" s="19"/>
      <c r="E13504" s="57"/>
      <c r="H13504" s="18"/>
    </row>
    <row r="13505">
      <c r="C13505" s="18"/>
      <c r="D13505" s="19"/>
      <c r="E13505" s="57"/>
      <c r="H13505" s="18"/>
    </row>
    <row r="13506">
      <c r="C13506" s="18"/>
      <c r="D13506" s="19"/>
      <c r="E13506" s="57"/>
      <c r="H13506" s="18"/>
    </row>
    <row r="13507">
      <c r="C13507" s="18"/>
      <c r="D13507" s="19"/>
      <c r="E13507" s="57"/>
      <c r="H13507" s="18"/>
    </row>
    <row r="13508">
      <c r="C13508" s="18"/>
      <c r="D13508" s="19"/>
      <c r="E13508" s="57"/>
      <c r="H13508" s="18"/>
    </row>
    <row r="13509">
      <c r="C13509" s="18"/>
      <c r="D13509" s="19"/>
      <c r="E13509" s="57"/>
      <c r="H13509" s="18"/>
    </row>
    <row r="13510">
      <c r="C13510" s="18"/>
      <c r="D13510" s="19"/>
      <c r="E13510" s="57"/>
      <c r="H13510" s="18"/>
    </row>
    <row r="13511">
      <c r="C13511" s="18"/>
      <c r="D13511" s="19"/>
      <c r="E13511" s="57"/>
      <c r="H13511" s="18"/>
    </row>
    <row r="13512">
      <c r="C13512" s="18"/>
      <c r="D13512" s="19"/>
      <c r="E13512" s="57"/>
      <c r="H13512" s="18"/>
    </row>
    <row r="13513">
      <c r="C13513" s="18"/>
      <c r="D13513" s="19"/>
      <c r="E13513" s="57"/>
      <c r="H13513" s="18"/>
    </row>
    <row r="13514">
      <c r="C13514" s="18"/>
      <c r="D13514" s="19"/>
      <c r="E13514" s="57"/>
      <c r="H13514" s="18"/>
    </row>
    <row r="13515">
      <c r="C13515" s="18"/>
      <c r="D13515" s="19"/>
      <c r="E13515" s="57"/>
      <c r="H13515" s="18"/>
    </row>
    <row r="13516">
      <c r="C13516" s="18"/>
      <c r="D13516" s="19"/>
      <c r="E13516" s="57"/>
      <c r="H13516" s="18"/>
    </row>
    <row r="13517">
      <c r="C13517" s="18"/>
      <c r="D13517" s="19"/>
      <c r="E13517" s="57"/>
      <c r="H13517" s="18"/>
    </row>
    <row r="13518">
      <c r="C13518" s="18"/>
      <c r="D13518" s="19"/>
      <c r="E13518" s="57"/>
      <c r="H13518" s="18"/>
    </row>
    <row r="13519">
      <c r="C13519" s="18"/>
      <c r="D13519" s="19"/>
      <c r="E13519" s="57"/>
      <c r="H13519" s="18"/>
    </row>
    <row r="13520">
      <c r="C13520" s="18"/>
      <c r="D13520" s="19"/>
      <c r="E13520" s="57"/>
      <c r="H13520" s="18"/>
    </row>
    <row r="13521">
      <c r="C13521" s="18"/>
      <c r="D13521" s="19"/>
      <c r="E13521" s="57"/>
      <c r="H13521" s="18"/>
    </row>
    <row r="13522">
      <c r="C13522" s="18"/>
      <c r="D13522" s="19"/>
      <c r="E13522" s="57"/>
      <c r="H13522" s="18"/>
    </row>
    <row r="13523">
      <c r="C13523" s="18"/>
      <c r="D13523" s="19"/>
      <c r="E13523" s="57"/>
      <c r="H13523" s="18"/>
    </row>
    <row r="13524">
      <c r="C13524" s="18"/>
      <c r="D13524" s="19"/>
      <c r="E13524" s="57"/>
      <c r="H13524" s="18"/>
    </row>
    <row r="13525">
      <c r="C13525" s="18"/>
      <c r="D13525" s="19"/>
      <c r="E13525" s="57"/>
      <c r="H13525" s="18"/>
    </row>
    <row r="13526">
      <c r="C13526" s="18"/>
      <c r="D13526" s="19"/>
      <c r="E13526" s="57"/>
      <c r="H13526" s="18"/>
    </row>
    <row r="13527">
      <c r="C13527" s="18"/>
      <c r="D13527" s="19"/>
      <c r="E13527" s="57"/>
      <c r="H13527" s="18"/>
    </row>
    <row r="13528">
      <c r="C13528" s="18"/>
      <c r="D13528" s="19"/>
      <c r="E13528" s="57"/>
      <c r="H13528" s="18"/>
    </row>
    <row r="13529">
      <c r="C13529" s="18"/>
      <c r="D13529" s="19"/>
      <c r="E13529" s="57"/>
      <c r="H13529" s="18"/>
    </row>
    <row r="13530">
      <c r="C13530" s="18"/>
      <c r="D13530" s="19"/>
      <c r="E13530" s="57"/>
      <c r="H13530" s="18"/>
    </row>
    <row r="13531">
      <c r="C13531" s="18"/>
      <c r="D13531" s="19"/>
      <c r="E13531" s="57"/>
      <c r="H13531" s="18"/>
    </row>
    <row r="13532">
      <c r="C13532" s="18"/>
      <c r="D13532" s="19"/>
      <c r="E13532" s="57"/>
      <c r="H13532" s="18"/>
    </row>
    <row r="13533">
      <c r="C13533" s="18"/>
      <c r="D13533" s="19"/>
      <c r="E13533" s="57"/>
      <c r="H13533" s="18"/>
    </row>
    <row r="13534">
      <c r="C13534" s="18"/>
      <c r="D13534" s="19"/>
      <c r="E13534" s="57"/>
      <c r="H13534" s="18"/>
    </row>
    <row r="13535">
      <c r="C13535" s="18"/>
      <c r="D13535" s="19"/>
      <c r="E13535" s="57"/>
      <c r="H13535" s="18"/>
    </row>
    <row r="13536">
      <c r="C13536" s="18"/>
      <c r="D13536" s="19"/>
      <c r="E13536" s="57"/>
      <c r="H13536" s="18"/>
    </row>
    <row r="13537">
      <c r="C13537" s="18"/>
      <c r="D13537" s="19"/>
      <c r="E13537" s="57"/>
      <c r="H13537" s="18"/>
    </row>
    <row r="13538">
      <c r="C13538" s="18"/>
      <c r="D13538" s="19"/>
      <c r="E13538" s="57"/>
      <c r="H13538" s="18"/>
    </row>
    <row r="13539">
      <c r="C13539" s="18"/>
      <c r="D13539" s="19"/>
      <c r="E13539" s="57"/>
      <c r="H13539" s="18"/>
    </row>
    <row r="13540">
      <c r="C13540" s="18"/>
      <c r="D13540" s="19"/>
      <c r="E13540" s="57"/>
      <c r="H13540" s="18"/>
    </row>
    <row r="13541">
      <c r="C13541" s="18"/>
      <c r="D13541" s="19"/>
      <c r="E13541" s="57"/>
      <c r="H13541" s="18"/>
    </row>
    <row r="13542">
      <c r="C13542" s="18"/>
      <c r="D13542" s="19"/>
      <c r="E13542" s="57"/>
      <c r="H13542" s="18"/>
    </row>
    <row r="13543">
      <c r="C13543" s="18"/>
      <c r="D13543" s="19"/>
      <c r="E13543" s="57"/>
      <c r="H13543" s="18"/>
    </row>
    <row r="13544">
      <c r="C13544" s="18"/>
      <c r="D13544" s="19"/>
      <c r="E13544" s="57"/>
      <c r="H13544" s="18"/>
    </row>
    <row r="13545">
      <c r="C13545" s="18"/>
      <c r="D13545" s="19"/>
      <c r="E13545" s="57"/>
      <c r="H13545" s="18"/>
    </row>
    <row r="13546">
      <c r="C13546" s="18"/>
      <c r="D13546" s="19"/>
      <c r="E13546" s="57"/>
      <c r="H13546" s="18"/>
    </row>
    <row r="13547">
      <c r="C13547" s="18"/>
      <c r="D13547" s="19"/>
      <c r="E13547" s="57"/>
      <c r="H13547" s="18"/>
    </row>
    <row r="13548">
      <c r="C13548" s="18"/>
      <c r="D13548" s="19"/>
      <c r="E13548" s="57"/>
      <c r="H13548" s="18"/>
    </row>
    <row r="13549">
      <c r="C13549" s="18"/>
      <c r="D13549" s="19"/>
      <c r="E13549" s="57"/>
      <c r="H13549" s="18"/>
    </row>
    <row r="13550">
      <c r="C13550" s="18"/>
      <c r="D13550" s="19"/>
      <c r="E13550" s="57"/>
      <c r="H13550" s="18"/>
    </row>
    <row r="13551">
      <c r="C13551" s="18"/>
      <c r="D13551" s="19"/>
      <c r="E13551" s="57"/>
      <c r="H13551" s="18"/>
    </row>
    <row r="13552">
      <c r="C13552" s="18"/>
      <c r="D13552" s="19"/>
      <c r="E13552" s="57"/>
      <c r="H13552" s="18"/>
    </row>
    <row r="13553">
      <c r="C13553" s="18"/>
      <c r="D13553" s="19"/>
      <c r="E13553" s="57"/>
      <c r="H13553" s="18"/>
    </row>
    <row r="13554">
      <c r="C13554" s="18"/>
      <c r="D13554" s="19"/>
      <c r="E13554" s="57"/>
      <c r="H13554" s="18"/>
    </row>
    <row r="13555">
      <c r="C13555" s="18"/>
      <c r="D13555" s="19"/>
      <c r="E13555" s="57"/>
      <c r="H13555" s="18"/>
    </row>
    <row r="13556">
      <c r="C13556" s="18"/>
      <c r="D13556" s="19"/>
      <c r="E13556" s="57"/>
      <c r="H13556" s="18"/>
    </row>
    <row r="13557">
      <c r="C13557" s="18"/>
      <c r="D13557" s="19"/>
      <c r="E13557" s="57"/>
      <c r="H13557" s="18"/>
    </row>
    <row r="13558">
      <c r="C13558" s="18"/>
      <c r="D13558" s="19"/>
      <c r="E13558" s="57"/>
      <c r="H13558" s="18"/>
    </row>
    <row r="13559">
      <c r="C13559" s="18"/>
      <c r="D13559" s="19"/>
      <c r="E13559" s="57"/>
      <c r="H13559" s="18"/>
    </row>
    <row r="13560">
      <c r="C13560" s="18"/>
      <c r="D13560" s="19"/>
      <c r="E13560" s="57"/>
      <c r="H13560" s="18"/>
    </row>
    <row r="13561">
      <c r="C13561" s="18"/>
      <c r="D13561" s="19"/>
      <c r="E13561" s="57"/>
      <c r="H13561" s="18"/>
    </row>
    <row r="13562">
      <c r="C13562" s="18"/>
      <c r="D13562" s="19"/>
      <c r="E13562" s="57"/>
      <c r="H13562" s="18"/>
    </row>
    <row r="13563">
      <c r="C13563" s="18"/>
      <c r="D13563" s="19"/>
      <c r="E13563" s="57"/>
      <c r="H13563" s="18"/>
    </row>
    <row r="13564">
      <c r="C13564" s="18"/>
      <c r="D13564" s="19"/>
      <c r="E13564" s="57"/>
      <c r="H13564" s="18"/>
    </row>
    <row r="13565">
      <c r="C13565" s="18"/>
      <c r="D13565" s="19"/>
      <c r="E13565" s="57"/>
      <c r="H13565" s="18"/>
    </row>
    <row r="13566">
      <c r="C13566" s="18"/>
      <c r="D13566" s="19"/>
      <c r="E13566" s="57"/>
      <c r="H13566" s="18"/>
    </row>
    <row r="13567">
      <c r="C13567" s="18"/>
      <c r="D13567" s="19"/>
      <c r="E13567" s="57"/>
      <c r="H13567" s="18"/>
    </row>
    <row r="13568">
      <c r="C13568" s="18"/>
      <c r="D13568" s="19"/>
      <c r="E13568" s="57"/>
      <c r="H13568" s="18"/>
    </row>
    <row r="13569">
      <c r="C13569" s="18"/>
      <c r="D13569" s="19"/>
      <c r="E13569" s="57"/>
      <c r="H13569" s="18"/>
    </row>
    <row r="13570">
      <c r="C13570" s="18"/>
      <c r="D13570" s="19"/>
      <c r="E13570" s="57"/>
      <c r="H13570" s="18"/>
    </row>
    <row r="13571">
      <c r="C13571" s="18"/>
      <c r="D13571" s="19"/>
      <c r="E13571" s="57"/>
      <c r="H13571" s="18"/>
    </row>
    <row r="13572">
      <c r="C13572" s="18"/>
      <c r="D13572" s="19"/>
      <c r="E13572" s="57"/>
      <c r="H13572" s="18"/>
    </row>
    <row r="13573">
      <c r="C13573" s="18"/>
      <c r="D13573" s="19"/>
      <c r="E13573" s="57"/>
      <c r="H13573" s="18"/>
    </row>
    <row r="13574">
      <c r="C13574" s="18"/>
      <c r="D13574" s="19"/>
      <c r="E13574" s="57"/>
      <c r="H13574" s="18"/>
    </row>
    <row r="13575">
      <c r="C13575" s="18"/>
      <c r="D13575" s="19"/>
      <c r="E13575" s="57"/>
      <c r="H13575" s="18"/>
    </row>
    <row r="13576">
      <c r="C13576" s="18"/>
      <c r="D13576" s="19"/>
      <c r="E13576" s="57"/>
      <c r="H13576" s="18"/>
    </row>
    <row r="13577">
      <c r="C13577" s="18"/>
      <c r="D13577" s="19"/>
      <c r="E13577" s="57"/>
      <c r="H13577" s="18"/>
    </row>
    <row r="13578">
      <c r="C13578" s="18"/>
      <c r="D13578" s="19"/>
      <c r="E13578" s="57"/>
      <c r="H13578" s="18"/>
    </row>
    <row r="13579">
      <c r="C13579" s="18"/>
      <c r="D13579" s="19"/>
      <c r="E13579" s="57"/>
      <c r="H13579" s="18"/>
    </row>
    <row r="13580">
      <c r="C13580" s="18"/>
      <c r="D13580" s="19"/>
      <c r="E13580" s="57"/>
      <c r="H13580" s="18"/>
    </row>
    <row r="13581">
      <c r="C13581" s="18"/>
      <c r="D13581" s="19"/>
      <c r="E13581" s="57"/>
      <c r="H13581" s="18"/>
    </row>
    <row r="13582">
      <c r="C13582" s="18"/>
      <c r="D13582" s="19"/>
      <c r="E13582" s="57"/>
      <c r="H13582" s="18"/>
    </row>
    <row r="13583">
      <c r="C13583" s="18"/>
      <c r="D13583" s="19"/>
      <c r="E13583" s="57"/>
      <c r="H13583" s="18"/>
    </row>
    <row r="13584">
      <c r="C13584" s="18"/>
      <c r="D13584" s="19"/>
      <c r="E13584" s="57"/>
      <c r="H13584" s="18"/>
    </row>
    <row r="13585">
      <c r="C13585" s="18"/>
      <c r="D13585" s="19"/>
      <c r="E13585" s="57"/>
      <c r="H13585" s="18"/>
    </row>
    <row r="13586">
      <c r="C13586" s="18"/>
      <c r="D13586" s="19"/>
      <c r="E13586" s="57"/>
      <c r="H13586" s="18"/>
    </row>
    <row r="13587">
      <c r="C13587" s="18"/>
      <c r="D13587" s="19"/>
      <c r="E13587" s="57"/>
      <c r="H13587" s="18"/>
    </row>
    <row r="13588">
      <c r="C13588" s="18"/>
      <c r="D13588" s="19"/>
      <c r="E13588" s="57"/>
      <c r="H13588" s="18"/>
    </row>
    <row r="13589">
      <c r="C13589" s="18"/>
      <c r="D13589" s="19"/>
      <c r="E13589" s="57"/>
      <c r="H13589" s="18"/>
    </row>
    <row r="13590">
      <c r="C13590" s="18"/>
      <c r="D13590" s="19"/>
      <c r="E13590" s="57"/>
      <c r="H13590" s="18"/>
    </row>
    <row r="13591">
      <c r="C13591" s="18"/>
      <c r="D13591" s="19"/>
      <c r="E13591" s="57"/>
      <c r="H13591" s="18"/>
    </row>
    <row r="13592">
      <c r="C13592" s="18"/>
      <c r="D13592" s="19"/>
      <c r="E13592" s="57"/>
      <c r="H13592" s="18"/>
    </row>
    <row r="13593">
      <c r="C13593" s="18"/>
      <c r="D13593" s="19"/>
      <c r="E13593" s="57"/>
      <c r="H13593" s="18"/>
    </row>
    <row r="13594">
      <c r="C13594" s="18"/>
      <c r="D13594" s="19"/>
      <c r="E13594" s="57"/>
      <c r="H13594" s="18"/>
    </row>
    <row r="13595">
      <c r="C13595" s="18"/>
      <c r="D13595" s="19"/>
      <c r="E13595" s="57"/>
      <c r="H13595" s="18"/>
    </row>
    <row r="13596">
      <c r="C13596" s="18"/>
      <c r="D13596" s="19"/>
      <c r="E13596" s="57"/>
      <c r="H13596" s="18"/>
    </row>
    <row r="13597">
      <c r="C13597" s="18"/>
      <c r="D13597" s="19"/>
      <c r="E13597" s="57"/>
      <c r="H13597" s="18"/>
    </row>
    <row r="13598">
      <c r="C13598" s="18"/>
      <c r="D13598" s="19"/>
      <c r="E13598" s="57"/>
      <c r="H13598" s="18"/>
    </row>
    <row r="13599">
      <c r="C13599" s="18"/>
      <c r="D13599" s="19"/>
      <c r="E13599" s="57"/>
      <c r="H13599" s="18"/>
    </row>
    <row r="13600">
      <c r="C13600" s="18"/>
      <c r="D13600" s="19"/>
      <c r="E13600" s="57"/>
      <c r="H13600" s="18"/>
    </row>
    <row r="13601">
      <c r="C13601" s="18"/>
      <c r="D13601" s="19"/>
      <c r="E13601" s="57"/>
      <c r="H13601" s="18"/>
    </row>
    <row r="13602">
      <c r="C13602" s="18"/>
      <c r="D13602" s="19"/>
      <c r="E13602" s="57"/>
      <c r="H13602" s="18"/>
    </row>
    <row r="13603">
      <c r="C13603" s="18"/>
      <c r="D13603" s="19"/>
      <c r="E13603" s="57"/>
      <c r="H13603" s="18"/>
    </row>
    <row r="13604">
      <c r="C13604" s="18"/>
      <c r="D13604" s="19"/>
      <c r="E13604" s="57"/>
      <c r="H13604" s="18"/>
    </row>
    <row r="13605">
      <c r="C13605" s="18"/>
      <c r="D13605" s="19"/>
      <c r="E13605" s="57"/>
      <c r="H13605" s="18"/>
    </row>
    <row r="13606">
      <c r="C13606" s="18"/>
      <c r="D13606" s="19"/>
      <c r="E13606" s="57"/>
      <c r="H13606" s="18"/>
    </row>
    <row r="13607">
      <c r="C13607" s="18"/>
      <c r="D13607" s="19"/>
      <c r="E13607" s="57"/>
      <c r="H13607" s="18"/>
    </row>
    <row r="13608">
      <c r="C13608" s="18"/>
      <c r="D13608" s="19"/>
      <c r="E13608" s="57"/>
      <c r="H13608" s="18"/>
    </row>
    <row r="13609">
      <c r="C13609" s="18"/>
      <c r="D13609" s="19"/>
      <c r="E13609" s="57"/>
      <c r="H13609" s="18"/>
    </row>
    <row r="13610">
      <c r="C13610" s="18"/>
      <c r="D13610" s="19"/>
      <c r="E13610" s="57"/>
      <c r="H13610" s="18"/>
    </row>
    <row r="13611">
      <c r="C13611" s="18"/>
      <c r="D13611" s="19"/>
      <c r="E13611" s="57"/>
      <c r="H13611" s="18"/>
    </row>
    <row r="13612">
      <c r="C13612" s="18"/>
      <c r="D13612" s="19"/>
      <c r="E13612" s="57"/>
      <c r="H13612" s="18"/>
    </row>
    <row r="13613">
      <c r="C13613" s="18"/>
      <c r="D13613" s="19"/>
      <c r="E13613" s="57"/>
      <c r="H13613" s="18"/>
    </row>
    <row r="13614">
      <c r="C13614" s="18"/>
      <c r="D13614" s="19"/>
      <c r="E13614" s="57"/>
      <c r="H13614" s="18"/>
    </row>
    <row r="13615">
      <c r="C13615" s="18"/>
      <c r="D13615" s="19"/>
      <c r="E13615" s="57"/>
      <c r="H13615" s="18"/>
    </row>
    <row r="13616">
      <c r="C13616" s="18"/>
      <c r="D13616" s="19"/>
      <c r="E13616" s="57"/>
      <c r="H13616" s="18"/>
    </row>
    <row r="13617">
      <c r="C13617" s="18"/>
      <c r="D13617" s="19"/>
      <c r="E13617" s="57"/>
      <c r="H13617" s="18"/>
    </row>
    <row r="13618">
      <c r="C13618" s="18"/>
      <c r="D13618" s="19"/>
      <c r="E13618" s="57"/>
      <c r="H13618" s="18"/>
    </row>
    <row r="13619">
      <c r="C13619" s="18"/>
      <c r="D13619" s="19"/>
      <c r="E13619" s="57"/>
      <c r="H13619" s="18"/>
    </row>
    <row r="13620">
      <c r="C13620" s="18"/>
      <c r="D13620" s="19"/>
      <c r="E13620" s="57"/>
      <c r="H13620" s="18"/>
    </row>
    <row r="13621">
      <c r="C13621" s="18"/>
      <c r="D13621" s="19"/>
      <c r="E13621" s="57"/>
      <c r="H13621" s="18"/>
    </row>
    <row r="13622">
      <c r="C13622" s="18"/>
      <c r="D13622" s="19"/>
      <c r="E13622" s="57"/>
      <c r="H13622" s="18"/>
    </row>
    <row r="13623">
      <c r="C13623" s="18"/>
      <c r="D13623" s="19"/>
      <c r="E13623" s="57"/>
      <c r="H13623" s="18"/>
    </row>
    <row r="13624">
      <c r="C13624" s="18"/>
      <c r="D13624" s="19"/>
      <c r="E13624" s="57"/>
      <c r="H13624" s="18"/>
    </row>
    <row r="13625">
      <c r="C13625" s="18"/>
      <c r="D13625" s="19"/>
      <c r="E13625" s="57"/>
      <c r="H13625" s="18"/>
    </row>
    <row r="13626">
      <c r="C13626" s="18"/>
      <c r="D13626" s="19"/>
      <c r="E13626" s="57"/>
      <c r="H13626" s="18"/>
    </row>
    <row r="13627">
      <c r="C13627" s="18"/>
      <c r="D13627" s="19"/>
      <c r="E13627" s="57"/>
      <c r="H13627" s="18"/>
    </row>
    <row r="13628">
      <c r="C13628" s="18"/>
      <c r="D13628" s="19"/>
      <c r="E13628" s="57"/>
      <c r="H13628" s="18"/>
    </row>
    <row r="13629">
      <c r="C13629" s="18"/>
      <c r="D13629" s="19"/>
      <c r="E13629" s="57"/>
      <c r="H13629" s="18"/>
    </row>
    <row r="13630">
      <c r="C13630" s="18"/>
      <c r="D13630" s="19"/>
      <c r="E13630" s="57"/>
      <c r="H13630" s="18"/>
    </row>
    <row r="13631">
      <c r="C13631" s="18"/>
      <c r="D13631" s="19"/>
      <c r="E13631" s="57"/>
      <c r="H13631" s="18"/>
    </row>
    <row r="13632">
      <c r="C13632" s="18"/>
      <c r="D13632" s="19"/>
      <c r="E13632" s="57"/>
      <c r="H13632" s="18"/>
    </row>
    <row r="13633">
      <c r="C13633" s="18"/>
      <c r="D13633" s="19"/>
      <c r="E13633" s="57"/>
      <c r="H13633" s="18"/>
    </row>
    <row r="13634">
      <c r="C13634" s="18"/>
      <c r="D13634" s="19"/>
      <c r="E13634" s="57"/>
      <c r="H13634" s="18"/>
    </row>
    <row r="13635">
      <c r="C13635" s="18"/>
      <c r="D13635" s="19"/>
      <c r="E13635" s="57"/>
      <c r="H13635" s="18"/>
    </row>
    <row r="13636">
      <c r="C13636" s="18"/>
      <c r="D13636" s="19"/>
      <c r="E13636" s="57"/>
      <c r="H13636" s="18"/>
    </row>
    <row r="13637">
      <c r="C13637" s="18"/>
      <c r="D13637" s="19"/>
      <c r="E13637" s="57"/>
      <c r="H13637" s="18"/>
    </row>
    <row r="13638">
      <c r="C13638" s="18"/>
      <c r="D13638" s="19"/>
      <c r="E13638" s="57"/>
      <c r="H13638" s="18"/>
    </row>
    <row r="13639">
      <c r="C13639" s="18"/>
      <c r="D13639" s="19"/>
      <c r="E13639" s="57"/>
      <c r="H13639" s="18"/>
    </row>
    <row r="13640">
      <c r="C13640" s="18"/>
      <c r="D13640" s="19"/>
      <c r="E13640" s="57"/>
      <c r="H13640" s="18"/>
    </row>
    <row r="13641">
      <c r="C13641" s="18"/>
      <c r="D13641" s="19"/>
      <c r="E13641" s="57"/>
      <c r="H13641" s="18"/>
    </row>
    <row r="13642">
      <c r="C13642" s="18"/>
      <c r="D13642" s="19"/>
      <c r="E13642" s="57"/>
      <c r="H13642" s="18"/>
    </row>
    <row r="13643">
      <c r="C13643" s="18"/>
      <c r="D13643" s="19"/>
      <c r="E13643" s="57"/>
      <c r="H13643" s="18"/>
    </row>
    <row r="13644">
      <c r="C13644" s="18"/>
      <c r="D13644" s="19"/>
      <c r="E13644" s="57"/>
      <c r="H13644" s="18"/>
    </row>
    <row r="13645">
      <c r="C13645" s="18"/>
      <c r="D13645" s="19"/>
      <c r="E13645" s="57"/>
      <c r="H13645" s="18"/>
    </row>
    <row r="13646">
      <c r="C13646" s="18"/>
      <c r="D13646" s="19"/>
      <c r="E13646" s="57"/>
      <c r="H13646" s="18"/>
    </row>
    <row r="13647">
      <c r="C13647" s="18"/>
      <c r="D13647" s="19"/>
      <c r="E13647" s="57"/>
      <c r="H13647" s="18"/>
    </row>
    <row r="13648">
      <c r="C13648" s="18"/>
      <c r="D13648" s="19"/>
      <c r="E13648" s="57"/>
      <c r="H13648" s="18"/>
    </row>
    <row r="13649">
      <c r="C13649" s="18"/>
      <c r="D13649" s="19"/>
      <c r="E13649" s="57"/>
      <c r="H13649" s="18"/>
    </row>
    <row r="13650">
      <c r="C13650" s="18"/>
      <c r="D13650" s="19"/>
      <c r="E13650" s="57"/>
      <c r="H13650" s="18"/>
    </row>
    <row r="13651">
      <c r="C13651" s="18"/>
      <c r="D13651" s="19"/>
      <c r="E13651" s="57"/>
      <c r="H13651" s="18"/>
    </row>
    <row r="13652">
      <c r="C13652" s="18"/>
      <c r="D13652" s="19"/>
      <c r="E13652" s="57"/>
      <c r="H13652" s="18"/>
    </row>
    <row r="13653">
      <c r="C13653" s="18"/>
      <c r="D13653" s="19"/>
      <c r="E13653" s="57"/>
      <c r="H13653" s="18"/>
    </row>
    <row r="13654">
      <c r="C13654" s="18"/>
      <c r="D13654" s="19"/>
      <c r="E13654" s="57"/>
      <c r="H13654" s="18"/>
    </row>
    <row r="13655">
      <c r="C13655" s="18"/>
      <c r="D13655" s="19"/>
      <c r="E13655" s="57"/>
      <c r="H13655" s="18"/>
    </row>
    <row r="13656">
      <c r="C13656" s="18"/>
      <c r="D13656" s="19"/>
      <c r="E13656" s="57"/>
      <c r="H13656" s="18"/>
    </row>
    <row r="13657">
      <c r="C13657" s="18"/>
      <c r="D13657" s="19"/>
      <c r="E13657" s="57"/>
      <c r="H13657" s="18"/>
    </row>
    <row r="13658">
      <c r="C13658" s="18"/>
      <c r="D13658" s="19"/>
      <c r="E13658" s="57"/>
      <c r="H13658" s="18"/>
    </row>
    <row r="13659">
      <c r="C13659" s="18"/>
      <c r="D13659" s="19"/>
      <c r="E13659" s="57"/>
      <c r="H13659" s="18"/>
    </row>
    <row r="13660">
      <c r="C13660" s="18"/>
      <c r="D13660" s="19"/>
      <c r="E13660" s="57"/>
      <c r="H13660" s="18"/>
    </row>
    <row r="13661">
      <c r="C13661" s="18"/>
      <c r="D13661" s="19"/>
      <c r="E13661" s="57"/>
      <c r="H13661" s="18"/>
    </row>
    <row r="13662">
      <c r="C13662" s="18"/>
      <c r="D13662" s="19"/>
      <c r="E13662" s="57"/>
      <c r="H13662" s="18"/>
    </row>
    <row r="13663">
      <c r="C13663" s="18"/>
      <c r="D13663" s="19"/>
      <c r="E13663" s="57"/>
      <c r="H13663" s="18"/>
    </row>
    <row r="13664">
      <c r="C13664" s="18"/>
      <c r="D13664" s="19"/>
      <c r="E13664" s="57"/>
      <c r="H13664" s="18"/>
    </row>
    <row r="13665">
      <c r="C13665" s="18"/>
      <c r="D13665" s="19"/>
      <c r="E13665" s="57"/>
      <c r="H13665" s="18"/>
    </row>
    <row r="13666">
      <c r="C13666" s="18"/>
      <c r="D13666" s="19"/>
      <c r="E13666" s="57"/>
      <c r="H13666" s="18"/>
    </row>
    <row r="13667">
      <c r="C13667" s="18"/>
      <c r="D13667" s="19"/>
      <c r="E13667" s="57"/>
      <c r="H13667" s="18"/>
    </row>
    <row r="13668">
      <c r="C13668" s="18"/>
      <c r="D13668" s="19"/>
      <c r="E13668" s="57"/>
      <c r="H13668" s="18"/>
    </row>
    <row r="13669">
      <c r="C13669" s="18"/>
      <c r="D13669" s="19"/>
      <c r="E13669" s="57"/>
      <c r="H13669" s="18"/>
    </row>
    <row r="13670">
      <c r="C13670" s="18"/>
      <c r="D13670" s="19"/>
      <c r="E13670" s="57"/>
      <c r="H13670" s="18"/>
    </row>
    <row r="13671">
      <c r="C13671" s="18"/>
      <c r="D13671" s="19"/>
      <c r="E13671" s="57"/>
      <c r="H13671" s="18"/>
    </row>
    <row r="13672">
      <c r="C13672" s="18"/>
      <c r="D13672" s="19"/>
      <c r="E13672" s="57"/>
      <c r="H13672" s="18"/>
    </row>
    <row r="13673">
      <c r="C13673" s="18"/>
      <c r="D13673" s="19"/>
      <c r="E13673" s="57"/>
      <c r="H13673" s="18"/>
    </row>
    <row r="13674">
      <c r="C13674" s="18"/>
      <c r="D13674" s="19"/>
      <c r="E13674" s="57"/>
      <c r="H13674" s="18"/>
    </row>
    <row r="13675">
      <c r="C13675" s="18"/>
      <c r="D13675" s="19"/>
      <c r="E13675" s="57"/>
      <c r="H13675" s="18"/>
    </row>
    <row r="13676">
      <c r="C13676" s="18"/>
      <c r="D13676" s="19"/>
      <c r="E13676" s="57"/>
      <c r="H13676" s="18"/>
    </row>
    <row r="13677">
      <c r="C13677" s="18"/>
      <c r="D13677" s="19"/>
      <c r="E13677" s="57"/>
      <c r="H13677" s="18"/>
    </row>
    <row r="13678">
      <c r="C13678" s="18"/>
      <c r="D13678" s="19"/>
      <c r="E13678" s="57"/>
      <c r="H13678" s="18"/>
    </row>
    <row r="13679">
      <c r="C13679" s="18"/>
      <c r="D13679" s="19"/>
      <c r="E13679" s="57"/>
      <c r="H13679" s="18"/>
    </row>
    <row r="13680">
      <c r="C13680" s="18"/>
      <c r="D13680" s="19"/>
      <c r="E13680" s="57"/>
      <c r="H13680" s="18"/>
    </row>
    <row r="13681">
      <c r="C13681" s="18"/>
      <c r="D13681" s="19"/>
      <c r="E13681" s="57"/>
      <c r="H13681" s="18"/>
    </row>
    <row r="13682">
      <c r="C13682" s="18"/>
      <c r="D13682" s="19"/>
      <c r="E13682" s="57"/>
      <c r="H13682" s="18"/>
    </row>
    <row r="13683">
      <c r="C13683" s="18"/>
      <c r="D13683" s="19"/>
      <c r="E13683" s="57"/>
      <c r="H13683" s="18"/>
    </row>
    <row r="13684">
      <c r="C13684" s="18"/>
      <c r="D13684" s="19"/>
      <c r="E13684" s="57"/>
      <c r="H13684" s="18"/>
    </row>
    <row r="13685">
      <c r="C13685" s="18"/>
      <c r="D13685" s="19"/>
      <c r="E13685" s="57"/>
      <c r="H13685" s="18"/>
    </row>
    <row r="13686">
      <c r="C13686" s="18"/>
      <c r="D13686" s="19"/>
      <c r="E13686" s="57"/>
      <c r="H13686" s="18"/>
    </row>
    <row r="13687">
      <c r="C13687" s="18"/>
      <c r="D13687" s="19"/>
      <c r="E13687" s="57"/>
      <c r="H13687" s="18"/>
    </row>
    <row r="13688">
      <c r="C13688" s="18"/>
      <c r="D13688" s="19"/>
      <c r="E13688" s="57"/>
      <c r="H13688" s="18"/>
    </row>
    <row r="13689">
      <c r="C13689" s="18"/>
      <c r="D13689" s="19"/>
      <c r="E13689" s="57"/>
      <c r="H13689" s="18"/>
    </row>
    <row r="13690">
      <c r="C13690" s="18"/>
      <c r="D13690" s="19"/>
      <c r="E13690" s="57"/>
      <c r="H13690" s="18"/>
    </row>
    <row r="13691">
      <c r="C13691" s="18"/>
      <c r="D13691" s="19"/>
      <c r="E13691" s="57"/>
      <c r="H13691" s="18"/>
    </row>
    <row r="13692">
      <c r="C13692" s="18"/>
      <c r="D13692" s="19"/>
      <c r="E13692" s="57"/>
      <c r="H13692" s="18"/>
    </row>
    <row r="13693">
      <c r="C13693" s="18"/>
      <c r="D13693" s="19"/>
      <c r="E13693" s="57"/>
      <c r="H13693" s="18"/>
    </row>
    <row r="13694">
      <c r="C13694" s="18"/>
      <c r="D13694" s="19"/>
      <c r="E13694" s="57"/>
      <c r="H13694" s="18"/>
    </row>
    <row r="13695">
      <c r="C13695" s="18"/>
      <c r="D13695" s="19"/>
      <c r="E13695" s="57"/>
      <c r="H13695" s="18"/>
    </row>
    <row r="13696">
      <c r="C13696" s="18"/>
      <c r="D13696" s="19"/>
      <c r="E13696" s="57"/>
      <c r="H13696" s="18"/>
    </row>
    <row r="13697">
      <c r="C13697" s="18"/>
      <c r="D13697" s="19"/>
      <c r="E13697" s="57"/>
      <c r="H13697" s="18"/>
    </row>
    <row r="13698">
      <c r="C13698" s="18"/>
      <c r="D13698" s="19"/>
      <c r="E13698" s="57"/>
      <c r="H13698" s="18"/>
    </row>
    <row r="13699">
      <c r="C13699" s="18"/>
      <c r="D13699" s="19"/>
      <c r="E13699" s="57"/>
      <c r="H13699" s="18"/>
    </row>
    <row r="13700">
      <c r="C13700" s="18"/>
      <c r="D13700" s="19"/>
      <c r="E13700" s="57"/>
      <c r="H13700" s="18"/>
    </row>
    <row r="13701">
      <c r="C13701" s="18"/>
      <c r="D13701" s="19"/>
      <c r="E13701" s="57"/>
      <c r="H13701" s="18"/>
    </row>
    <row r="13702">
      <c r="C13702" s="18"/>
      <c r="D13702" s="19"/>
      <c r="E13702" s="57"/>
      <c r="H13702" s="18"/>
    </row>
    <row r="13703">
      <c r="C13703" s="18"/>
      <c r="D13703" s="19"/>
      <c r="E13703" s="57"/>
      <c r="H13703" s="18"/>
    </row>
    <row r="13704">
      <c r="C13704" s="18"/>
      <c r="D13704" s="19"/>
      <c r="E13704" s="57"/>
      <c r="H13704" s="18"/>
    </row>
    <row r="13705">
      <c r="C13705" s="18"/>
      <c r="D13705" s="19"/>
      <c r="E13705" s="57"/>
      <c r="H13705" s="18"/>
    </row>
    <row r="13706">
      <c r="C13706" s="18"/>
      <c r="D13706" s="19"/>
      <c r="E13706" s="57"/>
      <c r="H13706" s="18"/>
    </row>
    <row r="13707">
      <c r="C13707" s="18"/>
      <c r="D13707" s="19"/>
      <c r="E13707" s="57"/>
      <c r="H13707" s="18"/>
    </row>
    <row r="13708">
      <c r="C13708" s="18"/>
      <c r="D13708" s="19"/>
      <c r="E13708" s="57"/>
      <c r="H13708" s="18"/>
    </row>
    <row r="13709">
      <c r="C13709" s="18"/>
      <c r="D13709" s="19"/>
      <c r="E13709" s="57"/>
      <c r="H13709" s="18"/>
    </row>
    <row r="13710">
      <c r="C13710" s="18"/>
      <c r="D13710" s="19"/>
      <c r="E13710" s="57"/>
      <c r="H13710" s="18"/>
    </row>
    <row r="13711">
      <c r="C13711" s="18"/>
      <c r="D13711" s="19"/>
      <c r="E13711" s="57"/>
      <c r="H13711" s="18"/>
    </row>
    <row r="13712">
      <c r="C13712" s="18"/>
      <c r="D13712" s="19"/>
      <c r="E13712" s="57"/>
      <c r="H13712" s="18"/>
    </row>
    <row r="13713">
      <c r="C13713" s="18"/>
      <c r="D13713" s="19"/>
      <c r="E13713" s="57"/>
      <c r="H13713" s="18"/>
    </row>
    <row r="13714">
      <c r="C13714" s="18"/>
      <c r="D13714" s="19"/>
      <c r="E13714" s="57"/>
      <c r="H13714" s="18"/>
    </row>
    <row r="13715">
      <c r="C13715" s="18"/>
      <c r="D13715" s="19"/>
      <c r="E13715" s="57"/>
      <c r="H13715" s="18"/>
    </row>
    <row r="13716">
      <c r="C13716" s="18"/>
      <c r="D13716" s="19"/>
      <c r="E13716" s="57"/>
      <c r="H13716" s="18"/>
    </row>
    <row r="13717">
      <c r="C13717" s="18"/>
      <c r="D13717" s="19"/>
      <c r="E13717" s="57"/>
      <c r="H13717" s="18"/>
    </row>
    <row r="13718">
      <c r="C13718" s="18"/>
      <c r="D13718" s="19"/>
      <c r="E13718" s="57"/>
      <c r="H13718" s="18"/>
    </row>
    <row r="13719">
      <c r="C13719" s="18"/>
      <c r="D13719" s="19"/>
      <c r="E13719" s="57"/>
      <c r="H13719" s="18"/>
    </row>
    <row r="13720">
      <c r="C13720" s="18"/>
      <c r="D13720" s="19"/>
      <c r="E13720" s="57"/>
      <c r="H13720" s="18"/>
    </row>
    <row r="13721">
      <c r="C13721" s="18"/>
      <c r="D13721" s="19"/>
      <c r="E13721" s="57"/>
      <c r="H13721" s="18"/>
    </row>
    <row r="13722">
      <c r="C13722" s="18"/>
      <c r="D13722" s="19"/>
      <c r="E13722" s="57"/>
      <c r="H13722" s="18"/>
    </row>
    <row r="13723">
      <c r="C13723" s="18"/>
      <c r="D13723" s="19"/>
      <c r="E13723" s="57"/>
      <c r="H13723" s="18"/>
    </row>
    <row r="13724">
      <c r="C13724" s="18"/>
      <c r="D13724" s="19"/>
      <c r="E13724" s="57"/>
      <c r="H13724" s="18"/>
    </row>
    <row r="13725">
      <c r="C13725" s="18"/>
      <c r="D13725" s="19"/>
      <c r="E13725" s="57"/>
      <c r="H13725" s="18"/>
    </row>
    <row r="13726">
      <c r="C13726" s="18"/>
      <c r="D13726" s="19"/>
      <c r="E13726" s="57"/>
      <c r="H13726" s="18"/>
    </row>
    <row r="13727">
      <c r="C13727" s="18"/>
      <c r="D13727" s="19"/>
      <c r="E13727" s="57"/>
      <c r="H13727" s="18"/>
    </row>
    <row r="13728">
      <c r="C13728" s="18"/>
      <c r="D13728" s="19"/>
      <c r="E13728" s="57"/>
      <c r="H13728" s="18"/>
    </row>
    <row r="13729">
      <c r="C13729" s="18"/>
      <c r="D13729" s="19"/>
      <c r="E13729" s="57"/>
      <c r="H13729" s="18"/>
    </row>
    <row r="13730">
      <c r="C13730" s="18"/>
      <c r="D13730" s="19"/>
      <c r="E13730" s="57"/>
      <c r="H13730" s="18"/>
    </row>
    <row r="13731">
      <c r="C13731" s="18"/>
      <c r="D13731" s="19"/>
      <c r="E13731" s="57"/>
      <c r="H13731" s="18"/>
    </row>
    <row r="13732">
      <c r="C13732" s="18"/>
      <c r="D13732" s="19"/>
      <c r="E13732" s="57"/>
      <c r="H13732" s="18"/>
    </row>
    <row r="13733">
      <c r="C13733" s="18"/>
      <c r="D13733" s="19"/>
      <c r="E13733" s="57"/>
      <c r="H13733" s="18"/>
    </row>
    <row r="13734">
      <c r="C13734" s="18"/>
      <c r="D13734" s="19"/>
      <c r="E13734" s="57"/>
      <c r="H13734" s="18"/>
    </row>
    <row r="13735">
      <c r="C13735" s="18"/>
      <c r="D13735" s="19"/>
      <c r="E13735" s="57"/>
      <c r="H13735" s="18"/>
    </row>
    <row r="13736">
      <c r="C13736" s="18"/>
      <c r="D13736" s="19"/>
      <c r="E13736" s="57"/>
      <c r="H13736" s="18"/>
    </row>
    <row r="13737">
      <c r="C13737" s="18"/>
      <c r="D13737" s="19"/>
      <c r="E13737" s="57"/>
      <c r="H13737" s="18"/>
    </row>
    <row r="13738">
      <c r="C13738" s="18"/>
      <c r="D13738" s="19"/>
      <c r="E13738" s="57"/>
      <c r="H13738" s="18"/>
    </row>
    <row r="13739">
      <c r="C13739" s="18"/>
      <c r="D13739" s="19"/>
      <c r="E13739" s="57"/>
      <c r="H13739" s="18"/>
    </row>
    <row r="13740">
      <c r="C13740" s="18"/>
      <c r="D13740" s="19"/>
      <c r="E13740" s="57"/>
      <c r="H13740" s="18"/>
    </row>
    <row r="13741">
      <c r="C13741" s="18"/>
      <c r="D13741" s="19"/>
      <c r="E13741" s="57"/>
      <c r="H13741" s="18"/>
    </row>
    <row r="13742">
      <c r="C13742" s="18"/>
      <c r="D13742" s="19"/>
      <c r="E13742" s="57"/>
      <c r="H13742" s="18"/>
    </row>
    <row r="13743">
      <c r="C13743" s="18"/>
      <c r="D13743" s="19"/>
      <c r="E13743" s="57"/>
      <c r="H13743" s="18"/>
    </row>
    <row r="13744">
      <c r="C13744" s="18"/>
      <c r="D13744" s="19"/>
      <c r="E13744" s="57"/>
      <c r="H13744" s="18"/>
    </row>
    <row r="13745">
      <c r="C13745" s="18"/>
      <c r="D13745" s="19"/>
      <c r="E13745" s="57"/>
      <c r="H13745" s="18"/>
    </row>
    <row r="13746">
      <c r="C13746" s="18"/>
      <c r="D13746" s="19"/>
      <c r="E13746" s="57"/>
      <c r="H13746" s="18"/>
    </row>
    <row r="13747">
      <c r="C13747" s="18"/>
      <c r="D13747" s="19"/>
      <c r="E13747" s="57"/>
      <c r="H13747" s="18"/>
    </row>
    <row r="13748">
      <c r="C13748" s="18"/>
      <c r="D13748" s="19"/>
      <c r="E13748" s="57"/>
      <c r="H13748" s="18"/>
    </row>
    <row r="13749">
      <c r="C13749" s="18"/>
      <c r="D13749" s="19"/>
      <c r="E13749" s="57"/>
      <c r="H13749" s="18"/>
    </row>
    <row r="13750">
      <c r="C13750" s="18"/>
      <c r="D13750" s="19"/>
      <c r="E13750" s="57"/>
      <c r="H13750" s="18"/>
    </row>
    <row r="13751">
      <c r="C13751" s="18"/>
      <c r="D13751" s="19"/>
      <c r="E13751" s="57"/>
      <c r="H13751" s="18"/>
    </row>
    <row r="13752">
      <c r="C13752" s="18"/>
      <c r="D13752" s="19"/>
      <c r="E13752" s="57"/>
      <c r="H13752" s="18"/>
    </row>
    <row r="13753">
      <c r="C13753" s="18"/>
      <c r="D13753" s="19"/>
      <c r="E13753" s="57"/>
      <c r="H13753" s="18"/>
    </row>
    <row r="13754">
      <c r="C13754" s="18"/>
      <c r="D13754" s="19"/>
      <c r="E13754" s="57"/>
      <c r="H13754" s="18"/>
    </row>
    <row r="13755">
      <c r="C13755" s="18"/>
      <c r="D13755" s="19"/>
      <c r="E13755" s="57"/>
      <c r="H13755" s="18"/>
    </row>
    <row r="13756">
      <c r="C13756" s="18"/>
      <c r="D13756" s="19"/>
      <c r="E13756" s="57"/>
      <c r="H13756" s="18"/>
    </row>
    <row r="13757">
      <c r="C13757" s="18"/>
      <c r="D13757" s="19"/>
      <c r="E13757" s="57"/>
      <c r="H13757" s="18"/>
    </row>
    <row r="13758">
      <c r="C13758" s="18"/>
      <c r="D13758" s="19"/>
      <c r="E13758" s="57"/>
      <c r="H13758" s="18"/>
    </row>
    <row r="13759">
      <c r="C13759" s="18"/>
      <c r="D13759" s="19"/>
      <c r="E13759" s="57"/>
      <c r="H13759" s="18"/>
    </row>
    <row r="13760">
      <c r="C13760" s="18"/>
      <c r="D13760" s="19"/>
      <c r="E13760" s="57"/>
      <c r="H13760" s="18"/>
    </row>
    <row r="13761">
      <c r="C13761" s="18"/>
      <c r="D13761" s="19"/>
      <c r="E13761" s="57"/>
      <c r="H13761" s="18"/>
    </row>
    <row r="13762">
      <c r="C13762" s="18"/>
      <c r="D13762" s="19"/>
      <c r="E13762" s="57"/>
      <c r="H13762" s="18"/>
    </row>
    <row r="13763">
      <c r="C13763" s="18"/>
      <c r="D13763" s="19"/>
      <c r="E13763" s="57"/>
      <c r="H13763" s="18"/>
    </row>
    <row r="13764">
      <c r="C13764" s="18"/>
      <c r="D13764" s="19"/>
      <c r="E13764" s="57"/>
      <c r="H13764" s="18"/>
    </row>
    <row r="13765">
      <c r="C13765" s="18"/>
      <c r="D13765" s="19"/>
      <c r="E13765" s="57"/>
      <c r="H13765" s="18"/>
    </row>
    <row r="13766">
      <c r="C13766" s="18"/>
      <c r="D13766" s="19"/>
      <c r="E13766" s="57"/>
      <c r="H13766" s="18"/>
    </row>
    <row r="13767">
      <c r="C13767" s="18"/>
      <c r="D13767" s="19"/>
      <c r="E13767" s="57"/>
      <c r="H13767" s="18"/>
    </row>
    <row r="13768">
      <c r="C13768" s="18"/>
      <c r="D13768" s="19"/>
      <c r="E13768" s="57"/>
      <c r="H13768" s="18"/>
    </row>
    <row r="13769">
      <c r="C13769" s="18"/>
      <c r="D13769" s="19"/>
      <c r="E13769" s="57"/>
      <c r="H13769" s="18"/>
    </row>
    <row r="13770">
      <c r="C13770" s="18"/>
      <c r="D13770" s="19"/>
      <c r="E13770" s="57"/>
      <c r="H13770" s="18"/>
    </row>
    <row r="13771">
      <c r="C13771" s="18"/>
      <c r="D13771" s="19"/>
      <c r="E13771" s="57"/>
      <c r="H13771" s="18"/>
    </row>
    <row r="13772">
      <c r="C13772" s="18"/>
      <c r="D13772" s="19"/>
      <c r="E13772" s="57"/>
      <c r="H13772" s="18"/>
    </row>
    <row r="13773">
      <c r="C13773" s="18"/>
      <c r="D13773" s="19"/>
      <c r="E13773" s="57"/>
      <c r="H13773" s="18"/>
    </row>
    <row r="13774">
      <c r="C13774" s="18"/>
      <c r="D13774" s="19"/>
      <c r="E13774" s="57"/>
      <c r="H13774" s="18"/>
    </row>
    <row r="13775">
      <c r="C13775" s="18"/>
      <c r="D13775" s="19"/>
      <c r="E13775" s="57"/>
      <c r="H13775" s="18"/>
    </row>
    <row r="13776">
      <c r="C13776" s="18"/>
      <c r="D13776" s="19"/>
      <c r="E13776" s="57"/>
      <c r="H13776" s="18"/>
    </row>
    <row r="13777">
      <c r="C13777" s="18"/>
      <c r="D13777" s="19"/>
      <c r="E13777" s="57"/>
      <c r="H13777" s="18"/>
    </row>
    <row r="13778">
      <c r="C13778" s="18"/>
      <c r="D13778" s="19"/>
      <c r="E13778" s="57"/>
      <c r="H13778" s="18"/>
    </row>
    <row r="13779">
      <c r="C13779" s="18"/>
      <c r="D13779" s="19"/>
      <c r="E13779" s="57"/>
      <c r="H13779" s="18"/>
    </row>
    <row r="13780">
      <c r="C13780" s="18"/>
      <c r="D13780" s="19"/>
      <c r="E13780" s="57"/>
      <c r="H13780" s="18"/>
    </row>
    <row r="13781">
      <c r="C13781" s="18"/>
      <c r="D13781" s="19"/>
      <c r="E13781" s="57"/>
      <c r="H13781" s="18"/>
    </row>
    <row r="13782">
      <c r="C13782" s="18"/>
      <c r="D13782" s="19"/>
      <c r="E13782" s="57"/>
      <c r="H13782" s="18"/>
    </row>
    <row r="13783">
      <c r="C13783" s="18"/>
      <c r="D13783" s="19"/>
      <c r="E13783" s="57"/>
      <c r="H13783" s="18"/>
    </row>
    <row r="13784">
      <c r="C13784" s="18"/>
      <c r="D13784" s="19"/>
      <c r="E13784" s="57"/>
      <c r="H13784" s="18"/>
    </row>
    <row r="13785">
      <c r="C13785" s="18"/>
      <c r="D13785" s="19"/>
      <c r="E13785" s="57"/>
      <c r="H13785" s="18"/>
    </row>
    <row r="13786">
      <c r="C13786" s="18"/>
      <c r="D13786" s="19"/>
      <c r="E13786" s="57"/>
      <c r="H13786" s="18"/>
    </row>
    <row r="13787">
      <c r="C13787" s="18"/>
      <c r="D13787" s="19"/>
      <c r="E13787" s="57"/>
      <c r="H13787" s="18"/>
    </row>
    <row r="13788">
      <c r="C13788" s="18"/>
      <c r="D13788" s="19"/>
      <c r="E13788" s="57"/>
      <c r="H13788" s="18"/>
    </row>
    <row r="13789">
      <c r="C13789" s="18"/>
      <c r="D13789" s="19"/>
      <c r="E13789" s="57"/>
      <c r="H13789" s="18"/>
    </row>
    <row r="13790">
      <c r="C13790" s="18"/>
      <c r="D13790" s="19"/>
      <c r="E13790" s="57"/>
      <c r="H13790" s="18"/>
    </row>
    <row r="13791">
      <c r="C13791" s="18"/>
      <c r="D13791" s="19"/>
      <c r="E13791" s="57"/>
      <c r="H13791" s="18"/>
    </row>
    <row r="13792">
      <c r="C13792" s="18"/>
      <c r="D13792" s="19"/>
      <c r="E13792" s="57"/>
      <c r="H13792" s="18"/>
    </row>
    <row r="13793">
      <c r="C13793" s="18"/>
      <c r="D13793" s="19"/>
      <c r="E13793" s="57"/>
      <c r="H13793" s="18"/>
    </row>
    <row r="13794">
      <c r="C13794" s="18"/>
      <c r="D13794" s="19"/>
      <c r="E13794" s="57"/>
      <c r="H13794" s="18"/>
    </row>
    <row r="13795">
      <c r="C13795" s="18"/>
      <c r="D13795" s="19"/>
      <c r="E13795" s="57"/>
      <c r="H13795" s="18"/>
    </row>
    <row r="13796">
      <c r="C13796" s="18"/>
      <c r="D13796" s="19"/>
      <c r="E13796" s="57"/>
      <c r="H13796" s="18"/>
    </row>
    <row r="13797">
      <c r="C13797" s="18"/>
      <c r="D13797" s="19"/>
      <c r="E13797" s="57"/>
      <c r="H13797" s="18"/>
    </row>
    <row r="13798">
      <c r="C13798" s="18"/>
      <c r="D13798" s="19"/>
      <c r="E13798" s="57"/>
      <c r="H13798" s="18"/>
    </row>
    <row r="13799">
      <c r="C13799" s="18"/>
      <c r="D13799" s="19"/>
      <c r="E13799" s="57"/>
      <c r="H13799" s="18"/>
    </row>
    <row r="13800">
      <c r="C13800" s="18"/>
      <c r="D13800" s="19"/>
      <c r="E13800" s="57"/>
      <c r="H13800" s="18"/>
    </row>
    <row r="13801">
      <c r="C13801" s="18"/>
      <c r="D13801" s="19"/>
      <c r="E13801" s="57"/>
      <c r="H13801" s="18"/>
    </row>
    <row r="13802">
      <c r="C13802" s="18"/>
      <c r="D13802" s="19"/>
      <c r="E13802" s="57"/>
      <c r="H13802" s="18"/>
    </row>
    <row r="13803">
      <c r="C13803" s="18"/>
      <c r="D13803" s="19"/>
      <c r="E13803" s="57"/>
      <c r="H13803" s="18"/>
    </row>
    <row r="13804">
      <c r="C13804" s="18"/>
      <c r="D13804" s="19"/>
      <c r="E13804" s="57"/>
      <c r="H13804" s="18"/>
    </row>
    <row r="13805">
      <c r="C13805" s="18"/>
      <c r="D13805" s="19"/>
      <c r="E13805" s="57"/>
      <c r="H13805" s="18"/>
    </row>
    <row r="13806">
      <c r="C13806" s="18"/>
      <c r="D13806" s="19"/>
      <c r="E13806" s="57"/>
      <c r="H13806" s="18"/>
    </row>
    <row r="13807">
      <c r="C13807" s="18"/>
      <c r="D13807" s="19"/>
      <c r="E13807" s="57"/>
      <c r="H13807" s="18"/>
    </row>
    <row r="13808">
      <c r="C13808" s="18"/>
      <c r="D13808" s="19"/>
      <c r="E13808" s="57"/>
      <c r="H13808" s="18"/>
    </row>
    <row r="13809">
      <c r="C13809" s="18"/>
      <c r="D13809" s="19"/>
      <c r="E13809" s="57"/>
      <c r="H13809" s="18"/>
    </row>
    <row r="13810">
      <c r="C13810" s="18"/>
      <c r="D13810" s="19"/>
      <c r="E13810" s="57"/>
      <c r="H13810" s="18"/>
    </row>
    <row r="13811">
      <c r="C13811" s="18"/>
      <c r="D13811" s="19"/>
      <c r="E13811" s="57"/>
      <c r="H13811" s="18"/>
    </row>
    <row r="13812">
      <c r="C13812" s="18"/>
      <c r="D13812" s="19"/>
      <c r="E13812" s="57"/>
      <c r="H13812" s="18"/>
    </row>
    <row r="13813">
      <c r="C13813" s="18"/>
      <c r="D13813" s="19"/>
      <c r="E13813" s="57"/>
      <c r="H13813" s="18"/>
    </row>
    <row r="13814">
      <c r="C13814" s="18"/>
      <c r="D13814" s="19"/>
      <c r="E13814" s="57"/>
      <c r="H13814" s="18"/>
    </row>
    <row r="13815">
      <c r="C13815" s="18"/>
      <c r="D13815" s="19"/>
      <c r="E13815" s="57"/>
      <c r="H13815" s="18"/>
    </row>
    <row r="13816">
      <c r="C13816" s="18"/>
      <c r="D13816" s="19"/>
      <c r="E13816" s="57"/>
      <c r="H13816" s="18"/>
    </row>
    <row r="13817">
      <c r="C13817" s="18"/>
      <c r="D13817" s="19"/>
      <c r="E13817" s="57"/>
      <c r="H13817" s="18"/>
    </row>
    <row r="13818">
      <c r="C13818" s="18"/>
      <c r="D13818" s="19"/>
      <c r="E13818" s="57"/>
      <c r="H13818" s="18"/>
    </row>
    <row r="13819">
      <c r="C13819" s="18"/>
      <c r="D13819" s="19"/>
      <c r="E13819" s="57"/>
      <c r="H13819" s="18"/>
    </row>
    <row r="13820">
      <c r="C13820" s="18"/>
      <c r="D13820" s="19"/>
      <c r="E13820" s="57"/>
      <c r="H13820" s="18"/>
    </row>
    <row r="13821">
      <c r="C13821" s="18"/>
      <c r="D13821" s="19"/>
      <c r="E13821" s="57"/>
      <c r="H13821" s="18"/>
    </row>
    <row r="13822">
      <c r="C13822" s="18"/>
      <c r="D13822" s="19"/>
      <c r="E13822" s="57"/>
      <c r="H13822" s="18"/>
    </row>
    <row r="13823">
      <c r="C13823" s="18"/>
      <c r="D13823" s="19"/>
      <c r="E13823" s="57"/>
      <c r="H13823" s="18"/>
    </row>
    <row r="13824">
      <c r="C13824" s="18"/>
      <c r="D13824" s="19"/>
      <c r="E13824" s="57"/>
      <c r="H13824" s="18"/>
    </row>
    <row r="13825">
      <c r="C13825" s="18"/>
      <c r="D13825" s="19"/>
      <c r="E13825" s="57"/>
      <c r="H13825" s="18"/>
    </row>
    <row r="13826">
      <c r="C13826" s="18"/>
      <c r="D13826" s="19"/>
      <c r="E13826" s="57"/>
      <c r="H13826" s="18"/>
    </row>
    <row r="13827">
      <c r="C13827" s="18"/>
      <c r="D13827" s="19"/>
      <c r="E13827" s="57"/>
      <c r="H13827" s="18"/>
    </row>
    <row r="13828">
      <c r="C13828" s="18"/>
      <c r="D13828" s="19"/>
      <c r="E13828" s="57"/>
      <c r="H13828" s="18"/>
    </row>
    <row r="13829">
      <c r="C13829" s="18"/>
      <c r="D13829" s="19"/>
      <c r="E13829" s="57"/>
      <c r="H13829" s="18"/>
    </row>
    <row r="13830">
      <c r="C13830" s="18"/>
      <c r="D13830" s="19"/>
      <c r="E13830" s="57"/>
      <c r="H13830" s="18"/>
    </row>
    <row r="13831">
      <c r="C13831" s="18"/>
      <c r="D13831" s="19"/>
      <c r="E13831" s="57"/>
      <c r="H13831" s="18"/>
    </row>
    <row r="13832">
      <c r="C13832" s="18"/>
      <c r="D13832" s="19"/>
      <c r="E13832" s="57"/>
      <c r="H13832" s="18"/>
    </row>
    <row r="13833">
      <c r="C13833" s="18"/>
      <c r="D13833" s="19"/>
      <c r="E13833" s="57"/>
      <c r="H13833" s="18"/>
    </row>
    <row r="13834">
      <c r="C13834" s="18"/>
      <c r="D13834" s="19"/>
      <c r="E13834" s="57"/>
      <c r="H13834" s="18"/>
    </row>
    <row r="13835">
      <c r="C13835" s="18"/>
      <c r="D13835" s="19"/>
      <c r="E13835" s="57"/>
      <c r="H13835" s="18"/>
    </row>
    <row r="13836">
      <c r="C13836" s="18"/>
      <c r="D13836" s="19"/>
      <c r="E13836" s="57"/>
      <c r="H13836" s="18"/>
    </row>
    <row r="13837">
      <c r="C13837" s="18"/>
      <c r="D13837" s="19"/>
      <c r="E13837" s="57"/>
      <c r="H13837" s="18"/>
    </row>
    <row r="13838">
      <c r="C13838" s="18"/>
      <c r="D13838" s="19"/>
      <c r="E13838" s="57"/>
      <c r="H13838" s="18"/>
    </row>
    <row r="13839">
      <c r="C13839" s="18"/>
      <c r="D13839" s="19"/>
      <c r="E13839" s="57"/>
      <c r="H13839" s="18"/>
    </row>
    <row r="13840">
      <c r="C13840" s="18"/>
      <c r="D13840" s="19"/>
      <c r="E13840" s="57"/>
      <c r="H13840" s="18"/>
    </row>
    <row r="13841">
      <c r="C13841" s="18"/>
      <c r="D13841" s="19"/>
      <c r="E13841" s="57"/>
      <c r="H13841" s="18"/>
    </row>
    <row r="13842">
      <c r="C13842" s="18"/>
      <c r="D13842" s="19"/>
      <c r="E13842" s="57"/>
      <c r="H13842" s="18"/>
    </row>
    <row r="13843">
      <c r="C13843" s="18"/>
      <c r="D13843" s="19"/>
      <c r="E13843" s="57"/>
      <c r="H13843" s="18"/>
    </row>
    <row r="13844">
      <c r="C13844" s="18"/>
      <c r="D13844" s="19"/>
      <c r="E13844" s="57"/>
      <c r="H13844" s="18"/>
    </row>
    <row r="13845">
      <c r="C13845" s="18"/>
      <c r="D13845" s="19"/>
      <c r="E13845" s="57"/>
      <c r="H13845" s="18"/>
    </row>
    <row r="13846">
      <c r="C13846" s="18"/>
      <c r="D13846" s="19"/>
      <c r="E13846" s="57"/>
      <c r="H13846" s="18"/>
    </row>
    <row r="13847">
      <c r="C13847" s="18"/>
      <c r="D13847" s="19"/>
      <c r="E13847" s="57"/>
      <c r="H13847" s="18"/>
    </row>
    <row r="13848">
      <c r="C13848" s="18"/>
      <c r="D13848" s="19"/>
      <c r="E13848" s="57"/>
      <c r="H13848" s="18"/>
    </row>
    <row r="13849">
      <c r="C13849" s="18"/>
      <c r="D13849" s="19"/>
      <c r="E13849" s="57"/>
      <c r="H13849" s="18"/>
    </row>
    <row r="13850">
      <c r="C13850" s="18"/>
      <c r="D13850" s="19"/>
      <c r="E13850" s="57"/>
      <c r="H13850" s="18"/>
    </row>
    <row r="13851">
      <c r="C13851" s="18"/>
      <c r="D13851" s="19"/>
      <c r="E13851" s="57"/>
      <c r="H13851" s="18"/>
    </row>
    <row r="13852">
      <c r="C13852" s="18"/>
      <c r="D13852" s="19"/>
      <c r="E13852" s="57"/>
      <c r="H13852" s="18"/>
    </row>
    <row r="13853">
      <c r="C13853" s="18"/>
      <c r="D13853" s="19"/>
      <c r="E13853" s="57"/>
      <c r="H13853" s="18"/>
    </row>
    <row r="13854">
      <c r="C13854" s="18"/>
      <c r="D13854" s="19"/>
      <c r="E13854" s="57"/>
      <c r="H13854" s="18"/>
    </row>
    <row r="13855">
      <c r="C13855" s="18"/>
      <c r="D13855" s="19"/>
      <c r="E13855" s="57"/>
      <c r="H13855" s="18"/>
    </row>
    <row r="13856">
      <c r="C13856" s="18"/>
      <c r="D13856" s="19"/>
      <c r="E13856" s="57"/>
      <c r="H13856" s="18"/>
    </row>
    <row r="13857">
      <c r="C13857" s="18"/>
      <c r="D13857" s="19"/>
      <c r="E13857" s="57"/>
      <c r="H13857" s="18"/>
    </row>
    <row r="13858">
      <c r="C13858" s="18"/>
      <c r="D13858" s="19"/>
      <c r="E13858" s="57"/>
      <c r="H13858" s="18"/>
    </row>
    <row r="13859">
      <c r="C13859" s="18"/>
      <c r="D13859" s="19"/>
      <c r="E13859" s="57"/>
      <c r="H13859" s="18"/>
    </row>
    <row r="13860">
      <c r="C13860" s="18"/>
      <c r="D13860" s="19"/>
      <c r="E13860" s="57"/>
      <c r="H13860" s="18"/>
    </row>
    <row r="13861">
      <c r="C13861" s="18"/>
      <c r="D13861" s="19"/>
      <c r="E13861" s="57"/>
      <c r="H13861" s="18"/>
    </row>
    <row r="13862">
      <c r="C13862" s="18"/>
      <c r="D13862" s="19"/>
      <c r="E13862" s="57"/>
      <c r="H13862" s="18"/>
    </row>
    <row r="13863">
      <c r="C13863" s="18"/>
      <c r="D13863" s="19"/>
      <c r="E13863" s="57"/>
      <c r="H13863" s="18"/>
    </row>
    <row r="13864">
      <c r="C13864" s="18"/>
      <c r="D13864" s="19"/>
      <c r="E13864" s="57"/>
      <c r="H13864" s="18"/>
    </row>
    <row r="13865">
      <c r="C13865" s="18"/>
      <c r="D13865" s="19"/>
      <c r="E13865" s="57"/>
      <c r="H13865" s="18"/>
    </row>
    <row r="13866">
      <c r="C13866" s="18"/>
      <c r="D13866" s="19"/>
      <c r="E13866" s="57"/>
      <c r="H13866" s="18"/>
    </row>
    <row r="13867">
      <c r="C13867" s="18"/>
      <c r="D13867" s="19"/>
      <c r="E13867" s="57"/>
      <c r="H13867" s="18"/>
    </row>
    <row r="13868">
      <c r="C13868" s="18"/>
      <c r="D13868" s="19"/>
      <c r="E13868" s="57"/>
      <c r="H13868" s="18"/>
    </row>
    <row r="13869">
      <c r="C13869" s="18"/>
      <c r="D13869" s="19"/>
      <c r="E13869" s="57"/>
      <c r="H13869" s="18"/>
    </row>
    <row r="13870">
      <c r="C13870" s="18"/>
      <c r="D13870" s="19"/>
      <c r="E13870" s="57"/>
      <c r="H13870" s="18"/>
    </row>
    <row r="13871">
      <c r="C13871" s="18"/>
      <c r="D13871" s="19"/>
      <c r="E13871" s="57"/>
      <c r="H13871" s="18"/>
    </row>
    <row r="13872">
      <c r="C13872" s="18"/>
      <c r="D13872" s="19"/>
      <c r="E13872" s="57"/>
      <c r="H13872" s="18"/>
    </row>
    <row r="13873">
      <c r="C13873" s="18"/>
      <c r="D13873" s="19"/>
      <c r="E13873" s="57"/>
      <c r="H13873" s="18"/>
    </row>
    <row r="13874">
      <c r="C13874" s="18"/>
      <c r="D13874" s="19"/>
      <c r="E13874" s="57"/>
      <c r="H13874" s="18"/>
    </row>
    <row r="13875">
      <c r="C13875" s="18"/>
      <c r="D13875" s="19"/>
      <c r="E13875" s="57"/>
      <c r="H13875" s="18"/>
    </row>
    <row r="13876">
      <c r="C13876" s="18"/>
      <c r="D13876" s="19"/>
      <c r="E13876" s="57"/>
      <c r="H13876" s="18"/>
    </row>
    <row r="13877">
      <c r="C13877" s="18"/>
      <c r="D13877" s="19"/>
      <c r="E13877" s="57"/>
      <c r="H13877" s="18"/>
    </row>
    <row r="13878">
      <c r="C13878" s="18"/>
      <c r="D13878" s="19"/>
      <c r="E13878" s="57"/>
      <c r="H13878" s="18"/>
    </row>
    <row r="13879">
      <c r="C13879" s="18"/>
      <c r="D13879" s="19"/>
      <c r="E13879" s="57"/>
      <c r="H13879" s="18"/>
    </row>
    <row r="13880">
      <c r="C13880" s="18"/>
      <c r="D13880" s="19"/>
      <c r="E13880" s="57"/>
      <c r="H13880" s="18"/>
    </row>
    <row r="13881">
      <c r="C13881" s="18"/>
      <c r="D13881" s="19"/>
      <c r="E13881" s="57"/>
      <c r="H13881" s="18"/>
    </row>
    <row r="13882">
      <c r="C13882" s="18"/>
      <c r="D13882" s="19"/>
      <c r="E13882" s="57"/>
      <c r="H13882" s="18"/>
    </row>
    <row r="13883">
      <c r="C13883" s="18"/>
      <c r="D13883" s="19"/>
      <c r="E13883" s="57"/>
      <c r="H13883" s="18"/>
    </row>
    <row r="13884">
      <c r="C13884" s="18"/>
      <c r="D13884" s="19"/>
      <c r="E13884" s="57"/>
      <c r="H13884" s="18"/>
    </row>
    <row r="13885">
      <c r="C13885" s="18"/>
      <c r="D13885" s="19"/>
      <c r="E13885" s="57"/>
      <c r="H13885" s="18"/>
    </row>
    <row r="13886">
      <c r="C13886" s="18"/>
      <c r="D13886" s="19"/>
      <c r="E13886" s="57"/>
      <c r="H13886" s="18"/>
    </row>
    <row r="13887">
      <c r="C13887" s="18"/>
      <c r="D13887" s="19"/>
      <c r="E13887" s="57"/>
      <c r="H13887" s="18"/>
    </row>
    <row r="13888">
      <c r="C13888" s="18"/>
      <c r="D13888" s="19"/>
      <c r="E13888" s="57"/>
      <c r="H13888" s="18"/>
    </row>
    <row r="13889">
      <c r="C13889" s="18"/>
      <c r="D13889" s="19"/>
      <c r="E13889" s="57"/>
      <c r="H13889" s="18"/>
    </row>
    <row r="13890">
      <c r="C13890" s="18"/>
      <c r="D13890" s="19"/>
      <c r="E13890" s="57"/>
      <c r="H13890" s="18"/>
    </row>
    <row r="13891">
      <c r="C13891" s="18"/>
      <c r="D13891" s="19"/>
      <c r="E13891" s="57"/>
      <c r="H13891" s="18"/>
    </row>
    <row r="13892">
      <c r="C13892" s="18"/>
      <c r="D13892" s="19"/>
      <c r="E13892" s="57"/>
      <c r="H13892" s="18"/>
    </row>
    <row r="13893">
      <c r="C13893" s="18"/>
      <c r="D13893" s="19"/>
      <c r="E13893" s="57"/>
      <c r="H13893" s="18"/>
    </row>
    <row r="13894">
      <c r="C13894" s="18"/>
      <c r="D13894" s="19"/>
      <c r="E13894" s="57"/>
      <c r="H13894" s="18"/>
    </row>
    <row r="13895">
      <c r="C13895" s="18"/>
      <c r="D13895" s="19"/>
      <c r="E13895" s="57"/>
      <c r="H13895" s="18"/>
    </row>
    <row r="13896">
      <c r="C13896" s="18"/>
      <c r="D13896" s="19"/>
      <c r="E13896" s="57"/>
      <c r="H13896" s="18"/>
    </row>
    <row r="13897">
      <c r="C13897" s="18"/>
      <c r="D13897" s="19"/>
      <c r="E13897" s="57"/>
      <c r="H13897" s="18"/>
    </row>
    <row r="13898">
      <c r="C13898" s="18"/>
      <c r="D13898" s="19"/>
      <c r="E13898" s="57"/>
      <c r="H13898" s="18"/>
    </row>
    <row r="13899">
      <c r="C13899" s="18"/>
      <c r="D13899" s="19"/>
      <c r="E13899" s="57"/>
      <c r="H13899" s="18"/>
    </row>
    <row r="13900">
      <c r="C13900" s="18"/>
      <c r="D13900" s="19"/>
      <c r="E13900" s="57"/>
      <c r="H13900" s="18"/>
    </row>
    <row r="13901">
      <c r="C13901" s="18"/>
      <c r="D13901" s="19"/>
      <c r="E13901" s="57"/>
      <c r="H13901" s="18"/>
    </row>
    <row r="13902">
      <c r="C13902" s="18"/>
      <c r="D13902" s="19"/>
      <c r="E13902" s="57"/>
      <c r="H13902" s="18"/>
    </row>
    <row r="13903">
      <c r="C13903" s="18"/>
      <c r="D13903" s="19"/>
      <c r="E13903" s="57"/>
      <c r="H13903" s="18"/>
    </row>
    <row r="13904">
      <c r="C13904" s="18"/>
      <c r="D13904" s="19"/>
      <c r="E13904" s="57"/>
      <c r="H13904" s="18"/>
    </row>
    <row r="13905">
      <c r="C13905" s="18"/>
      <c r="D13905" s="19"/>
      <c r="E13905" s="57"/>
      <c r="H13905" s="18"/>
    </row>
    <row r="13906">
      <c r="C13906" s="18"/>
      <c r="D13906" s="19"/>
      <c r="E13906" s="57"/>
      <c r="H13906" s="18"/>
    </row>
    <row r="13907">
      <c r="C13907" s="18"/>
      <c r="D13907" s="19"/>
      <c r="E13907" s="57"/>
      <c r="H13907" s="18"/>
    </row>
    <row r="13908">
      <c r="C13908" s="18"/>
      <c r="D13908" s="19"/>
      <c r="E13908" s="57"/>
      <c r="H13908" s="18"/>
    </row>
    <row r="13909">
      <c r="C13909" s="18"/>
      <c r="D13909" s="19"/>
      <c r="E13909" s="57"/>
      <c r="H13909" s="18"/>
    </row>
    <row r="13910">
      <c r="C13910" s="18"/>
      <c r="D13910" s="19"/>
      <c r="E13910" s="57"/>
      <c r="H13910" s="18"/>
    </row>
    <row r="13911">
      <c r="C13911" s="18"/>
      <c r="D13911" s="19"/>
      <c r="E13911" s="57"/>
      <c r="H13911" s="18"/>
    </row>
    <row r="13912">
      <c r="C13912" s="18"/>
      <c r="D13912" s="19"/>
      <c r="E13912" s="57"/>
      <c r="H13912" s="18"/>
    </row>
    <row r="13913">
      <c r="C13913" s="18"/>
      <c r="D13913" s="19"/>
      <c r="E13913" s="57"/>
      <c r="H13913" s="18"/>
    </row>
    <row r="13914">
      <c r="C13914" s="18"/>
      <c r="D13914" s="19"/>
      <c r="E13914" s="57"/>
      <c r="H13914" s="18"/>
    </row>
    <row r="13915">
      <c r="C13915" s="18"/>
      <c r="D13915" s="19"/>
      <c r="E13915" s="57"/>
      <c r="H13915" s="18"/>
    </row>
    <row r="13916">
      <c r="C13916" s="18"/>
      <c r="D13916" s="19"/>
      <c r="E13916" s="57"/>
      <c r="H13916" s="18"/>
    </row>
    <row r="13917">
      <c r="C13917" s="18"/>
      <c r="D13917" s="19"/>
      <c r="E13917" s="57"/>
      <c r="H13917" s="18"/>
    </row>
    <row r="13918">
      <c r="C13918" s="18"/>
      <c r="D13918" s="19"/>
      <c r="E13918" s="57"/>
      <c r="H13918" s="18"/>
    </row>
    <row r="13919">
      <c r="C13919" s="18"/>
      <c r="D13919" s="19"/>
      <c r="E13919" s="57"/>
      <c r="H13919" s="18"/>
    </row>
    <row r="13920">
      <c r="C13920" s="18"/>
      <c r="D13920" s="19"/>
      <c r="E13920" s="57"/>
      <c r="H13920" s="18"/>
    </row>
    <row r="13921">
      <c r="C13921" s="18"/>
      <c r="D13921" s="19"/>
      <c r="E13921" s="57"/>
      <c r="H13921" s="18"/>
    </row>
    <row r="13922">
      <c r="C13922" s="18"/>
      <c r="D13922" s="19"/>
      <c r="E13922" s="57"/>
      <c r="H13922" s="18"/>
    </row>
    <row r="13923">
      <c r="C13923" s="18"/>
      <c r="D13923" s="19"/>
      <c r="E13923" s="57"/>
      <c r="H13923" s="18"/>
    </row>
    <row r="13924">
      <c r="C13924" s="18"/>
      <c r="D13924" s="19"/>
      <c r="E13924" s="57"/>
      <c r="H13924" s="18"/>
    </row>
    <row r="13925">
      <c r="C13925" s="18"/>
      <c r="D13925" s="19"/>
      <c r="E13925" s="57"/>
      <c r="H13925" s="18"/>
    </row>
    <row r="13926">
      <c r="C13926" s="18"/>
      <c r="D13926" s="19"/>
      <c r="E13926" s="57"/>
      <c r="H13926" s="18"/>
    </row>
    <row r="13927">
      <c r="C13927" s="18"/>
      <c r="D13927" s="19"/>
      <c r="E13927" s="57"/>
      <c r="H13927" s="18"/>
    </row>
    <row r="13928">
      <c r="C13928" s="18"/>
      <c r="D13928" s="19"/>
      <c r="E13928" s="57"/>
      <c r="H13928" s="18"/>
    </row>
    <row r="13929">
      <c r="C13929" s="18"/>
      <c r="D13929" s="19"/>
      <c r="E13929" s="57"/>
      <c r="H13929" s="18"/>
    </row>
    <row r="13930">
      <c r="C13930" s="18"/>
      <c r="D13930" s="19"/>
      <c r="E13930" s="57"/>
      <c r="H13930" s="18"/>
    </row>
    <row r="13931">
      <c r="C13931" s="18"/>
      <c r="D13931" s="19"/>
      <c r="E13931" s="57"/>
      <c r="H13931" s="18"/>
    </row>
    <row r="13932">
      <c r="C13932" s="18"/>
      <c r="D13932" s="19"/>
      <c r="E13932" s="57"/>
      <c r="H13932" s="18"/>
    </row>
    <row r="13933">
      <c r="C13933" s="18"/>
      <c r="D13933" s="19"/>
      <c r="E13933" s="57"/>
      <c r="H13933" s="18"/>
    </row>
    <row r="13934">
      <c r="C13934" s="18"/>
      <c r="D13934" s="19"/>
      <c r="E13934" s="57"/>
      <c r="H13934" s="18"/>
    </row>
    <row r="13935">
      <c r="C13935" s="18"/>
      <c r="D13935" s="19"/>
      <c r="E13935" s="57"/>
      <c r="H13935" s="18"/>
    </row>
    <row r="13936">
      <c r="C13936" s="18"/>
      <c r="D13936" s="19"/>
      <c r="E13936" s="57"/>
      <c r="H13936" s="18"/>
    </row>
    <row r="13937">
      <c r="C13937" s="18"/>
      <c r="D13937" s="19"/>
      <c r="E13937" s="57"/>
      <c r="H13937" s="18"/>
    </row>
    <row r="13938">
      <c r="C13938" s="18"/>
      <c r="D13938" s="19"/>
      <c r="E13938" s="57"/>
      <c r="H13938" s="18"/>
    </row>
    <row r="13939">
      <c r="C13939" s="18"/>
      <c r="D13939" s="19"/>
      <c r="E13939" s="57"/>
      <c r="H13939" s="18"/>
    </row>
    <row r="13940">
      <c r="C13940" s="18"/>
      <c r="D13940" s="19"/>
      <c r="E13940" s="57"/>
      <c r="H13940" s="18"/>
    </row>
    <row r="13941">
      <c r="C13941" s="18"/>
      <c r="D13941" s="19"/>
      <c r="E13941" s="57"/>
      <c r="H13941" s="18"/>
    </row>
    <row r="13942">
      <c r="C13942" s="18"/>
      <c r="D13942" s="19"/>
      <c r="E13942" s="57"/>
      <c r="H13942" s="18"/>
    </row>
    <row r="13943">
      <c r="C13943" s="18"/>
      <c r="D13943" s="19"/>
      <c r="E13943" s="57"/>
      <c r="H13943" s="18"/>
    </row>
    <row r="13944">
      <c r="C13944" s="18"/>
      <c r="D13944" s="19"/>
      <c r="E13944" s="57"/>
      <c r="H13944" s="18"/>
    </row>
    <row r="13945">
      <c r="C13945" s="18"/>
      <c r="D13945" s="19"/>
      <c r="E13945" s="57"/>
      <c r="H13945" s="18"/>
    </row>
    <row r="13946">
      <c r="C13946" s="18"/>
      <c r="D13946" s="19"/>
      <c r="E13946" s="57"/>
      <c r="H13946" s="18"/>
    </row>
    <row r="13947">
      <c r="C13947" s="18"/>
      <c r="D13947" s="19"/>
      <c r="E13947" s="57"/>
      <c r="H13947" s="18"/>
    </row>
    <row r="13948">
      <c r="C13948" s="18"/>
      <c r="D13948" s="19"/>
      <c r="E13948" s="57"/>
      <c r="H13948" s="18"/>
    </row>
    <row r="13949">
      <c r="C13949" s="18"/>
      <c r="D13949" s="19"/>
      <c r="E13949" s="57"/>
      <c r="H13949" s="18"/>
    </row>
    <row r="13950">
      <c r="C13950" s="18"/>
      <c r="D13950" s="19"/>
      <c r="E13950" s="57"/>
      <c r="H13950" s="18"/>
    </row>
    <row r="13951">
      <c r="C13951" s="18"/>
      <c r="D13951" s="19"/>
      <c r="E13951" s="57"/>
      <c r="H13951" s="18"/>
    </row>
    <row r="13952">
      <c r="C13952" s="18"/>
      <c r="D13952" s="19"/>
      <c r="E13952" s="57"/>
      <c r="H13952" s="18"/>
    </row>
    <row r="13953">
      <c r="C13953" s="18"/>
      <c r="D13953" s="19"/>
      <c r="E13953" s="57"/>
      <c r="H13953" s="18"/>
    </row>
    <row r="13954">
      <c r="C13954" s="18"/>
      <c r="D13954" s="19"/>
      <c r="E13954" s="57"/>
      <c r="H13954" s="18"/>
    </row>
    <row r="13955">
      <c r="C13955" s="18"/>
      <c r="D13955" s="19"/>
      <c r="E13955" s="57"/>
      <c r="H13955" s="18"/>
    </row>
    <row r="13956">
      <c r="C13956" s="18"/>
      <c r="D13956" s="19"/>
      <c r="E13956" s="57"/>
      <c r="H13956" s="18"/>
    </row>
    <row r="13957">
      <c r="C13957" s="18"/>
      <c r="D13957" s="19"/>
      <c r="E13957" s="57"/>
      <c r="H13957" s="18"/>
    </row>
    <row r="13958">
      <c r="C13958" s="18"/>
      <c r="D13958" s="19"/>
      <c r="E13958" s="57"/>
      <c r="H13958" s="18"/>
    </row>
    <row r="13959">
      <c r="C13959" s="18"/>
      <c r="D13959" s="19"/>
      <c r="E13959" s="57"/>
      <c r="H13959" s="18"/>
    </row>
    <row r="13960">
      <c r="C13960" s="18"/>
      <c r="D13960" s="19"/>
      <c r="E13960" s="57"/>
      <c r="H13960" s="18"/>
    </row>
    <row r="13961">
      <c r="C13961" s="18"/>
      <c r="D13961" s="19"/>
      <c r="E13961" s="57"/>
      <c r="H13961" s="18"/>
    </row>
    <row r="13962">
      <c r="C13962" s="18"/>
      <c r="D13962" s="19"/>
      <c r="E13962" s="57"/>
      <c r="H13962" s="18"/>
    </row>
    <row r="13963">
      <c r="C13963" s="18"/>
      <c r="D13963" s="19"/>
      <c r="E13963" s="57"/>
      <c r="H13963" s="18"/>
    </row>
    <row r="13964">
      <c r="C13964" s="18"/>
      <c r="D13964" s="19"/>
      <c r="E13964" s="57"/>
      <c r="H13964" s="18"/>
    </row>
    <row r="13965">
      <c r="C13965" s="18"/>
      <c r="D13965" s="19"/>
      <c r="E13965" s="57"/>
      <c r="H13965" s="18"/>
    </row>
    <row r="13966">
      <c r="C13966" s="18"/>
      <c r="D13966" s="19"/>
      <c r="E13966" s="57"/>
      <c r="H13966" s="18"/>
    </row>
    <row r="13967">
      <c r="C13967" s="18"/>
      <c r="D13967" s="19"/>
      <c r="E13967" s="57"/>
      <c r="H13967" s="18"/>
    </row>
    <row r="13968">
      <c r="C13968" s="18"/>
      <c r="D13968" s="19"/>
      <c r="E13968" s="57"/>
      <c r="H13968" s="18"/>
    </row>
    <row r="13969">
      <c r="C13969" s="18"/>
      <c r="D13969" s="19"/>
      <c r="E13969" s="57"/>
      <c r="H13969" s="18"/>
    </row>
    <row r="13970">
      <c r="C13970" s="18"/>
      <c r="D13970" s="19"/>
      <c r="E13970" s="57"/>
      <c r="H13970" s="18"/>
    </row>
    <row r="13971">
      <c r="C13971" s="18"/>
      <c r="D13971" s="19"/>
      <c r="E13971" s="57"/>
      <c r="H13971" s="18"/>
    </row>
    <row r="13972">
      <c r="C13972" s="18"/>
      <c r="D13972" s="19"/>
      <c r="E13972" s="57"/>
      <c r="H13972" s="18"/>
    </row>
    <row r="13973">
      <c r="C13973" s="18"/>
      <c r="D13973" s="19"/>
      <c r="E13973" s="57"/>
      <c r="H13973" s="18"/>
    </row>
    <row r="13974">
      <c r="C13974" s="18"/>
      <c r="D13974" s="19"/>
      <c r="E13974" s="57"/>
      <c r="H13974" s="18"/>
    </row>
    <row r="13975">
      <c r="C13975" s="18"/>
      <c r="D13975" s="19"/>
      <c r="E13975" s="57"/>
      <c r="H13975" s="18"/>
    </row>
    <row r="13976">
      <c r="C13976" s="18"/>
      <c r="D13976" s="19"/>
      <c r="E13976" s="57"/>
      <c r="H13976" s="18"/>
    </row>
    <row r="13977">
      <c r="C13977" s="18"/>
      <c r="D13977" s="19"/>
      <c r="E13977" s="57"/>
      <c r="H13977" s="18"/>
    </row>
    <row r="13978">
      <c r="C13978" s="18"/>
      <c r="D13978" s="19"/>
      <c r="E13978" s="57"/>
      <c r="H13978" s="18"/>
    </row>
    <row r="13979">
      <c r="C13979" s="18"/>
      <c r="D13979" s="19"/>
      <c r="E13979" s="57"/>
      <c r="H13979" s="18"/>
    </row>
    <row r="13980">
      <c r="C13980" s="18"/>
      <c r="D13980" s="19"/>
      <c r="E13980" s="57"/>
      <c r="H13980" s="18"/>
    </row>
    <row r="13981">
      <c r="C13981" s="18"/>
      <c r="D13981" s="19"/>
      <c r="E13981" s="57"/>
      <c r="H13981" s="18"/>
    </row>
    <row r="13982">
      <c r="C13982" s="18"/>
      <c r="D13982" s="19"/>
      <c r="E13982" s="57"/>
      <c r="H13982" s="18"/>
    </row>
    <row r="13983">
      <c r="C13983" s="18"/>
      <c r="D13983" s="19"/>
      <c r="E13983" s="57"/>
      <c r="H13983" s="18"/>
    </row>
    <row r="13984">
      <c r="C13984" s="18"/>
      <c r="D13984" s="19"/>
      <c r="E13984" s="57"/>
      <c r="H13984" s="18"/>
    </row>
    <row r="13985">
      <c r="C13985" s="18"/>
      <c r="D13985" s="19"/>
      <c r="E13985" s="57"/>
      <c r="H13985" s="18"/>
    </row>
    <row r="13986">
      <c r="C13986" s="18"/>
      <c r="D13986" s="19"/>
      <c r="E13986" s="57"/>
      <c r="H13986" s="18"/>
    </row>
    <row r="13987">
      <c r="C13987" s="18"/>
      <c r="D13987" s="19"/>
      <c r="E13987" s="57"/>
      <c r="H13987" s="18"/>
    </row>
    <row r="13988">
      <c r="C13988" s="18"/>
      <c r="D13988" s="19"/>
      <c r="E13988" s="57"/>
      <c r="H13988" s="18"/>
    </row>
    <row r="13989">
      <c r="C13989" s="18"/>
      <c r="D13989" s="19"/>
      <c r="E13989" s="57"/>
      <c r="H13989" s="18"/>
    </row>
    <row r="13990">
      <c r="C13990" s="18"/>
      <c r="D13990" s="19"/>
      <c r="E13990" s="57"/>
      <c r="H13990" s="18"/>
    </row>
    <row r="13991">
      <c r="C13991" s="18"/>
      <c r="D13991" s="19"/>
      <c r="E13991" s="57"/>
      <c r="H13991" s="18"/>
    </row>
    <row r="13992">
      <c r="C13992" s="18"/>
      <c r="D13992" s="19"/>
      <c r="E13992" s="57"/>
      <c r="H13992" s="18"/>
    </row>
    <row r="13993">
      <c r="C13993" s="18"/>
      <c r="D13993" s="19"/>
      <c r="E13993" s="57"/>
      <c r="H13993" s="18"/>
    </row>
    <row r="13994">
      <c r="C13994" s="18"/>
      <c r="D13994" s="19"/>
      <c r="E13994" s="57"/>
      <c r="H13994" s="18"/>
    </row>
    <row r="13995">
      <c r="C13995" s="18"/>
      <c r="D13995" s="19"/>
      <c r="E13995" s="57"/>
      <c r="H13995" s="18"/>
    </row>
    <row r="13996">
      <c r="C13996" s="18"/>
      <c r="D13996" s="19"/>
      <c r="E13996" s="57"/>
      <c r="H13996" s="18"/>
    </row>
    <row r="13997">
      <c r="C13997" s="18"/>
      <c r="D13997" s="19"/>
      <c r="E13997" s="57"/>
      <c r="H13997" s="18"/>
    </row>
    <row r="13998">
      <c r="C13998" s="18"/>
      <c r="D13998" s="19"/>
      <c r="E13998" s="57"/>
      <c r="H13998" s="18"/>
    </row>
    <row r="13999">
      <c r="C13999" s="18"/>
      <c r="D13999" s="19"/>
      <c r="E13999" s="57"/>
      <c r="H13999" s="18"/>
    </row>
    <row r="14000">
      <c r="C14000" s="18"/>
      <c r="D14000" s="19"/>
      <c r="E14000" s="57"/>
      <c r="H14000" s="18"/>
    </row>
    <row r="14001">
      <c r="C14001" s="18"/>
      <c r="D14001" s="19"/>
      <c r="E14001" s="57"/>
      <c r="H14001" s="18"/>
    </row>
    <row r="14002">
      <c r="C14002" s="18"/>
      <c r="D14002" s="19"/>
      <c r="E14002" s="57"/>
      <c r="H14002" s="18"/>
    </row>
    <row r="14003">
      <c r="C14003" s="18"/>
      <c r="D14003" s="19"/>
      <c r="E14003" s="57"/>
      <c r="H14003" s="18"/>
    </row>
    <row r="14004">
      <c r="C14004" s="18"/>
      <c r="D14004" s="19"/>
      <c r="E14004" s="57"/>
      <c r="H14004" s="18"/>
    </row>
    <row r="14005">
      <c r="C14005" s="18"/>
      <c r="D14005" s="19"/>
      <c r="E14005" s="57"/>
      <c r="H14005" s="18"/>
    </row>
    <row r="14006">
      <c r="C14006" s="18"/>
      <c r="D14006" s="19"/>
      <c r="E14006" s="57"/>
      <c r="H14006" s="18"/>
    </row>
    <row r="14007">
      <c r="C14007" s="18"/>
      <c r="D14007" s="19"/>
      <c r="E14007" s="57"/>
      <c r="H14007" s="18"/>
    </row>
    <row r="14008">
      <c r="C14008" s="18"/>
      <c r="D14008" s="19"/>
      <c r="E14008" s="57"/>
      <c r="H14008" s="18"/>
    </row>
    <row r="14009">
      <c r="C14009" s="18"/>
      <c r="D14009" s="19"/>
      <c r="E14009" s="57"/>
      <c r="H14009" s="18"/>
    </row>
    <row r="14010">
      <c r="C14010" s="18"/>
      <c r="D14010" s="19"/>
      <c r="E14010" s="57"/>
      <c r="H14010" s="18"/>
    </row>
    <row r="14011">
      <c r="C14011" s="18"/>
      <c r="D14011" s="19"/>
      <c r="E14011" s="57"/>
      <c r="H14011" s="18"/>
    </row>
    <row r="14012">
      <c r="C14012" s="18"/>
      <c r="D14012" s="19"/>
      <c r="E14012" s="57"/>
      <c r="H14012" s="18"/>
    </row>
    <row r="14013">
      <c r="C14013" s="18"/>
      <c r="D14013" s="19"/>
      <c r="E14013" s="57"/>
      <c r="H14013" s="18"/>
    </row>
    <row r="14014">
      <c r="C14014" s="18"/>
      <c r="D14014" s="19"/>
      <c r="E14014" s="57"/>
      <c r="H14014" s="18"/>
    </row>
    <row r="14015">
      <c r="C14015" s="18"/>
      <c r="D14015" s="19"/>
      <c r="E14015" s="57"/>
      <c r="H14015" s="18"/>
    </row>
    <row r="14016">
      <c r="C14016" s="18"/>
      <c r="D14016" s="19"/>
      <c r="E14016" s="57"/>
      <c r="H14016" s="18"/>
    </row>
    <row r="14017">
      <c r="C14017" s="18"/>
      <c r="D14017" s="19"/>
      <c r="E14017" s="57"/>
      <c r="H14017" s="18"/>
    </row>
    <row r="14018">
      <c r="C14018" s="18"/>
      <c r="D14018" s="19"/>
      <c r="E14018" s="57"/>
      <c r="H14018" s="18"/>
    </row>
    <row r="14019">
      <c r="C14019" s="18"/>
      <c r="D14019" s="19"/>
      <c r="E14019" s="57"/>
      <c r="H14019" s="18"/>
    </row>
    <row r="14020">
      <c r="C14020" s="18"/>
      <c r="D14020" s="19"/>
      <c r="E14020" s="57"/>
      <c r="H14020" s="18"/>
    </row>
    <row r="14021">
      <c r="C14021" s="18"/>
      <c r="D14021" s="19"/>
      <c r="E14021" s="57"/>
      <c r="H14021" s="18"/>
    </row>
    <row r="14022">
      <c r="C14022" s="18"/>
      <c r="D14022" s="19"/>
      <c r="E14022" s="57"/>
      <c r="H14022" s="18"/>
    </row>
    <row r="14023">
      <c r="C14023" s="18"/>
      <c r="D14023" s="19"/>
      <c r="E14023" s="57"/>
      <c r="H14023" s="18"/>
    </row>
    <row r="14024">
      <c r="C14024" s="18"/>
      <c r="D14024" s="19"/>
      <c r="E14024" s="57"/>
      <c r="H14024" s="18"/>
    </row>
    <row r="14025">
      <c r="C14025" s="18"/>
      <c r="D14025" s="19"/>
      <c r="E14025" s="57"/>
      <c r="H14025" s="18"/>
    </row>
    <row r="14026">
      <c r="C14026" s="18"/>
      <c r="D14026" s="19"/>
      <c r="E14026" s="57"/>
      <c r="H14026" s="18"/>
    </row>
    <row r="14027">
      <c r="C14027" s="18"/>
      <c r="D14027" s="19"/>
      <c r="E14027" s="57"/>
      <c r="H14027" s="18"/>
    </row>
    <row r="14028">
      <c r="C14028" s="18"/>
      <c r="D14028" s="19"/>
      <c r="E14028" s="57"/>
      <c r="H14028" s="18"/>
    </row>
    <row r="14029">
      <c r="C14029" s="18"/>
      <c r="D14029" s="19"/>
      <c r="E14029" s="57"/>
      <c r="H14029" s="18"/>
    </row>
    <row r="14030">
      <c r="C14030" s="18"/>
      <c r="D14030" s="19"/>
      <c r="E14030" s="57"/>
      <c r="H14030" s="18"/>
    </row>
    <row r="14031">
      <c r="C14031" s="18"/>
      <c r="D14031" s="19"/>
      <c r="E14031" s="57"/>
      <c r="H14031" s="18"/>
    </row>
    <row r="14032">
      <c r="C14032" s="18"/>
      <c r="D14032" s="19"/>
      <c r="E14032" s="57"/>
      <c r="H14032" s="18"/>
    </row>
    <row r="14033">
      <c r="C14033" s="18"/>
      <c r="D14033" s="19"/>
      <c r="E14033" s="57"/>
      <c r="H14033" s="18"/>
    </row>
    <row r="14034">
      <c r="C14034" s="18"/>
      <c r="D14034" s="19"/>
      <c r="E14034" s="57"/>
      <c r="H14034" s="18"/>
    </row>
    <row r="14035">
      <c r="C14035" s="18"/>
      <c r="D14035" s="19"/>
      <c r="E14035" s="57"/>
      <c r="H14035" s="18"/>
    </row>
    <row r="14036">
      <c r="C14036" s="18"/>
      <c r="D14036" s="19"/>
      <c r="E14036" s="57"/>
      <c r="H14036" s="18"/>
    </row>
    <row r="14037">
      <c r="C14037" s="18"/>
      <c r="D14037" s="19"/>
      <c r="E14037" s="57"/>
      <c r="H14037" s="18"/>
    </row>
    <row r="14038">
      <c r="C14038" s="18"/>
      <c r="D14038" s="19"/>
      <c r="E14038" s="57"/>
      <c r="H14038" s="18"/>
    </row>
    <row r="14039">
      <c r="C14039" s="18"/>
      <c r="D14039" s="19"/>
      <c r="E14039" s="57"/>
      <c r="H14039" s="18"/>
    </row>
    <row r="14040">
      <c r="C14040" s="18"/>
      <c r="D14040" s="19"/>
      <c r="E14040" s="57"/>
      <c r="H14040" s="18"/>
    </row>
    <row r="14041">
      <c r="C14041" s="18"/>
      <c r="D14041" s="19"/>
      <c r="E14041" s="57"/>
      <c r="H14041" s="18"/>
    </row>
    <row r="14042">
      <c r="C14042" s="18"/>
      <c r="D14042" s="19"/>
      <c r="E14042" s="57"/>
      <c r="H14042" s="18"/>
    </row>
    <row r="14043">
      <c r="C14043" s="18"/>
      <c r="D14043" s="19"/>
      <c r="E14043" s="57"/>
      <c r="H14043" s="18"/>
    </row>
    <row r="14044">
      <c r="C14044" s="18"/>
      <c r="D14044" s="19"/>
      <c r="E14044" s="57"/>
      <c r="H14044" s="18"/>
    </row>
    <row r="14045">
      <c r="C14045" s="18"/>
      <c r="D14045" s="19"/>
      <c r="E14045" s="57"/>
      <c r="H14045" s="18"/>
    </row>
    <row r="14046">
      <c r="C14046" s="18"/>
      <c r="D14046" s="19"/>
      <c r="E14046" s="57"/>
      <c r="H14046" s="18"/>
    </row>
    <row r="14047">
      <c r="C14047" s="18"/>
      <c r="D14047" s="19"/>
      <c r="E14047" s="57"/>
      <c r="H14047" s="18"/>
    </row>
    <row r="14048">
      <c r="C14048" s="18"/>
      <c r="D14048" s="19"/>
      <c r="E14048" s="57"/>
      <c r="H14048" s="18"/>
    </row>
    <row r="14049">
      <c r="C14049" s="18"/>
      <c r="D14049" s="19"/>
      <c r="E14049" s="57"/>
      <c r="H14049" s="18"/>
    </row>
    <row r="14050">
      <c r="C14050" s="18"/>
      <c r="D14050" s="19"/>
      <c r="E14050" s="57"/>
      <c r="H14050" s="18"/>
    </row>
    <row r="14051">
      <c r="C14051" s="18"/>
      <c r="D14051" s="19"/>
      <c r="E14051" s="57"/>
      <c r="H14051" s="18"/>
    </row>
    <row r="14052">
      <c r="C14052" s="18"/>
      <c r="D14052" s="19"/>
      <c r="E14052" s="57"/>
      <c r="H14052" s="18"/>
    </row>
    <row r="14053">
      <c r="C14053" s="18"/>
      <c r="D14053" s="19"/>
      <c r="E14053" s="57"/>
      <c r="H14053" s="18"/>
    </row>
    <row r="14054">
      <c r="C14054" s="18"/>
      <c r="D14054" s="19"/>
      <c r="E14054" s="57"/>
      <c r="H14054" s="18"/>
    </row>
    <row r="14055">
      <c r="C14055" s="18"/>
      <c r="D14055" s="19"/>
      <c r="E14055" s="57"/>
      <c r="H14055" s="18"/>
    </row>
    <row r="14056">
      <c r="C14056" s="18"/>
      <c r="D14056" s="19"/>
      <c r="E14056" s="57"/>
      <c r="H14056" s="18"/>
    </row>
    <row r="14057">
      <c r="C14057" s="18"/>
      <c r="D14057" s="19"/>
      <c r="E14057" s="57"/>
      <c r="H14057" s="18"/>
    </row>
    <row r="14058">
      <c r="C14058" s="18"/>
      <c r="D14058" s="19"/>
      <c r="E14058" s="57"/>
      <c r="H14058" s="18"/>
    </row>
    <row r="14059">
      <c r="C14059" s="18"/>
      <c r="D14059" s="19"/>
      <c r="E14059" s="57"/>
      <c r="H14059" s="18"/>
    </row>
    <row r="14060">
      <c r="C14060" s="18"/>
      <c r="D14060" s="19"/>
      <c r="E14060" s="57"/>
      <c r="H14060" s="18"/>
    </row>
    <row r="14061">
      <c r="C14061" s="18"/>
      <c r="D14061" s="19"/>
      <c r="E14061" s="57"/>
      <c r="H14061" s="18"/>
    </row>
    <row r="14062">
      <c r="C14062" s="18"/>
      <c r="D14062" s="19"/>
      <c r="E14062" s="57"/>
      <c r="H14062" s="18"/>
    </row>
    <row r="14063">
      <c r="C14063" s="18"/>
      <c r="D14063" s="19"/>
      <c r="E14063" s="57"/>
      <c r="H14063" s="18"/>
    </row>
    <row r="14064">
      <c r="C14064" s="18"/>
      <c r="D14064" s="19"/>
      <c r="E14064" s="57"/>
      <c r="H14064" s="18"/>
    </row>
    <row r="14065">
      <c r="C14065" s="18"/>
      <c r="D14065" s="19"/>
      <c r="E14065" s="57"/>
      <c r="H14065" s="18"/>
    </row>
    <row r="14066">
      <c r="C14066" s="18"/>
      <c r="D14066" s="19"/>
      <c r="E14066" s="57"/>
      <c r="H14066" s="18"/>
    </row>
    <row r="14067">
      <c r="C14067" s="18"/>
      <c r="D14067" s="19"/>
      <c r="E14067" s="57"/>
      <c r="H14067" s="18"/>
    </row>
    <row r="14068">
      <c r="C14068" s="18"/>
      <c r="D14068" s="19"/>
      <c r="E14068" s="57"/>
      <c r="H14068" s="18"/>
    </row>
    <row r="14069">
      <c r="C14069" s="18"/>
      <c r="D14069" s="19"/>
      <c r="E14069" s="57"/>
      <c r="H14069" s="18"/>
    </row>
    <row r="14070">
      <c r="C14070" s="18"/>
      <c r="D14070" s="19"/>
      <c r="E14070" s="57"/>
      <c r="H14070" s="18"/>
    </row>
    <row r="14071">
      <c r="C14071" s="18"/>
      <c r="D14071" s="19"/>
      <c r="E14071" s="57"/>
      <c r="H14071" s="18"/>
    </row>
    <row r="14072">
      <c r="C14072" s="18"/>
      <c r="D14072" s="19"/>
      <c r="E14072" s="57"/>
      <c r="H14072" s="18"/>
    </row>
    <row r="14073">
      <c r="C14073" s="18"/>
      <c r="D14073" s="19"/>
      <c r="E14073" s="57"/>
      <c r="H14073" s="18"/>
    </row>
    <row r="14074">
      <c r="C14074" s="18"/>
      <c r="D14074" s="19"/>
      <c r="E14074" s="57"/>
      <c r="H14074" s="18"/>
    </row>
    <row r="14075">
      <c r="C14075" s="18"/>
      <c r="D14075" s="19"/>
      <c r="E14075" s="57"/>
      <c r="H14075" s="18"/>
    </row>
    <row r="14076">
      <c r="C14076" s="18"/>
      <c r="D14076" s="19"/>
      <c r="E14076" s="57"/>
      <c r="H14076" s="18"/>
    </row>
    <row r="14077">
      <c r="C14077" s="18"/>
      <c r="D14077" s="19"/>
      <c r="E14077" s="57"/>
      <c r="H14077" s="18"/>
    </row>
    <row r="14078">
      <c r="C14078" s="18"/>
      <c r="D14078" s="19"/>
      <c r="E14078" s="57"/>
      <c r="H14078" s="18"/>
    </row>
    <row r="14079">
      <c r="C14079" s="18"/>
      <c r="D14079" s="19"/>
      <c r="E14079" s="57"/>
      <c r="H14079" s="18"/>
    </row>
    <row r="14080">
      <c r="C14080" s="18"/>
      <c r="D14080" s="19"/>
      <c r="E14080" s="57"/>
      <c r="H14080" s="18"/>
    </row>
    <row r="14081">
      <c r="C14081" s="18"/>
      <c r="D14081" s="19"/>
      <c r="E14081" s="57"/>
      <c r="H14081" s="18"/>
    </row>
    <row r="14082">
      <c r="C14082" s="18"/>
      <c r="D14082" s="19"/>
      <c r="E14082" s="57"/>
      <c r="H14082" s="18"/>
    </row>
    <row r="14083">
      <c r="C14083" s="18"/>
      <c r="D14083" s="19"/>
      <c r="E14083" s="57"/>
      <c r="H14083" s="18"/>
    </row>
    <row r="14084">
      <c r="C14084" s="18"/>
      <c r="D14084" s="19"/>
      <c r="E14084" s="57"/>
      <c r="H14084" s="18"/>
    </row>
    <row r="14085">
      <c r="C14085" s="18"/>
      <c r="D14085" s="19"/>
      <c r="E14085" s="57"/>
      <c r="H14085" s="18"/>
    </row>
    <row r="14086">
      <c r="C14086" s="18"/>
      <c r="D14086" s="19"/>
      <c r="E14086" s="57"/>
      <c r="H14086" s="18"/>
    </row>
    <row r="14087">
      <c r="C14087" s="18"/>
      <c r="D14087" s="19"/>
      <c r="E14087" s="57"/>
      <c r="H14087" s="18"/>
    </row>
    <row r="14088">
      <c r="C14088" s="18"/>
      <c r="D14088" s="19"/>
      <c r="E14088" s="57"/>
      <c r="H14088" s="18"/>
    </row>
    <row r="14089">
      <c r="C14089" s="18"/>
      <c r="D14089" s="19"/>
      <c r="E14089" s="57"/>
      <c r="H14089" s="18"/>
    </row>
    <row r="14090">
      <c r="C14090" s="18"/>
      <c r="D14090" s="19"/>
      <c r="E14090" s="57"/>
      <c r="H14090" s="18"/>
    </row>
    <row r="14091">
      <c r="C14091" s="18"/>
      <c r="D14091" s="19"/>
      <c r="E14091" s="57"/>
      <c r="H14091" s="18"/>
    </row>
    <row r="14092">
      <c r="C14092" s="18"/>
      <c r="D14092" s="19"/>
      <c r="E14092" s="57"/>
      <c r="H14092" s="18"/>
    </row>
    <row r="14093">
      <c r="C14093" s="18"/>
      <c r="D14093" s="19"/>
      <c r="E14093" s="57"/>
      <c r="H14093" s="18"/>
    </row>
    <row r="14094">
      <c r="C14094" s="18"/>
      <c r="D14094" s="19"/>
      <c r="E14094" s="57"/>
      <c r="H14094" s="18"/>
    </row>
    <row r="14095">
      <c r="C14095" s="18"/>
      <c r="D14095" s="19"/>
      <c r="E14095" s="57"/>
      <c r="H14095" s="18"/>
    </row>
    <row r="14096">
      <c r="C14096" s="18"/>
      <c r="D14096" s="19"/>
      <c r="E14096" s="57"/>
      <c r="H14096" s="18"/>
    </row>
    <row r="14097">
      <c r="C14097" s="18"/>
      <c r="D14097" s="19"/>
      <c r="E14097" s="57"/>
      <c r="H14097" s="18"/>
    </row>
    <row r="14098">
      <c r="C14098" s="18"/>
      <c r="D14098" s="19"/>
      <c r="E14098" s="57"/>
      <c r="H14098" s="18"/>
    </row>
    <row r="14099">
      <c r="C14099" s="18"/>
      <c r="D14099" s="19"/>
      <c r="E14099" s="57"/>
      <c r="H14099" s="18"/>
    </row>
    <row r="14100">
      <c r="C14100" s="18"/>
      <c r="D14100" s="19"/>
      <c r="E14100" s="57"/>
      <c r="H14100" s="18"/>
    </row>
    <row r="14101">
      <c r="C14101" s="18"/>
      <c r="D14101" s="19"/>
      <c r="E14101" s="57"/>
      <c r="H14101" s="18"/>
    </row>
    <row r="14102">
      <c r="C14102" s="18"/>
      <c r="D14102" s="19"/>
      <c r="E14102" s="57"/>
      <c r="H14102" s="18"/>
    </row>
    <row r="14103">
      <c r="C14103" s="18"/>
      <c r="D14103" s="19"/>
      <c r="E14103" s="57"/>
      <c r="H14103" s="18"/>
    </row>
    <row r="14104">
      <c r="C14104" s="18"/>
      <c r="D14104" s="19"/>
      <c r="E14104" s="57"/>
      <c r="H14104" s="18"/>
    </row>
    <row r="14105">
      <c r="C14105" s="18"/>
      <c r="D14105" s="19"/>
      <c r="E14105" s="57"/>
      <c r="H14105" s="18"/>
    </row>
    <row r="14106">
      <c r="C14106" s="18"/>
      <c r="D14106" s="19"/>
      <c r="E14106" s="57"/>
      <c r="H14106" s="18"/>
    </row>
    <row r="14107">
      <c r="C14107" s="18"/>
      <c r="D14107" s="19"/>
      <c r="E14107" s="57"/>
      <c r="H14107" s="18"/>
    </row>
    <row r="14108">
      <c r="C14108" s="18"/>
      <c r="D14108" s="19"/>
      <c r="E14108" s="57"/>
      <c r="H14108" s="18"/>
    </row>
    <row r="14109">
      <c r="C14109" s="18"/>
      <c r="D14109" s="19"/>
      <c r="E14109" s="57"/>
      <c r="H14109" s="18"/>
    </row>
    <row r="14110">
      <c r="C14110" s="18"/>
      <c r="D14110" s="19"/>
      <c r="E14110" s="57"/>
      <c r="H14110" s="18"/>
    </row>
    <row r="14111">
      <c r="C14111" s="18"/>
      <c r="D14111" s="19"/>
      <c r="E14111" s="57"/>
      <c r="H14111" s="18"/>
    </row>
    <row r="14112">
      <c r="C14112" s="18"/>
      <c r="D14112" s="19"/>
      <c r="E14112" s="57"/>
      <c r="H14112" s="18"/>
    </row>
    <row r="14113">
      <c r="C14113" s="18"/>
      <c r="D14113" s="19"/>
      <c r="E14113" s="57"/>
      <c r="H14113" s="18"/>
    </row>
    <row r="14114">
      <c r="C14114" s="18"/>
      <c r="D14114" s="19"/>
      <c r="E14114" s="57"/>
      <c r="H14114" s="18"/>
    </row>
    <row r="14115">
      <c r="C14115" s="18"/>
      <c r="D14115" s="19"/>
      <c r="E14115" s="57"/>
      <c r="H14115" s="18"/>
    </row>
    <row r="14116">
      <c r="C14116" s="18"/>
      <c r="D14116" s="19"/>
      <c r="E14116" s="57"/>
      <c r="H14116" s="18"/>
    </row>
    <row r="14117">
      <c r="C14117" s="18"/>
      <c r="D14117" s="19"/>
      <c r="E14117" s="57"/>
      <c r="H14117" s="18"/>
    </row>
    <row r="14118">
      <c r="C14118" s="18"/>
      <c r="D14118" s="19"/>
      <c r="E14118" s="57"/>
      <c r="H14118" s="18"/>
    </row>
    <row r="14119">
      <c r="C14119" s="18"/>
      <c r="D14119" s="19"/>
      <c r="E14119" s="57"/>
      <c r="H14119" s="18"/>
    </row>
    <row r="14120">
      <c r="C14120" s="18"/>
      <c r="D14120" s="19"/>
      <c r="E14120" s="57"/>
      <c r="H14120" s="18"/>
    </row>
    <row r="14121">
      <c r="C14121" s="18"/>
      <c r="D14121" s="19"/>
      <c r="E14121" s="57"/>
      <c r="H14121" s="18"/>
    </row>
    <row r="14122">
      <c r="C14122" s="18"/>
      <c r="D14122" s="19"/>
      <c r="E14122" s="57"/>
      <c r="H14122" s="18"/>
    </row>
    <row r="14123">
      <c r="C14123" s="18"/>
      <c r="D14123" s="19"/>
      <c r="E14123" s="57"/>
      <c r="H14123" s="18"/>
    </row>
    <row r="14124">
      <c r="C14124" s="18"/>
      <c r="D14124" s="19"/>
      <c r="E14124" s="57"/>
      <c r="H14124" s="18"/>
    </row>
    <row r="14125">
      <c r="C14125" s="18"/>
      <c r="D14125" s="19"/>
      <c r="E14125" s="57"/>
      <c r="H14125" s="18"/>
    </row>
    <row r="14126">
      <c r="C14126" s="18"/>
      <c r="D14126" s="19"/>
      <c r="E14126" s="57"/>
      <c r="H14126" s="18"/>
    </row>
    <row r="14127">
      <c r="C14127" s="18"/>
      <c r="D14127" s="19"/>
      <c r="E14127" s="57"/>
      <c r="H14127" s="18"/>
    </row>
    <row r="14128">
      <c r="C14128" s="18"/>
      <c r="D14128" s="19"/>
      <c r="E14128" s="57"/>
      <c r="H14128" s="18"/>
    </row>
    <row r="14129">
      <c r="C14129" s="18"/>
      <c r="D14129" s="19"/>
      <c r="E14129" s="57"/>
      <c r="H14129" s="18"/>
    </row>
    <row r="14130">
      <c r="C14130" s="18"/>
      <c r="D14130" s="19"/>
      <c r="E14130" s="57"/>
      <c r="H14130" s="18"/>
    </row>
    <row r="14131">
      <c r="C14131" s="18"/>
      <c r="D14131" s="19"/>
      <c r="E14131" s="57"/>
      <c r="H14131" s="18"/>
    </row>
    <row r="14132">
      <c r="C14132" s="18"/>
      <c r="D14132" s="19"/>
      <c r="E14132" s="57"/>
      <c r="H14132" s="18"/>
    </row>
    <row r="14133">
      <c r="C14133" s="18"/>
      <c r="D14133" s="19"/>
      <c r="E14133" s="57"/>
      <c r="H14133" s="18"/>
    </row>
    <row r="14134">
      <c r="C14134" s="18"/>
      <c r="D14134" s="19"/>
      <c r="E14134" s="57"/>
      <c r="H14134" s="18"/>
    </row>
    <row r="14135">
      <c r="C14135" s="18"/>
      <c r="D14135" s="19"/>
      <c r="E14135" s="57"/>
      <c r="H14135" s="18"/>
    </row>
    <row r="14136">
      <c r="C14136" s="18"/>
      <c r="D14136" s="19"/>
      <c r="E14136" s="57"/>
      <c r="H14136" s="18"/>
    </row>
    <row r="14137">
      <c r="C14137" s="18"/>
      <c r="D14137" s="19"/>
      <c r="E14137" s="57"/>
      <c r="H14137" s="18"/>
    </row>
    <row r="14138">
      <c r="C14138" s="18"/>
      <c r="D14138" s="19"/>
      <c r="E14138" s="57"/>
      <c r="H14138" s="18"/>
    </row>
    <row r="14139">
      <c r="C14139" s="18"/>
      <c r="D14139" s="19"/>
      <c r="E14139" s="57"/>
      <c r="H14139" s="18"/>
    </row>
    <row r="14140">
      <c r="C14140" s="18"/>
      <c r="D14140" s="19"/>
      <c r="E14140" s="57"/>
      <c r="H14140" s="18"/>
    </row>
    <row r="14141">
      <c r="C14141" s="18"/>
      <c r="D14141" s="19"/>
      <c r="E14141" s="57"/>
      <c r="H14141" s="18"/>
    </row>
    <row r="14142">
      <c r="C14142" s="18"/>
      <c r="D14142" s="19"/>
      <c r="E14142" s="57"/>
      <c r="H14142" s="18"/>
    </row>
    <row r="14143">
      <c r="C14143" s="18"/>
      <c r="D14143" s="19"/>
      <c r="E14143" s="57"/>
      <c r="H14143" s="18"/>
    </row>
    <row r="14144">
      <c r="C14144" s="18"/>
      <c r="D14144" s="19"/>
      <c r="E14144" s="57"/>
      <c r="H14144" s="18"/>
    </row>
    <row r="14145">
      <c r="C14145" s="18"/>
      <c r="D14145" s="19"/>
      <c r="E14145" s="57"/>
      <c r="H14145" s="18"/>
    </row>
    <row r="14146">
      <c r="C14146" s="18"/>
      <c r="D14146" s="19"/>
      <c r="E14146" s="57"/>
      <c r="H14146" s="18"/>
    </row>
    <row r="14147">
      <c r="C14147" s="18"/>
      <c r="D14147" s="19"/>
      <c r="E14147" s="57"/>
      <c r="H14147" s="18"/>
    </row>
    <row r="14148">
      <c r="C14148" s="18"/>
      <c r="D14148" s="19"/>
      <c r="E14148" s="57"/>
      <c r="H14148" s="18"/>
    </row>
    <row r="14149">
      <c r="C14149" s="18"/>
      <c r="D14149" s="19"/>
      <c r="E14149" s="57"/>
      <c r="H14149" s="18"/>
    </row>
    <row r="14150">
      <c r="C14150" s="18"/>
      <c r="D14150" s="19"/>
      <c r="E14150" s="57"/>
      <c r="H14150" s="18"/>
    </row>
    <row r="14151">
      <c r="C14151" s="18"/>
      <c r="D14151" s="19"/>
      <c r="E14151" s="57"/>
      <c r="H14151" s="18"/>
    </row>
    <row r="14152">
      <c r="C14152" s="18"/>
      <c r="D14152" s="19"/>
      <c r="E14152" s="57"/>
      <c r="H14152" s="18"/>
    </row>
    <row r="14153">
      <c r="C14153" s="18"/>
      <c r="D14153" s="19"/>
      <c r="E14153" s="57"/>
      <c r="H14153" s="18"/>
    </row>
    <row r="14154">
      <c r="C14154" s="18"/>
      <c r="D14154" s="19"/>
      <c r="E14154" s="57"/>
      <c r="H14154" s="18"/>
    </row>
    <row r="14155">
      <c r="C14155" s="18"/>
      <c r="D14155" s="19"/>
      <c r="E14155" s="57"/>
      <c r="H14155" s="18"/>
    </row>
    <row r="14156">
      <c r="C14156" s="18"/>
      <c r="D14156" s="19"/>
      <c r="E14156" s="57"/>
      <c r="H14156" s="18"/>
    </row>
    <row r="14157">
      <c r="C14157" s="18"/>
      <c r="D14157" s="19"/>
      <c r="E14157" s="57"/>
      <c r="H14157" s="18"/>
    </row>
    <row r="14158">
      <c r="C14158" s="18"/>
      <c r="D14158" s="19"/>
      <c r="E14158" s="57"/>
      <c r="H14158" s="18"/>
    </row>
    <row r="14159">
      <c r="C14159" s="18"/>
      <c r="D14159" s="19"/>
      <c r="E14159" s="57"/>
      <c r="H14159" s="18"/>
    </row>
    <row r="14160">
      <c r="C14160" s="18"/>
      <c r="D14160" s="19"/>
      <c r="E14160" s="57"/>
      <c r="H14160" s="18"/>
    </row>
    <row r="14161">
      <c r="C14161" s="18"/>
      <c r="D14161" s="19"/>
      <c r="E14161" s="57"/>
      <c r="H14161" s="18"/>
    </row>
    <row r="14162">
      <c r="C14162" s="18"/>
      <c r="D14162" s="19"/>
      <c r="E14162" s="57"/>
      <c r="H14162" s="18"/>
    </row>
    <row r="14163">
      <c r="C14163" s="18"/>
      <c r="D14163" s="19"/>
      <c r="E14163" s="57"/>
      <c r="H14163" s="18"/>
    </row>
    <row r="14164">
      <c r="C14164" s="18"/>
      <c r="D14164" s="19"/>
      <c r="E14164" s="57"/>
      <c r="H14164" s="18"/>
    </row>
    <row r="14165">
      <c r="C14165" s="18"/>
      <c r="D14165" s="19"/>
      <c r="E14165" s="57"/>
      <c r="H14165" s="18"/>
    </row>
    <row r="14166">
      <c r="C14166" s="18"/>
      <c r="D14166" s="19"/>
      <c r="E14166" s="57"/>
      <c r="H14166" s="18"/>
    </row>
    <row r="14167">
      <c r="C14167" s="18"/>
      <c r="D14167" s="19"/>
      <c r="E14167" s="57"/>
      <c r="H14167" s="18"/>
    </row>
    <row r="14168">
      <c r="C14168" s="18"/>
      <c r="D14168" s="19"/>
      <c r="E14168" s="57"/>
      <c r="H14168" s="18"/>
    </row>
    <row r="14169">
      <c r="C14169" s="18"/>
      <c r="D14169" s="19"/>
      <c r="E14169" s="57"/>
      <c r="H14169" s="18"/>
    </row>
    <row r="14170">
      <c r="C14170" s="18"/>
      <c r="D14170" s="19"/>
      <c r="E14170" s="57"/>
      <c r="H14170" s="18"/>
    </row>
    <row r="14171">
      <c r="C14171" s="18"/>
      <c r="D14171" s="19"/>
      <c r="E14171" s="57"/>
      <c r="H14171" s="18"/>
    </row>
    <row r="14172">
      <c r="C14172" s="18"/>
      <c r="D14172" s="19"/>
      <c r="E14172" s="57"/>
      <c r="H14172" s="18"/>
    </row>
    <row r="14173">
      <c r="C14173" s="18"/>
      <c r="D14173" s="19"/>
      <c r="E14173" s="57"/>
      <c r="H14173" s="18"/>
    </row>
    <row r="14174">
      <c r="C14174" s="18"/>
      <c r="D14174" s="19"/>
      <c r="E14174" s="57"/>
      <c r="H14174" s="18"/>
    </row>
    <row r="14175">
      <c r="C14175" s="18"/>
      <c r="D14175" s="19"/>
      <c r="E14175" s="57"/>
      <c r="H14175" s="18"/>
    </row>
    <row r="14176">
      <c r="C14176" s="18"/>
      <c r="D14176" s="19"/>
      <c r="E14176" s="57"/>
      <c r="H14176" s="18"/>
    </row>
    <row r="14177">
      <c r="C14177" s="18"/>
      <c r="D14177" s="19"/>
      <c r="E14177" s="57"/>
      <c r="H14177" s="18"/>
    </row>
    <row r="14178">
      <c r="C14178" s="18"/>
      <c r="D14178" s="19"/>
      <c r="E14178" s="57"/>
      <c r="H14178" s="18"/>
    </row>
    <row r="14179">
      <c r="C14179" s="18"/>
      <c r="D14179" s="19"/>
      <c r="E14179" s="57"/>
      <c r="H14179" s="18"/>
    </row>
    <row r="14180">
      <c r="C14180" s="18"/>
      <c r="D14180" s="19"/>
      <c r="E14180" s="57"/>
      <c r="H14180" s="18"/>
    </row>
    <row r="14181">
      <c r="C14181" s="18"/>
      <c r="D14181" s="19"/>
      <c r="E14181" s="57"/>
      <c r="H14181" s="18"/>
    </row>
    <row r="14182">
      <c r="C14182" s="18"/>
      <c r="D14182" s="19"/>
      <c r="E14182" s="57"/>
      <c r="H14182" s="18"/>
    </row>
    <row r="14183">
      <c r="C14183" s="18"/>
      <c r="D14183" s="19"/>
      <c r="E14183" s="57"/>
      <c r="H14183" s="18"/>
    </row>
    <row r="14184">
      <c r="C14184" s="18"/>
      <c r="D14184" s="19"/>
      <c r="E14184" s="57"/>
      <c r="H14184" s="18"/>
    </row>
    <row r="14185">
      <c r="C14185" s="18"/>
      <c r="D14185" s="19"/>
      <c r="E14185" s="57"/>
      <c r="H14185" s="18"/>
    </row>
    <row r="14186">
      <c r="C14186" s="18"/>
      <c r="D14186" s="19"/>
      <c r="E14186" s="57"/>
      <c r="H14186" s="18"/>
    </row>
    <row r="14187">
      <c r="C14187" s="18"/>
      <c r="D14187" s="19"/>
      <c r="E14187" s="57"/>
      <c r="H14187" s="18"/>
    </row>
    <row r="14188">
      <c r="C14188" s="18"/>
      <c r="D14188" s="19"/>
      <c r="E14188" s="57"/>
      <c r="H14188" s="18"/>
    </row>
    <row r="14189">
      <c r="C14189" s="18"/>
      <c r="D14189" s="19"/>
      <c r="E14189" s="57"/>
      <c r="H14189" s="18"/>
    </row>
    <row r="14190">
      <c r="C14190" s="18"/>
      <c r="D14190" s="19"/>
      <c r="E14190" s="57"/>
      <c r="H14190" s="18"/>
    </row>
    <row r="14191">
      <c r="C14191" s="18"/>
      <c r="D14191" s="19"/>
      <c r="E14191" s="57"/>
      <c r="H14191" s="18"/>
    </row>
    <row r="14192">
      <c r="C14192" s="18"/>
      <c r="D14192" s="19"/>
      <c r="E14192" s="57"/>
      <c r="H14192" s="18"/>
    </row>
    <row r="14193">
      <c r="C14193" s="18"/>
      <c r="D14193" s="19"/>
      <c r="E14193" s="57"/>
      <c r="H14193" s="18"/>
    </row>
    <row r="14194">
      <c r="C14194" s="18"/>
      <c r="D14194" s="19"/>
      <c r="E14194" s="57"/>
      <c r="H14194" s="18"/>
    </row>
    <row r="14195">
      <c r="C14195" s="18"/>
      <c r="D14195" s="19"/>
      <c r="E14195" s="57"/>
      <c r="H14195" s="18"/>
    </row>
    <row r="14196">
      <c r="C14196" s="18"/>
      <c r="D14196" s="19"/>
      <c r="E14196" s="57"/>
      <c r="H14196" s="18"/>
    </row>
    <row r="14197">
      <c r="C14197" s="18"/>
      <c r="D14197" s="19"/>
      <c r="E14197" s="57"/>
      <c r="H14197" s="18"/>
    </row>
    <row r="14198">
      <c r="C14198" s="18"/>
      <c r="D14198" s="19"/>
      <c r="E14198" s="57"/>
      <c r="H14198" s="18"/>
    </row>
    <row r="14199">
      <c r="C14199" s="18"/>
      <c r="D14199" s="19"/>
      <c r="E14199" s="57"/>
      <c r="H14199" s="18"/>
    </row>
    <row r="14200">
      <c r="C14200" s="18"/>
      <c r="D14200" s="19"/>
      <c r="E14200" s="57"/>
      <c r="H14200" s="18"/>
    </row>
    <row r="14201">
      <c r="C14201" s="18"/>
      <c r="D14201" s="19"/>
      <c r="E14201" s="57"/>
      <c r="H14201" s="18"/>
    </row>
    <row r="14202">
      <c r="C14202" s="18"/>
      <c r="D14202" s="19"/>
      <c r="E14202" s="57"/>
      <c r="H14202" s="18"/>
    </row>
    <row r="14203">
      <c r="C14203" s="18"/>
      <c r="D14203" s="19"/>
      <c r="E14203" s="57"/>
      <c r="H14203" s="18"/>
    </row>
    <row r="14204">
      <c r="C14204" s="18"/>
      <c r="D14204" s="19"/>
      <c r="E14204" s="57"/>
      <c r="H14204" s="18"/>
    </row>
    <row r="14205">
      <c r="C14205" s="18"/>
      <c r="D14205" s="19"/>
      <c r="E14205" s="57"/>
      <c r="H14205" s="18"/>
    </row>
    <row r="14206">
      <c r="C14206" s="18"/>
      <c r="D14206" s="19"/>
      <c r="E14206" s="57"/>
      <c r="H14206" s="18"/>
    </row>
    <row r="14207">
      <c r="C14207" s="18"/>
      <c r="D14207" s="19"/>
      <c r="E14207" s="57"/>
      <c r="H14207" s="18"/>
    </row>
    <row r="14208">
      <c r="C14208" s="18"/>
      <c r="D14208" s="19"/>
      <c r="E14208" s="57"/>
      <c r="H14208" s="18"/>
    </row>
    <row r="14209">
      <c r="C14209" s="18"/>
      <c r="D14209" s="19"/>
      <c r="E14209" s="57"/>
      <c r="H14209" s="18"/>
    </row>
    <row r="14210">
      <c r="C14210" s="18"/>
      <c r="D14210" s="19"/>
      <c r="E14210" s="57"/>
      <c r="H14210" s="18"/>
    </row>
    <row r="14211">
      <c r="C14211" s="18"/>
      <c r="D14211" s="19"/>
      <c r="E14211" s="57"/>
      <c r="H14211" s="18"/>
    </row>
    <row r="14212">
      <c r="C14212" s="18"/>
      <c r="D14212" s="19"/>
      <c r="E14212" s="57"/>
      <c r="H14212" s="18"/>
    </row>
    <row r="14213">
      <c r="C14213" s="18"/>
      <c r="D14213" s="19"/>
      <c r="E14213" s="57"/>
      <c r="H14213" s="18"/>
    </row>
    <row r="14214">
      <c r="C14214" s="18"/>
      <c r="D14214" s="19"/>
      <c r="E14214" s="57"/>
      <c r="H14214" s="18"/>
    </row>
    <row r="14215">
      <c r="C14215" s="18"/>
      <c r="D14215" s="19"/>
      <c r="E14215" s="57"/>
      <c r="H14215" s="18"/>
    </row>
    <row r="14216">
      <c r="C14216" s="18"/>
      <c r="D14216" s="19"/>
      <c r="E14216" s="57"/>
      <c r="H14216" s="18"/>
    </row>
    <row r="14217">
      <c r="C14217" s="18"/>
      <c r="D14217" s="19"/>
      <c r="E14217" s="57"/>
      <c r="H14217" s="18"/>
    </row>
    <row r="14218">
      <c r="C14218" s="18"/>
      <c r="D14218" s="19"/>
      <c r="E14218" s="57"/>
      <c r="H14218" s="18"/>
    </row>
    <row r="14219">
      <c r="C14219" s="18"/>
      <c r="D14219" s="19"/>
      <c r="E14219" s="57"/>
      <c r="H14219" s="18"/>
    </row>
    <row r="14220">
      <c r="C14220" s="18"/>
      <c r="D14220" s="19"/>
      <c r="E14220" s="57"/>
      <c r="H14220" s="18"/>
    </row>
    <row r="14221">
      <c r="C14221" s="18"/>
      <c r="D14221" s="19"/>
      <c r="E14221" s="57"/>
      <c r="H14221" s="18"/>
    </row>
    <row r="14222">
      <c r="C14222" s="18"/>
      <c r="D14222" s="19"/>
      <c r="E14222" s="57"/>
      <c r="H14222" s="18"/>
    </row>
    <row r="14223">
      <c r="C14223" s="18"/>
      <c r="D14223" s="19"/>
      <c r="E14223" s="57"/>
      <c r="H14223" s="18"/>
    </row>
    <row r="14224">
      <c r="C14224" s="18"/>
      <c r="D14224" s="19"/>
      <c r="E14224" s="57"/>
      <c r="H14224" s="18"/>
    </row>
    <row r="14225">
      <c r="C14225" s="18"/>
      <c r="D14225" s="19"/>
      <c r="E14225" s="57"/>
      <c r="H14225" s="18"/>
    </row>
    <row r="14226">
      <c r="C14226" s="18"/>
      <c r="D14226" s="19"/>
      <c r="E14226" s="57"/>
      <c r="H14226" s="18"/>
    </row>
    <row r="14227">
      <c r="C14227" s="18"/>
      <c r="D14227" s="19"/>
      <c r="E14227" s="57"/>
      <c r="H14227" s="18"/>
    </row>
    <row r="14228">
      <c r="C14228" s="18"/>
      <c r="D14228" s="19"/>
      <c r="E14228" s="57"/>
      <c r="H14228" s="18"/>
    </row>
    <row r="14229">
      <c r="C14229" s="18"/>
      <c r="D14229" s="19"/>
      <c r="E14229" s="57"/>
      <c r="H14229" s="18"/>
    </row>
    <row r="14230">
      <c r="C14230" s="18"/>
      <c r="D14230" s="19"/>
      <c r="E14230" s="57"/>
      <c r="H14230" s="18"/>
    </row>
    <row r="14231">
      <c r="C14231" s="18"/>
      <c r="D14231" s="19"/>
      <c r="E14231" s="57"/>
      <c r="H14231" s="18"/>
    </row>
    <row r="14232">
      <c r="C14232" s="18"/>
      <c r="D14232" s="19"/>
      <c r="E14232" s="57"/>
      <c r="H14232" s="18"/>
    </row>
    <row r="14233">
      <c r="C14233" s="18"/>
      <c r="D14233" s="19"/>
      <c r="E14233" s="57"/>
      <c r="H14233" s="18"/>
    </row>
    <row r="14234">
      <c r="C14234" s="18"/>
      <c r="D14234" s="19"/>
      <c r="E14234" s="57"/>
      <c r="H14234" s="18"/>
    </row>
    <row r="14235">
      <c r="C14235" s="18"/>
      <c r="D14235" s="19"/>
      <c r="E14235" s="57"/>
      <c r="H14235" s="18"/>
    </row>
    <row r="14236">
      <c r="C14236" s="18"/>
      <c r="D14236" s="19"/>
      <c r="E14236" s="57"/>
      <c r="H14236" s="18"/>
    </row>
    <row r="14237">
      <c r="C14237" s="18"/>
      <c r="D14237" s="19"/>
      <c r="E14237" s="57"/>
      <c r="H14237" s="18"/>
    </row>
    <row r="14238">
      <c r="C14238" s="18"/>
      <c r="D14238" s="19"/>
      <c r="E14238" s="57"/>
      <c r="H14238" s="18"/>
    </row>
    <row r="14239">
      <c r="C14239" s="18"/>
      <c r="D14239" s="19"/>
      <c r="E14239" s="57"/>
      <c r="H14239" s="18"/>
    </row>
    <row r="14240">
      <c r="C14240" s="18"/>
      <c r="D14240" s="19"/>
      <c r="E14240" s="57"/>
      <c r="H14240" s="18"/>
    </row>
    <row r="14241">
      <c r="C14241" s="18"/>
      <c r="D14241" s="19"/>
      <c r="E14241" s="57"/>
      <c r="H14241" s="18"/>
    </row>
    <row r="14242">
      <c r="C14242" s="18"/>
      <c r="D14242" s="19"/>
      <c r="E14242" s="57"/>
      <c r="H14242" s="18"/>
    </row>
    <row r="14243">
      <c r="C14243" s="18"/>
      <c r="D14243" s="19"/>
      <c r="E14243" s="57"/>
      <c r="H14243" s="18"/>
    </row>
    <row r="14244">
      <c r="C14244" s="18"/>
      <c r="D14244" s="19"/>
      <c r="E14244" s="57"/>
      <c r="H14244" s="18"/>
    </row>
    <row r="14245">
      <c r="C14245" s="18"/>
      <c r="D14245" s="19"/>
      <c r="E14245" s="57"/>
      <c r="H14245" s="18"/>
    </row>
    <row r="14246">
      <c r="C14246" s="18"/>
      <c r="D14246" s="19"/>
      <c r="E14246" s="57"/>
      <c r="H14246" s="18"/>
    </row>
    <row r="14247">
      <c r="C14247" s="18"/>
      <c r="D14247" s="19"/>
      <c r="E14247" s="57"/>
      <c r="H14247" s="18"/>
    </row>
    <row r="14248">
      <c r="C14248" s="18"/>
      <c r="D14248" s="19"/>
      <c r="E14248" s="57"/>
      <c r="H14248" s="18"/>
    </row>
    <row r="14249">
      <c r="C14249" s="18"/>
      <c r="D14249" s="19"/>
      <c r="E14249" s="57"/>
      <c r="H14249" s="18"/>
    </row>
    <row r="14250">
      <c r="C14250" s="18"/>
      <c r="D14250" s="19"/>
      <c r="E14250" s="57"/>
      <c r="H14250" s="18"/>
    </row>
    <row r="14251">
      <c r="C14251" s="18"/>
      <c r="D14251" s="19"/>
      <c r="E14251" s="57"/>
      <c r="H14251" s="18"/>
    </row>
    <row r="14252">
      <c r="C14252" s="18"/>
      <c r="D14252" s="19"/>
      <c r="E14252" s="57"/>
      <c r="H14252" s="18"/>
    </row>
    <row r="14253">
      <c r="C14253" s="18"/>
      <c r="D14253" s="19"/>
      <c r="E14253" s="57"/>
      <c r="H14253" s="18"/>
    </row>
    <row r="14254">
      <c r="C14254" s="18"/>
      <c r="D14254" s="19"/>
      <c r="E14254" s="57"/>
      <c r="H14254" s="18"/>
    </row>
    <row r="14255">
      <c r="C14255" s="18"/>
      <c r="D14255" s="19"/>
      <c r="E14255" s="57"/>
      <c r="H14255" s="18"/>
    </row>
    <row r="14256">
      <c r="C14256" s="18"/>
      <c r="D14256" s="19"/>
      <c r="E14256" s="57"/>
      <c r="H14256" s="18"/>
    </row>
    <row r="14257">
      <c r="C14257" s="18"/>
      <c r="D14257" s="19"/>
      <c r="E14257" s="57"/>
      <c r="H14257" s="18"/>
    </row>
    <row r="14258">
      <c r="C14258" s="18"/>
      <c r="D14258" s="19"/>
      <c r="E14258" s="57"/>
      <c r="H14258" s="18"/>
    </row>
    <row r="14259">
      <c r="C14259" s="18"/>
      <c r="D14259" s="19"/>
      <c r="E14259" s="57"/>
      <c r="H14259" s="18"/>
    </row>
    <row r="14260">
      <c r="C14260" s="18"/>
      <c r="D14260" s="19"/>
      <c r="E14260" s="57"/>
      <c r="H14260" s="18"/>
    </row>
    <row r="14261">
      <c r="C14261" s="18"/>
      <c r="D14261" s="19"/>
      <c r="E14261" s="57"/>
      <c r="H14261" s="18"/>
    </row>
    <row r="14262">
      <c r="C14262" s="18"/>
      <c r="D14262" s="19"/>
      <c r="E14262" s="57"/>
      <c r="H14262" s="18"/>
    </row>
    <row r="14263">
      <c r="C14263" s="18"/>
      <c r="D14263" s="19"/>
      <c r="E14263" s="57"/>
      <c r="H14263" s="18"/>
    </row>
    <row r="14264">
      <c r="C14264" s="18"/>
      <c r="D14264" s="19"/>
      <c r="E14264" s="57"/>
      <c r="H14264" s="18"/>
    </row>
    <row r="14265">
      <c r="C14265" s="18"/>
      <c r="D14265" s="19"/>
      <c r="E14265" s="57"/>
      <c r="H14265" s="18"/>
    </row>
    <row r="14266">
      <c r="C14266" s="18"/>
      <c r="D14266" s="19"/>
      <c r="E14266" s="57"/>
      <c r="H14266" s="18"/>
    </row>
    <row r="14267">
      <c r="C14267" s="18"/>
      <c r="D14267" s="19"/>
      <c r="E14267" s="57"/>
      <c r="H14267" s="18"/>
    </row>
    <row r="14268">
      <c r="C14268" s="18"/>
      <c r="D14268" s="19"/>
      <c r="E14268" s="57"/>
      <c r="H14268" s="18"/>
    </row>
    <row r="14269">
      <c r="C14269" s="18"/>
      <c r="D14269" s="19"/>
      <c r="E14269" s="57"/>
      <c r="H14269" s="18"/>
    </row>
    <row r="14270">
      <c r="C14270" s="18"/>
      <c r="D14270" s="19"/>
      <c r="E14270" s="57"/>
      <c r="H14270" s="18"/>
    </row>
    <row r="14271">
      <c r="C14271" s="18"/>
      <c r="D14271" s="19"/>
      <c r="E14271" s="57"/>
      <c r="H14271" s="18"/>
    </row>
    <row r="14272">
      <c r="C14272" s="18"/>
      <c r="D14272" s="19"/>
      <c r="E14272" s="57"/>
      <c r="H14272" s="18"/>
    </row>
    <row r="14273">
      <c r="C14273" s="18"/>
      <c r="D14273" s="19"/>
      <c r="E14273" s="57"/>
      <c r="H14273" s="18"/>
    </row>
    <row r="14274">
      <c r="C14274" s="18"/>
      <c r="D14274" s="19"/>
      <c r="E14274" s="57"/>
      <c r="H14274" s="18"/>
    </row>
    <row r="14275">
      <c r="C14275" s="18"/>
      <c r="D14275" s="19"/>
      <c r="E14275" s="57"/>
      <c r="H14275" s="18"/>
    </row>
    <row r="14276">
      <c r="C14276" s="18"/>
      <c r="D14276" s="19"/>
      <c r="E14276" s="57"/>
      <c r="H14276" s="18"/>
    </row>
    <row r="14277">
      <c r="C14277" s="18"/>
      <c r="D14277" s="19"/>
      <c r="E14277" s="57"/>
      <c r="H14277" s="18"/>
    </row>
    <row r="14278">
      <c r="C14278" s="18"/>
      <c r="D14278" s="19"/>
      <c r="E14278" s="57"/>
      <c r="H14278" s="18"/>
    </row>
    <row r="14279">
      <c r="C14279" s="18"/>
      <c r="D14279" s="19"/>
      <c r="E14279" s="57"/>
      <c r="H14279" s="18"/>
    </row>
    <row r="14280">
      <c r="C14280" s="18"/>
      <c r="D14280" s="19"/>
      <c r="E14280" s="57"/>
      <c r="H14280" s="18"/>
    </row>
    <row r="14281">
      <c r="C14281" s="18"/>
      <c r="D14281" s="19"/>
      <c r="E14281" s="57"/>
      <c r="H14281" s="18"/>
    </row>
    <row r="14282">
      <c r="C14282" s="18"/>
      <c r="D14282" s="19"/>
      <c r="E14282" s="57"/>
      <c r="H14282" s="18"/>
    </row>
    <row r="14283">
      <c r="C14283" s="18"/>
      <c r="D14283" s="19"/>
      <c r="E14283" s="57"/>
      <c r="H14283" s="18"/>
    </row>
    <row r="14284">
      <c r="C14284" s="18"/>
      <c r="D14284" s="19"/>
      <c r="E14284" s="57"/>
      <c r="H14284" s="18"/>
    </row>
    <row r="14285">
      <c r="C14285" s="18"/>
      <c r="D14285" s="19"/>
      <c r="E14285" s="57"/>
      <c r="H14285" s="18"/>
    </row>
    <row r="14286">
      <c r="C14286" s="18"/>
      <c r="D14286" s="19"/>
      <c r="E14286" s="57"/>
      <c r="H14286" s="18"/>
    </row>
    <row r="14287">
      <c r="C14287" s="18"/>
      <c r="D14287" s="19"/>
      <c r="E14287" s="57"/>
      <c r="H14287" s="18"/>
    </row>
    <row r="14288">
      <c r="C14288" s="18"/>
      <c r="D14288" s="19"/>
      <c r="E14288" s="57"/>
      <c r="H14288" s="18"/>
    </row>
    <row r="14289">
      <c r="C14289" s="18"/>
      <c r="D14289" s="19"/>
      <c r="E14289" s="57"/>
      <c r="H14289" s="18"/>
    </row>
    <row r="14290">
      <c r="C14290" s="18"/>
      <c r="D14290" s="19"/>
      <c r="E14290" s="57"/>
      <c r="H14290" s="18"/>
    </row>
    <row r="14291">
      <c r="C14291" s="18"/>
      <c r="D14291" s="19"/>
      <c r="E14291" s="57"/>
      <c r="H14291" s="18"/>
    </row>
    <row r="14292">
      <c r="C14292" s="18"/>
      <c r="D14292" s="19"/>
      <c r="E14292" s="57"/>
      <c r="H14292" s="18"/>
    </row>
    <row r="14293">
      <c r="C14293" s="18"/>
      <c r="D14293" s="19"/>
      <c r="E14293" s="57"/>
      <c r="H14293" s="18"/>
    </row>
    <row r="14294">
      <c r="C14294" s="18"/>
      <c r="D14294" s="19"/>
      <c r="E14294" s="57"/>
      <c r="H14294" s="18"/>
    </row>
    <row r="14295">
      <c r="C14295" s="18"/>
      <c r="D14295" s="19"/>
      <c r="E14295" s="57"/>
      <c r="H14295" s="18"/>
    </row>
    <row r="14296">
      <c r="C14296" s="18"/>
      <c r="D14296" s="19"/>
      <c r="E14296" s="57"/>
      <c r="H14296" s="18"/>
    </row>
    <row r="14297">
      <c r="C14297" s="18"/>
      <c r="D14297" s="19"/>
      <c r="E14297" s="57"/>
      <c r="H14297" s="18"/>
    </row>
    <row r="14298">
      <c r="C14298" s="18"/>
      <c r="D14298" s="19"/>
      <c r="E14298" s="57"/>
      <c r="H14298" s="18"/>
    </row>
    <row r="14299">
      <c r="C14299" s="18"/>
      <c r="D14299" s="19"/>
      <c r="E14299" s="57"/>
      <c r="H14299" s="18"/>
    </row>
    <row r="14300">
      <c r="C14300" s="18"/>
      <c r="D14300" s="19"/>
      <c r="E14300" s="57"/>
      <c r="H14300" s="18"/>
    </row>
    <row r="14301">
      <c r="C14301" s="18"/>
      <c r="D14301" s="19"/>
      <c r="E14301" s="57"/>
      <c r="H14301" s="18"/>
    </row>
    <row r="14302">
      <c r="C14302" s="18"/>
      <c r="D14302" s="19"/>
      <c r="E14302" s="57"/>
      <c r="H14302" s="18"/>
    </row>
    <row r="14303">
      <c r="C14303" s="18"/>
      <c r="D14303" s="19"/>
      <c r="E14303" s="57"/>
      <c r="H14303" s="18"/>
    </row>
    <row r="14304">
      <c r="C14304" s="18"/>
      <c r="D14304" s="19"/>
      <c r="E14304" s="57"/>
      <c r="H14304" s="18"/>
    </row>
    <row r="14305">
      <c r="C14305" s="18"/>
      <c r="D14305" s="19"/>
      <c r="E14305" s="57"/>
      <c r="H14305" s="18"/>
    </row>
    <row r="14306">
      <c r="C14306" s="18"/>
      <c r="D14306" s="19"/>
      <c r="E14306" s="57"/>
      <c r="H14306" s="18"/>
    </row>
    <row r="14307">
      <c r="C14307" s="18"/>
      <c r="D14307" s="19"/>
      <c r="E14307" s="57"/>
      <c r="H14307" s="18"/>
    </row>
    <row r="14308">
      <c r="C14308" s="18"/>
      <c r="D14308" s="19"/>
      <c r="E14308" s="57"/>
      <c r="H14308" s="18"/>
    </row>
    <row r="14309">
      <c r="C14309" s="18"/>
      <c r="D14309" s="19"/>
      <c r="E14309" s="57"/>
      <c r="H14309" s="18"/>
    </row>
    <row r="14310">
      <c r="C14310" s="18"/>
      <c r="D14310" s="19"/>
      <c r="E14310" s="57"/>
      <c r="H14310" s="18"/>
    </row>
    <row r="14311">
      <c r="C14311" s="18"/>
      <c r="D14311" s="19"/>
      <c r="E14311" s="57"/>
      <c r="H14311" s="18"/>
    </row>
    <row r="14312">
      <c r="C14312" s="18"/>
      <c r="D14312" s="19"/>
      <c r="E14312" s="57"/>
      <c r="H14312" s="18"/>
    </row>
    <row r="14313">
      <c r="C14313" s="18"/>
      <c r="D14313" s="19"/>
      <c r="E14313" s="57"/>
      <c r="H14313" s="18"/>
    </row>
    <row r="14314">
      <c r="C14314" s="18"/>
      <c r="D14314" s="19"/>
      <c r="E14314" s="57"/>
      <c r="H14314" s="18"/>
    </row>
    <row r="14315">
      <c r="C14315" s="18"/>
      <c r="D14315" s="19"/>
      <c r="E14315" s="57"/>
      <c r="H14315" s="18"/>
    </row>
    <row r="14316">
      <c r="C14316" s="18"/>
      <c r="D14316" s="19"/>
      <c r="E14316" s="57"/>
      <c r="H14316" s="18"/>
    </row>
    <row r="14317">
      <c r="C14317" s="18"/>
      <c r="D14317" s="19"/>
      <c r="E14317" s="57"/>
      <c r="H14317" s="18"/>
    </row>
    <row r="14318">
      <c r="C14318" s="18"/>
      <c r="D14318" s="19"/>
      <c r="E14318" s="57"/>
      <c r="H14318" s="18"/>
    </row>
    <row r="14319">
      <c r="C14319" s="18"/>
      <c r="D14319" s="19"/>
      <c r="E14319" s="57"/>
      <c r="H14319" s="18"/>
    </row>
    <row r="14320">
      <c r="C14320" s="18"/>
      <c r="D14320" s="19"/>
      <c r="E14320" s="57"/>
      <c r="H14320" s="18"/>
    </row>
    <row r="14321">
      <c r="C14321" s="18"/>
      <c r="D14321" s="19"/>
      <c r="E14321" s="57"/>
      <c r="H14321" s="18"/>
    </row>
    <row r="14322">
      <c r="C14322" s="18"/>
      <c r="D14322" s="19"/>
      <c r="E14322" s="57"/>
      <c r="H14322" s="18"/>
    </row>
    <row r="14323">
      <c r="C14323" s="18"/>
      <c r="D14323" s="19"/>
      <c r="E14323" s="57"/>
      <c r="H14323" s="18"/>
    </row>
    <row r="14324">
      <c r="C14324" s="18"/>
      <c r="D14324" s="19"/>
      <c r="E14324" s="57"/>
      <c r="H14324" s="18"/>
    </row>
    <row r="14325">
      <c r="C14325" s="18"/>
      <c r="D14325" s="19"/>
      <c r="E14325" s="57"/>
      <c r="H14325" s="18"/>
    </row>
    <row r="14326">
      <c r="C14326" s="18"/>
      <c r="D14326" s="19"/>
      <c r="E14326" s="57"/>
      <c r="H14326" s="18"/>
    </row>
    <row r="14327">
      <c r="C14327" s="18"/>
      <c r="D14327" s="19"/>
      <c r="E14327" s="57"/>
      <c r="H14327" s="18"/>
    </row>
    <row r="14328">
      <c r="C14328" s="18"/>
      <c r="D14328" s="19"/>
      <c r="E14328" s="57"/>
      <c r="H14328" s="18"/>
    </row>
    <row r="14329">
      <c r="C14329" s="18"/>
      <c r="D14329" s="19"/>
      <c r="E14329" s="57"/>
      <c r="H14329" s="18"/>
    </row>
    <row r="14330">
      <c r="C14330" s="18"/>
      <c r="D14330" s="19"/>
      <c r="E14330" s="57"/>
      <c r="H14330" s="18"/>
    </row>
    <row r="14331">
      <c r="C14331" s="18"/>
      <c r="D14331" s="19"/>
      <c r="E14331" s="57"/>
      <c r="H14331" s="18"/>
    </row>
    <row r="14332">
      <c r="C14332" s="18"/>
      <c r="D14332" s="19"/>
      <c r="E14332" s="57"/>
      <c r="H14332" s="18"/>
    </row>
    <row r="14333">
      <c r="C14333" s="18"/>
      <c r="D14333" s="19"/>
      <c r="E14333" s="57"/>
      <c r="H14333" s="18"/>
    </row>
    <row r="14334">
      <c r="C14334" s="18"/>
      <c r="D14334" s="19"/>
      <c r="E14334" s="57"/>
      <c r="H14334" s="18"/>
    </row>
    <row r="14335">
      <c r="C14335" s="18"/>
      <c r="D14335" s="19"/>
      <c r="E14335" s="57"/>
      <c r="H14335" s="18"/>
    </row>
    <row r="14336">
      <c r="C14336" s="18"/>
      <c r="D14336" s="19"/>
      <c r="E14336" s="57"/>
      <c r="H14336" s="18"/>
    </row>
    <row r="14337">
      <c r="C14337" s="18"/>
      <c r="D14337" s="19"/>
      <c r="E14337" s="57"/>
      <c r="H14337" s="18"/>
    </row>
    <row r="14338">
      <c r="C14338" s="18"/>
      <c r="D14338" s="19"/>
      <c r="E14338" s="57"/>
      <c r="H14338" s="18"/>
    </row>
    <row r="14339">
      <c r="C14339" s="18"/>
      <c r="D14339" s="19"/>
      <c r="E14339" s="57"/>
      <c r="H14339" s="18"/>
    </row>
    <row r="14340">
      <c r="C14340" s="18"/>
      <c r="D14340" s="19"/>
      <c r="E14340" s="57"/>
      <c r="H14340" s="18"/>
    </row>
    <row r="14341">
      <c r="C14341" s="18"/>
      <c r="D14341" s="19"/>
      <c r="E14341" s="57"/>
      <c r="H14341" s="18"/>
    </row>
    <row r="14342">
      <c r="C14342" s="18"/>
      <c r="D14342" s="19"/>
      <c r="E14342" s="57"/>
      <c r="H14342" s="18"/>
    </row>
    <row r="14343">
      <c r="C14343" s="18"/>
      <c r="D14343" s="19"/>
      <c r="E14343" s="57"/>
      <c r="H14343" s="18"/>
    </row>
    <row r="14344">
      <c r="C14344" s="18"/>
      <c r="D14344" s="19"/>
      <c r="E14344" s="57"/>
      <c r="H14344" s="18"/>
    </row>
    <row r="14345">
      <c r="C14345" s="18"/>
      <c r="D14345" s="19"/>
      <c r="E14345" s="57"/>
      <c r="H14345" s="18"/>
    </row>
    <row r="14346">
      <c r="C14346" s="18"/>
      <c r="D14346" s="19"/>
      <c r="E14346" s="57"/>
      <c r="H14346" s="18"/>
    </row>
    <row r="14347">
      <c r="C14347" s="18"/>
      <c r="D14347" s="19"/>
      <c r="E14347" s="57"/>
      <c r="H14347" s="18"/>
    </row>
    <row r="14348">
      <c r="C14348" s="18"/>
      <c r="D14348" s="19"/>
      <c r="E14348" s="57"/>
      <c r="H14348" s="18"/>
    </row>
    <row r="14349">
      <c r="C14349" s="18"/>
      <c r="D14349" s="19"/>
      <c r="E14349" s="57"/>
      <c r="H14349" s="18"/>
    </row>
    <row r="14350">
      <c r="C14350" s="18"/>
      <c r="D14350" s="19"/>
      <c r="E14350" s="57"/>
      <c r="H14350" s="18"/>
    </row>
    <row r="14351">
      <c r="C14351" s="18"/>
      <c r="D14351" s="19"/>
      <c r="E14351" s="57"/>
      <c r="H14351" s="18"/>
    </row>
    <row r="14352">
      <c r="C14352" s="18"/>
      <c r="D14352" s="19"/>
      <c r="E14352" s="57"/>
      <c r="H14352" s="18"/>
    </row>
    <row r="14353">
      <c r="C14353" s="18"/>
      <c r="D14353" s="19"/>
      <c r="E14353" s="57"/>
      <c r="H14353" s="18"/>
    </row>
    <row r="14354">
      <c r="C14354" s="18"/>
      <c r="D14354" s="19"/>
      <c r="E14354" s="57"/>
      <c r="H14354" s="18"/>
    </row>
    <row r="14355">
      <c r="C14355" s="18"/>
      <c r="D14355" s="19"/>
      <c r="E14355" s="57"/>
      <c r="H14355" s="18"/>
    </row>
    <row r="14356">
      <c r="C14356" s="18"/>
      <c r="D14356" s="19"/>
      <c r="E14356" s="57"/>
      <c r="H14356" s="18"/>
    </row>
    <row r="14357">
      <c r="C14357" s="18"/>
      <c r="D14357" s="19"/>
      <c r="E14357" s="57"/>
      <c r="H14357" s="18"/>
    </row>
    <row r="14358">
      <c r="C14358" s="18"/>
      <c r="D14358" s="19"/>
      <c r="E14358" s="57"/>
      <c r="H14358" s="18"/>
    </row>
    <row r="14359">
      <c r="C14359" s="18"/>
      <c r="D14359" s="19"/>
      <c r="E14359" s="57"/>
      <c r="H14359" s="18"/>
    </row>
    <row r="14360">
      <c r="C14360" s="18"/>
      <c r="D14360" s="19"/>
      <c r="E14360" s="57"/>
      <c r="H14360" s="18"/>
    </row>
    <row r="14361">
      <c r="C14361" s="18"/>
      <c r="D14361" s="19"/>
      <c r="E14361" s="57"/>
      <c r="H14361" s="18"/>
    </row>
    <row r="14362">
      <c r="C14362" s="18"/>
      <c r="D14362" s="19"/>
      <c r="E14362" s="57"/>
      <c r="H14362" s="18"/>
    </row>
    <row r="14363">
      <c r="C14363" s="18"/>
      <c r="D14363" s="19"/>
      <c r="E14363" s="57"/>
      <c r="H14363" s="18"/>
    </row>
    <row r="14364">
      <c r="C14364" s="18"/>
      <c r="D14364" s="19"/>
      <c r="E14364" s="57"/>
      <c r="H14364" s="18"/>
    </row>
    <row r="14365">
      <c r="C14365" s="18"/>
      <c r="D14365" s="19"/>
      <c r="E14365" s="57"/>
      <c r="H14365" s="18"/>
    </row>
    <row r="14366">
      <c r="C14366" s="18"/>
      <c r="D14366" s="19"/>
      <c r="E14366" s="57"/>
      <c r="H14366" s="18"/>
    </row>
    <row r="14367">
      <c r="C14367" s="18"/>
      <c r="D14367" s="19"/>
      <c r="E14367" s="57"/>
      <c r="H14367" s="18"/>
    </row>
    <row r="14368">
      <c r="C14368" s="18"/>
      <c r="D14368" s="19"/>
      <c r="E14368" s="57"/>
      <c r="H14368" s="18"/>
    </row>
    <row r="14369">
      <c r="C14369" s="18"/>
      <c r="D14369" s="19"/>
      <c r="E14369" s="57"/>
      <c r="H14369" s="18"/>
    </row>
    <row r="14370">
      <c r="C14370" s="18"/>
      <c r="D14370" s="19"/>
      <c r="E14370" s="57"/>
      <c r="H14370" s="18"/>
    </row>
    <row r="14371">
      <c r="C14371" s="18"/>
      <c r="D14371" s="19"/>
      <c r="E14371" s="57"/>
      <c r="H14371" s="18"/>
    </row>
    <row r="14372">
      <c r="C14372" s="18"/>
      <c r="D14372" s="19"/>
      <c r="E14372" s="57"/>
      <c r="H14372" s="18"/>
    </row>
    <row r="14373">
      <c r="C14373" s="18"/>
      <c r="D14373" s="19"/>
      <c r="E14373" s="57"/>
      <c r="H14373" s="18"/>
    </row>
    <row r="14374">
      <c r="C14374" s="18"/>
      <c r="D14374" s="19"/>
      <c r="E14374" s="57"/>
      <c r="H14374" s="18"/>
    </row>
    <row r="14375">
      <c r="C14375" s="18"/>
      <c r="D14375" s="19"/>
      <c r="E14375" s="57"/>
      <c r="H14375" s="18"/>
    </row>
    <row r="14376">
      <c r="C14376" s="18"/>
      <c r="D14376" s="19"/>
      <c r="E14376" s="57"/>
      <c r="H14376" s="18"/>
    </row>
    <row r="14377">
      <c r="C14377" s="18"/>
      <c r="D14377" s="19"/>
      <c r="E14377" s="57"/>
      <c r="H14377" s="18"/>
    </row>
    <row r="14378">
      <c r="C14378" s="18"/>
      <c r="D14378" s="19"/>
      <c r="E14378" s="57"/>
      <c r="H14378" s="18"/>
    </row>
    <row r="14379">
      <c r="C14379" s="18"/>
      <c r="D14379" s="19"/>
      <c r="E14379" s="57"/>
      <c r="H14379" s="18"/>
    </row>
    <row r="14380">
      <c r="C14380" s="18"/>
      <c r="D14380" s="19"/>
      <c r="E14380" s="57"/>
      <c r="H14380" s="18"/>
    </row>
    <row r="14381">
      <c r="C14381" s="18"/>
      <c r="D14381" s="19"/>
      <c r="E14381" s="57"/>
      <c r="H14381" s="18"/>
    </row>
    <row r="14382">
      <c r="C14382" s="18"/>
      <c r="D14382" s="19"/>
      <c r="E14382" s="57"/>
      <c r="H14382" s="18"/>
    </row>
    <row r="14383">
      <c r="C14383" s="18"/>
      <c r="D14383" s="19"/>
      <c r="E14383" s="57"/>
      <c r="H14383" s="18"/>
    </row>
    <row r="14384">
      <c r="C14384" s="18"/>
      <c r="D14384" s="19"/>
      <c r="E14384" s="57"/>
      <c r="H14384" s="18"/>
    </row>
    <row r="14385">
      <c r="C14385" s="18"/>
      <c r="D14385" s="19"/>
      <c r="E14385" s="57"/>
      <c r="H14385" s="18"/>
    </row>
    <row r="14386">
      <c r="C14386" s="18"/>
      <c r="D14386" s="19"/>
      <c r="E14386" s="57"/>
      <c r="H14386" s="18"/>
    </row>
    <row r="14387">
      <c r="C14387" s="18"/>
      <c r="D14387" s="19"/>
      <c r="E14387" s="57"/>
      <c r="H14387" s="18"/>
    </row>
    <row r="14388">
      <c r="C14388" s="18"/>
      <c r="D14388" s="19"/>
      <c r="E14388" s="57"/>
      <c r="H14388" s="18"/>
    </row>
    <row r="14389">
      <c r="C14389" s="18"/>
      <c r="D14389" s="19"/>
      <c r="E14389" s="57"/>
      <c r="H14389" s="18"/>
    </row>
    <row r="14390">
      <c r="C14390" s="18"/>
      <c r="D14390" s="19"/>
      <c r="E14390" s="57"/>
      <c r="H14390" s="18"/>
    </row>
    <row r="14391">
      <c r="C14391" s="18"/>
      <c r="D14391" s="19"/>
      <c r="E14391" s="57"/>
      <c r="H14391" s="18"/>
    </row>
    <row r="14392">
      <c r="C14392" s="18"/>
      <c r="D14392" s="19"/>
      <c r="E14392" s="57"/>
      <c r="H14392" s="18"/>
    </row>
    <row r="14393">
      <c r="C14393" s="18"/>
      <c r="D14393" s="19"/>
      <c r="E14393" s="57"/>
      <c r="H14393" s="18"/>
    </row>
    <row r="14394">
      <c r="C14394" s="18"/>
      <c r="D14394" s="19"/>
      <c r="E14394" s="57"/>
      <c r="H14394" s="18"/>
    </row>
    <row r="14395">
      <c r="C14395" s="18"/>
      <c r="D14395" s="19"/>
      <c r="E14395" s="57"/>
      <c r="H14395" s="18"/>
    </row>
    <row r="14396">
      <c r="C14396" s="18"/>
      <c r="D14396" s="19"/>
      <c r="E14396" s="57"/>
      <c r="H14396" s="18"/>
    </row>
    <row r="14397">
      <c r="C14397" s="18"/>
      <c r="D14397" s="19"/>
      <c r="E14397" s="57"/>
      <c r="H14397" s="18"/>
    </row>
    <row r="14398">
      <c r="C14398" s="18"/>
      <c r="D14398" s="19"/>
      <c r="E14398" s="57"/>
      <c r="H14398" s="18"/>
    </row>
    <row r="14399">
      <c r="C14399" s="18"/>
      <c r="D14399" s="19"/>
      <c r="E14399" s="57"/>
      <c r="H14399" s="18"/>
    </row>
    <row r="14400">
      <c r="C14400" s="18"/>
      <c r="D14400" s="19"/>
      <c r="E14400" s="57"/>
      <c r="H14400" s="18"/>
    </row>
    <row r="14401">
      <c r="C14401" s="18"/>
      <c r="D14401" s="19"/>
      <c r="E14401" s="57"/>
      <c r="H14401" s="18"/>
    </row>
    <row r="14402">
      <c r="C14402" s="18"/>
      <c r="D14402" s="19"/>
      <c r="E14402" s="57"/>
      <c r="H14402" s="18"/>
    </row>
    <row r="14403">
      <c r="C14403" s="18"/>
      <c r="D14403" s="19"/>
      <c r="E14403" s="57"/>
      <c r="H14403" s="18"/>
    </row>
    <row r="14404">
      <c r="C14404" s="18"/>
      <c r="D14404" s="19"/>
      <c r="E14404" s="57"/>
      <c r="H14404" s="18"/>
    </row>
    <row r="14405">
      <c r="C14405" s="18"/>
      <c r="D14405" s="19"/>
      <c r="E14405" s="57"/>
      <c r="H14405" s="18"/>
    </row>
    <row r="14406">
      <c r="C14406" s="18"/>
      <c r="D14406" s="19"/>
      <c r="E14406" s="57"/>
      <c r="H14406" s="18"/>
    </row>
    <row r="14407">
      <c r="C14407" s="18"/>
      <c r="D14407" s="19"/>
      <c r="E14407" s="57"/>
      <c r="H14407" s="18"/>
    </row>
    <row r="14408">
      <c r="C14408" s="18"/>
      <c r="D14408" s="19"/>
      <c r="E14408" s="57"/>
      <c r="H14408" s="18"/>
    </row>
    <row r="14409">
      <c r="C14409" s="18"/>
      <c r="D14409" s="19"/>
      <c r="E14409" s="57"/>
      <c r="H14409" s="18"/>
    </row>
    <row r="14410">
      <c r="C14410" s="18"/>
      <c r="D14410" s="19"/>
      <c r="E14410" s="57"/>
      <c r="H14410" s="18"/>
    </row>
    <row r="14411">
      <c r="C14411" s="18"/>
      <c r="D14411" s="19"/>
      <c r="E14411" s="57"/>
      <c r="H14411" s="18"/>
    </row>
    <row r="14412">
      <c r="C14412" s="18"/>
      <c r="D14412" s="19"/>
      <c r="E14412" s="57"/>
      <c r="H14412" s="18"/>
    </row>
    <row r="14413">
      <c r="C14413" s="18"/>
      <c r="D14413" s="19"/>
      <c r="E14413" s="57"/>
      <c r="H14413" s="18"/>
    </row>
    <row r="14414">
      <c r="C14414" s="18"/>
      <c r="D14414" s="19"/>
      <c r="E14414" s="57"/>
      <c r="H14414" s="18"/>
    </row>
    <row r="14415">
      <c r="C14415" s="18"/>
      <c r="D14415" s="19"/>
      <c r="E14415" s="57"/>
      <c r="H14415" s="18"/>
    </row>
    <row r="14416">
      <c r="C14416" s="18"/>
      <c r="D14416" s="19"/>
      <c r="E14416" s="57"/>
      <c r="H14416" s="18"/>
    </row>
    <row r="14417">
      <c r="C14417" s="18"/>
      <c r="D14417" s="19"/>
      <c r="E14417" s="57"/>
      <c r="H14417" s="18"/>
    </row>
    <row r="14418">
      <c r="C14418" s="18"/>
      <c r="D14418" s="19"/>
      <c r="E14418" s="57"/>
      <c r="H14418" s="18"/>
    </row>
    <row r="14419">
      <c r="C14419" s="18"/>
      <c r="D14419" s="19"/>
      <c r="E14419" s="57"/>
      <c r="H14419" s="18"/>
    </row>
    <row r="14420">
      <c r="C14420" s="18"/>
      <c r="D14420" s="19"/>
      <c r="E14420" s="57"/>
      <c r="H14420" s="18"/>
    </row>
    <row r="14421">
      <c r="C14421" s="18"/>
      <c r="D14421" s="19"/>
      <c r="E14421" s="57"/>
      <c r="H14421" s="18"/>
    </row>
    <row r="14422">
      <c r="C14422" s="18"/>
      <c r="D14422" s="19"/>
      <c r="E14422" s="57"/>
      <c r="H14422" s="18"/>
    </row>
    <row r="14423">
      <c r="C14423" s="18"/>
      <c r="D14423" s="19"/>
      <c r="E14423" s="57"/>
      <c r="H14423" s="18"/>
    </row>
    <row r="14424">
      <c r="C14424" s="18"/>
      <c r="D14424" s="19"/>
      <c r="E14424" s="57"/>
      <c r="H14424" s="18"/>
    </row>
    <row r="14425">
      <c r="C14425" s="18"/>
      <c r="D14425" s="19"/>
      <c r="E14425" s="57"/>
      <c r="H14425" s="18"/>
    </row>
    <row r="14426">
      <c r="C14426" s="18"/>
      <c r="D14426" s="19"/>
      <c r="E14426" s="57"/>
      <c r="H14426" s="18"/>
    </row>
    <row r="14427">
      <c r="C14427" s="18"/>
      <c r="D14427" s="19"/>
      <c r="E14427" s="57"/>
      <c r="H14427" s="18"/>
    </row>
    <row r="14428">
      <c r="C14428" s="18"/>
      <c r="D14428" s="19"/>
      <c r="E14428" s="57"/>
      <c r="H14428" s="18"/>
    </row>
    <row r="14429">
      <c r="C14429" s="18"/>
      <c r="D14429" s="19"/>
      <c r="E14429" s="57"/>
      <c r="H14429" s="18"/>
    </row>
    <row r="14430">
      <c r="C14430" s="18"/>
      <c r="D14430" s="19"/>
      <c r="E14430" s="57"/>
      <c r="H14430" s="18"/>
    </row>
    <row r="14431">
      <c r="C14431" s="18"/>
      <c r="D14431" s="19"/>
      <c r="E14431" s="57"/>
      <c r="H14431" s="18"/>
    </row>
    <row r="14432">
      <c r="C14432" s="18"/>
      <c r="D14432" s="19"/>
      <c r="E14432" s="57"/>
      <c r="H14432" s="18"/>
    </row>
    <row r="14433">
      <c r="C14433" s="18"/>
      <c r="D14433" s="19"/>
      <c r="E14433" s="57"/>
      <c r="H14433" s="18"/>
    </row>
    <row r="14434">
      <c r="C14434" s="18"/>
      <c r="D14434" s="19"/>
      <c r="E14434" s="57"/>
      <c r="H14434" s="18"/>
    </row>
    <row r="14435">
      <c r="C14435" s="18"/>
      <c r="D14435" s="19"/>
      <c r="E14435" s="57"/>
      <c r="H14435" s="18"/>
    </row>
    <row r="14436">
      <c r="C14436" s="18"/>
      <c r="D14436" s="19"/>
      <c r="E14436" s="57"/>
      <c r="H14436" s="18"/>
    </row>
    <row r="14437">
      <c r="C14437" s="18"/>
      <c r="D14437" s="19"/>
      <c r="E14437" s="57"/>
      <c r="H14437" s="18"/>
    </row>
    <row r="14438">
      <c r="C14438" s="18"/>
      <c r="D14438" s="19"/>
      <c r="E14438" s="57"/>
      <c r="H14438" s="18"/>
    </row>
    <row r="14439">
      <c r="C14439" s="18"/>
      <c r="D14439" s="19"/>
      <c r="E14439" s="57"/>
      <c r="H14439" s="18"/>
    </row>
    <row r="14440">
      <c r="C14440" s="18"/>
      <c r="D14440" s="19"/>
      <c r="E14440" s="57"/>
      <c r="H14440" s="18"/>
    </row>
    <row r="14441">
      <c r="C14441" s="18"/>
      <c r="D14441" s="19"/>
      <c r="E14441" s="57"/>
      <c r="H14441" s="18"/>
    </row>
    <row r="14442">
      <c r="C14442" s="18"/>
      <c r="D14442" s="19"/>
      <c r="E14442" s="57"/>
      <c r="H14442" s="18"/>
    </row>
    <row r="14443">
      <c r="C14443" s="18"/>
      <c r="D14443" s="19"/>
      <c r="E14443" s="57"/>
      <c r="H14443" s="18"/>
    </row>
    <row r="14444">
      <c r="C14444" s="18"/>
      <c r="D14444" s="19"/>
      <c r="E14444" s="57"/>
      <c r="H14444" s="18"/>
    </row>
    <row r="14445">
      <c r="C14445" s="18"/>
      <c r="D14445" s="19"/>
      <c r="E14445" s="57"/>
      <c r="H14445" s="18"/>
    </row>
    <row r="14446">
      <c r="C14446" s="18"/>
      <c r="D14446" s="19"/>
      <c r="E14446" s="57"/>
      <c r="H14446" s="18"/>
    </row>
    <row r="14447">
      <c r="C14447" s="18"/>
      <c r="D14447" s="19"/>
      <c r="E14447" s="57"/>
      <c r="H14447" s="18"/>
    </row>
    <row r="14448">
      <c r="C14448" s="18"/>
      <c r="D14448" s="19"/>
      <c r="E14448" s="57"/>
      <c r="H14448" s="18"/>
    </row>
    <row r="14449">
      <c r="C14449" s="18"/>
      <c r="D14449" s="19"/>
      <c r="E14449" s="57"/>
      <c r="H14449" s="18"/>
    </row>
    <row r="14450">
      <c r="C14450" s="18"/>
      <c r="D14450" s="19"/>
      <c r="E14450" s="57"/>
      <c r="H14450" s="18"/>
    </row>
    <row r="14451">
      <c r="C14451" s="18"/>
      <c r="D14451" s="19"/>
      <c r="E14451" s="57"/>
      <c r="H14451" s="18"/>
    </row>
    <row r="14452">
      <c r="C14452" s="18"/>
      <c r="D14452" s="19"/>
      <c r="E14452" s="57"/>
      <c r="H14452" s="18"/>
    </row>
    <row r="14453">
      <c r="C14453" s="18"/>
      <c r="D14453" s="19"/>
      <c r="E14453" s="57"/>
      <c r="H14453" s="18"/>
    </row>
    <row r="14454">
      <c r="C14454" s="18"/>
      <c r="D14454" s="19"/>
      <c r="E14454" s="57"/>
      <c r="H14454" s="18"/>
    </row>
    <row r="14455">
      <c r="C14455" s="18"/>
      <c r="D14455" s="19"/>
      <c r="E14455" s="57"/>
      <c r="H14455" s="18"/>
    </row>
    <row r="14456">
      <c r="C14456" s="18"/>
      <c r="D14456" s="19"/>
      <c r="E14456" s="57"/>
      <c r="H14456" s="18"/>
    </row>
    <row r="14457">
      <c r="C14457" s="18"/>
      <c r="D14457" s="19"/>
      <c r="E14457" s="57"/>
      <c r="H14457" s="18"/>
    </row>
    <row r="14458">
      <c r="C14458" s="18"/>
      <c r="D14458" s="19"/>
      <c r="E14458" s="57"/>
      <c r="H14458" s="18"/>
    </row>
    <row r="14459">
      <c r="C14459" s="18"/>
      <c r="D14459" s="19"/>
      <c r="E14459" s="57"/>
      <c r="H14459" s="18"/>
    </row>
    <row r="14460">
      <c r="C14460" s="18"/>
      <c r="D14460" s="19"/>
      <c r="E14460" s="57"/>
      <c r="H14460" s="18"/>
    </row>
    <row r="14461">
      <c r="C14461" s="18"/>
      <c r="D14461" s="19"/>
      <c r="E14461" s="57"/>
      <c r="H14461" s="18"/>
    </row>
    <row r="14462">
      <c r="C14462" s="18"/>
      <c r="D14462" s="19"/>
      <c r="E14462" s="57"/>
      <c r="H14462" s="18"/>
    </row>
    <row r="14463">
      <c r="C14463" s="18"/>
      <c r="D14463" s="19"/>
      <c r="E14463" s="57"/>
      <c r="H14463" s="18"/>
    </row>
    <row r="14464">
      <c r="C14464" s="18"/>
      <c r="D14464" s="19"/>
      <c r="E14464" s="57"/>
      <c r="H14464" s="18"/>
    </row>
    <row r="14465">
      <c r="C14465" s="18"/>
      <c r="D14465" s="19"/>
      <c r="E14465" s="57"/>
      <c r="H14465" s="18"/>
    </row>
    <row r="14466">
      <c r="C14466" s="18"/>
      <c r="D14466" s="19"/>
      <c r="E14466" s="57"/>
      <c r="H14466" s="18"/>
    </row>
    <row r="14467">
      <c r="C14467" s="18"/>
      <c r="D14467" s="19"/>
      <c r="E14467" s="57"/>
      <c r="H14467" s="18"/>
    </row>
    <row r="14468">
      <c r="C14468" s="18"/>
      <c r="D14468" s="19"/>
      <c r="E14468" s="57"/>
      <c r="H14468" s="18"/>
    </row>
    <row r="14469">
      <c r="C14469" s="18"/>
      <c r="D14469" s="19"/>
      <c r="E14469" s="57"/>
      <c r="H14469" s="18"/>
    </row>
    <row r="14470">
      <c r="C14470" s="18"/>
      <c r="D14470" s="19"/>
      <c r="E14470" s="57"/>
      <c r="H14470" s="18"/>
    </row>
    <row r="14471">
      <c r="C14471" s="18"/>
      <c r="D14471" s="19"/>
      <c r="E14471" s="57"/>
      <c r="H14471" s="18"/>
    </row>
    <row r="14472">
      <c r="C14472" s="18"/>
      <c r="D14472" s="19"/>
      <c r="E14472" s="57"/>
      <c r="H14472" s="18"/>
    </row>
    <row r="14473">
      <c r="C14473" s="18"/>
      <c r="D14473" s="19"/>
      <c r="E14473" s="57"/>
      <c r="H14473" s="18"/>
    </row>
    <row r="14474">
      <c r="C14474" s="18"/>
      <c r="D14474" s="19"/>
      <c r="E14474" s="57"/>
      <c r="H14474" s="18"/>
    </row>
    <row r="14475">
      <c r="C14475" s="18"/>
      <c r="D14475" s="19"/>
      <c r="E14475" s="57"/>
      <c r="H14475" s="18"/>
    </row>
    <row r="14476">
      <c r="C14476" s="18"/>
      <c r="D14476" s="19"/>
      <c r="E14476" s="57"/>
      <c r="H14476" s="18"/>
    </row>
    <row r="14477">
      <c r="C14477" s="18"/>
      <c r="D14477" s="19"/>
      <c r="E14477" s="57"/>
      <c r="H14477" s="18"/>
    </row>
    <row r="14478">
      <c r="C14478" s="18"/>
      <c r="D14478" s="19"/>
      <c r="E14478" s="57"/>
      <c r="H14478" s="18"/>
    </row>
    <row r="14479">
      <c r="C14479" s="18"/>
      <c r="D14479" s="19"/>
      <c r="E14479" s="57"/>
      <c r="H14479" s="18"/>
    </row>
    <row r="14480">
      <c r="C14480" s="18"/>
      <c r="D14480" s="19"/>
      <c r="E14480" s="57"/>
      <c r="H14480" s="18"/>
    </row>
    <row r="14481">
      <c r="C14481" s="18"/>
      <c r="D14481" s="19"/>
      <c r="E14481" s="57"/>
      <c r="H14481" s="18"/>
    </row>
    <row r="14482">
      <c r="C14482" s="18"/>
      <c r="D14482" s="19"/>
      <c r="E14482" s="57"/>
      <c r="H14482" s="18"/>
    </row>
    <row r="14483">
      <c r="C14483" s="18"/>
      <c r="D14483" s="19"/>
      <c r="E14483" s="57"/>
      <c r="H14483" s="18"/>
    </row>
    <row r="14484">
      <c r="C14484" s="18"/>
      <c r="D14484" s="19"/>
      <c r="E14484" s="57"/>
      <c r="H14484" s="18"/>
    </row>
    <row r="14485">
      <c r="C14485" s="18"/>
      <c r="D14485" s="19"/>
      <c r="E14485" s="57"/>
      <c r="H14485" s="18"/>
    </row>
    <row r="14486">
      <c r="C14486" s="18"/>
      <c r="D14486" s="19"/>
      <c r="E14486" s="57"/>
      <c r="H14486" s="18"/>
    </row>
    <row r="14487">
      <c r="C14487" s="18"/>
      <c r="D14487" s="19"/>
      <c r="E14487" s="57"/>
      <c r="H14487" s="18"/>
    </row>
    <row r="14488">
      <c r="C14488" s="18"/>
      <c r="D14488" s="19"/>
      <c r="E14488" s="57"/>
      <c r="H14488" s="18"/>
    </row>
    <row r="14489">
      <c r="C14489" s="18"/>
      <c r="D14489" s="19"/>
      <c r="E14489" s="57"/>
      <c r="H14489" s="18"/>
    </row>
    <row r="14490">
      <c r="C14490" s="18"/>
      <c r="D14490" s="19"/>
      <c r="E14490" s="57"/>
      <c r="H14490" s="18"/>
    </row>
    <row r="14491">
      <c r="C14491" s="18"/>
      <c r="D14491" s="19"/>
      <c r="E14491" s="57"/>
      <c r="H14491" s="18"/>
    </row>
    <row r="14492">
      <c r="C14492" s="18"/>
      <c r="D14492" s="19"/>
      <c r="E14492" s="57"/>
      <c r="H14492" s="18"/>
    </row>
    <row r="14493">
      <c r="C14493" s="18"/>
      <c r="D14493" s="19"/>
      <c r="E14493" s="57"/>
      <c r="H14493" s="18"/>
    </row>
    <row r="14494">
      <c r="C14494" s="18"/>
      <c r="D14494" s="19"/>
      <c r="E14494" s="57"/>
      <c r="H14494" s="18"/>
    </row>
    <row r="14495">
      <c r="C14495" s="18"/>
      <c r="D14495" s="19"/>
      <c r="E14495" s="57"/>
      <c r="H14495" s="18"/>
    </row>
    <row r="14496">
      <c r="C14496" s="18"/>
      <c r="D14496" s="19"/>
      <c r="E14496" s="57"/>
      <c r="H14496" s="18"/>
    </row>
    <row r="14497">
      <c r="C14497" s="18"/>
      <c r="D14497" s="19"/>
      <c r="E14497" s="57"/>
      <c r="H14497" s="18"/>
    </row>
    <row r="14498">
      <c r="C14498" s="18"/>
      <c r="D14498" s="19"/>
      <c r="E14498" s="57"/>
      <c r="H14498" s="18"/>
    </row>
    <row r="14499">
      <c r="C14499" s="18"/>
      <c r="D14499" s="19"/>
      <c r="E14499" s="57"/>
      <c r="H14499" s="18"/>
    </row>
    <row r="14500">
      <c r="C14500" s="18"/>
      <c r="D14500" s="19"/>
      <c r="E14500" s="57"/>
      <c r="H14500" s="18"/>
    </row>
    <row r="14501">
      <c r="C14501" s="18"/>
      <c r="D14501" s="19"/>
      <c r="E14501" s="57"/>
      <c r="H14501" s="18"/>
    </row>
    <row r="14502">
      <c r="C14502" s="18"/>
      <c r="D14502" s="19"/>
      <c r="E14502" s="57"/>
      <c r="H14502" s="18"/>
    </row>
    <row r="14503">
      <c r="C14503" s="18"/>
      <c r="D14503" s="19"/>
      <c r="E14503" s="57"/>
      <c r="H14503" s="18"/>
    </row>
    <row r="14504">
      <c r="C14504" s="18"/>
      <c r="D14504" s="19"/>
      <c r="E14504" s="57"/>
      <c r="H14504" s="18"/>
    </row>
    <row r="14505">
      <c r="C14505" s="18"/>
      <c r="D14505" s="19"/>
      <c r="E14505" s="57"/>
      <c r="H14505" s="18"/>
    </row>
    <row r="14506">
      <c r="C14506" s="18"/>
      <c r="D14506" s="19"/>
      <c r="E14506" s="57"/>
      <c r="H14506" s="18"/>
    </row>
    <row r="14507">
      <c r="C14507" s="18"/>
      <c r="D14507" s="19"/>
      <c r="E14507" s="57"/>
      <c r="H14507" s="18"/>
    </row>
    <row r="14508">
      <c r="C14508" s="18"/>
      <c r="D14508" s="19"/>
      <c r="E14508" s="57"/>
      <c r="H14508" s="18"/>
    </row>
    <row r="14509">
      <c r="C14509" s="18"/>
      <c r="D14509" s="19"/>
      <c r="E14509" s="57"/>
      <c r="H14509" s="18"/>
    </row>
    <row r="14510">
      <c r="C14510" s="18"/>
      <c r="D14510" s="19"/>
      <c r="E14510" s="57"/>
      <c r="H14510" s="18"/>
    </row>
    <row r="14511">
      <c r="C14511" s="18"/>
      <c r="D14511" s="19"/>
      <c r="E14511" s="57"/>
      <c r="H14511" s="18"/>
    </row>
    <row r="14512">
      <c r="C14512" s="18"/>
      <c r="D14512" s="19"/>
      <c r="E14512" s="57"/>
      <c r="H14512" s="18"/>
    </row>
    <row r="14513">
      <c r="C14513" s="18"/>
      <c r="D14513" s="19"/>
      <c r="E14513" s="57"/>
      <c r="H14513" s="18"/>
    </row>
    <row r="14514">
      <c r="C14514" s="18"/>
      <c r="D14514" s="19"/>
      <c r="E14514" s="57"/>
      <c r="H14514" s="18"/>
    </row>
    <row r="14515">
      <c r="C14515" s="18"/>
      <c r="D14515" s="19"/>
      <c r="E14515" s="57"/>
      <c r="H14515" s="18"/>
    </row>
    <row r="14516">
      <c r="C14516" s="18"/>
      <c r="D14516" s="19"/>
      <c r="E14516" s="57"/>
      <c r="H14516" s="18"/>
    </row>
    <row r="14517">
      <c r="C14517" s="18"/>
      <c r="D14517" s="19"/>
      <c r="E14517" s="57"/>
      <c r="H14517" s="18"/>
    </row>
    <row r="14518">
      <c r="C14518" s="18"/>
      <c r="D14518" s="19"/>
      <c r="E14518" s="57"/>
      <c r="H14518" s="18"/>
    </row>
    <row r="14519">
      <c r="C14519" s="18"/>
      <c r="D14519" s="19"/>
      <c r="E14519" s="57"/>
      <c r="H14519" s="18"/>
    </row>
    <row r="14520">
      <c r="C14520" s="18"/>
      <c r="D14520" s="19"/>
      <c r="E14520" s="57"/>
      <c r="H14520" s="18"/>
    </row>
    <row r="14521">
      <c r="C14521" s="18"/>
      <c r="D14521" s="19"/>
      <c r="E14521" s="57"/>
      <c r="H14521" s="18"/>
    </row>
    <row r="14522">
      <c r="C14522" s="18"/>
      <c r="D14522" s="19"/>
      <c r="E14522" s="57"/>
      <c r="H14522" s="18"/>
    </row>
    <row r="14523">
      <c r="C14523" s="18"/>
      <c r="D14523" s="19"/>
      <c r="E14523" s="57"/>
      <c r="H14523" s="18"/>
    </row>
    <row r="14524">
      <c r="C14524" s="18"/>
      <c r="D14524" s="19"/>
      <c r="E14524" s="57"/>
      <c r="H14524" s="18"/>
    </row>
    <row r="14525">
      <c r="C14525" s="18"/>
      <c r="D14525" s="19"/>
      <c r="E14525" s="57"/>
      <c r="H14525" s="18"/>
    </row>
    <row r="14526">
      <c r="C14526" s="18"/>
      <c r="D14526" s="19"/>
      <c r="E14526" s="57"/>
      <c r="H14526" s="18"/>
    </row>
    <row r="14527">
      <c r="C14527" s="18"/>
      <c r="D14527" s="19"/>
      <c r="E14527" s="57"/>
      <c r="H14527" s="18"/>
    </row>
    <row r="14528">
      <c r="C14528" s="18"/>
      <c r="D14528" s="19"/>
      <c r="E14528" s="57"/>
      <c r="H14528" s="18"/>
    </row>
    <row r="14529">
      <c r="C14529" s="18"/>
      <c r="D14529" s="19"/>
      <c r="E14529" s="57"/>
      <c r="H14529" s="18"/>
    </row>
    <row r="14530">
      <c r="C14530" s="18"/>
      <c r="D14530" s="19"/>
      <c r="E14530" s="57"/>
      <c r="H14530" s="18"/>
    </row>
    <row r="14531">
      <c r="C14531" s="18"/>
      <c r="D14531" s="19"/>
      <c r="E14531" s="57"/>
      <c r="H14531" s="18"/>
    </row>
    <row r="14532">
      <c r="C14532" s="18"/>
      <c r="D14532" s="19"/>
      <c r="E14532" s="57"/>
      <c r="H14532" s="18"/>
    </row>
    <row r="14533">
      <c r="C14533" s="18"/>
      <c r="D14533" s="19"/>
      <c r="E14533" s="57"/>
      <c r="H14533" s="18"/>
    </row>
    <row r="14534">
      <c r="C14534" s="18"/>
      <c r="D14534" s="19"/>
      <c r="E14534" s="57"/>
      <c r="H14534" s="18"/>
    </row>
    <row r="14535">
      <c r="C14535" s="18"/>
      <c r="D14535" s="19"/>
      <c r="E14535" s="57"/>
      <c r="H14535" s="18"/>
    </row>
    <row r="14536">
      <c r="C14536" s="18"/>
      <c r="D14536" s="19"/>
      <c r="E14536" s="57"/>
      <c r="H14536" s="18"/>
    </row>
    <row r="14537">
      <c r="C14537" s="18"/>
      <c r="D14537" s="19"/>
      <c r="E14537" s="57"/>
      <c r="H14537" s="18"/>
    </row>
    <row r="14538">
      <c r="C14538" s="18"/>
      <c r="D14538" s="19"/>
      <c r="E14538" s="57"/>
      <c r="H14538" s="18"/>
    </row>
    <row r="14539">
      <c r="C14539" s="18"/>
      <c r="D14539" s="19"/>
      <c r="E14539" s="57"/>
      <c r="H14539" s="18"/>
    </row>
    <row r="14540">
      <c r="C14540" s="18"/>
      <c r="D14540" s="19"/>
      <c r="E14540" s="57"/>
      <c r="H14540" s="18"/>
    </row>
    <row r="14541">
      <c r="C14541" s="18"/>
      <c r="D14541" s="19"/>
      <c r="E14541" s="57"/>
      <c r="H14541" s="18"/>
    </row>
    <row r="14542">
      <c r="C14542" s="18"/>
      <c r="D14542" s="19"/>
      <c r="E14542" s="57"/>
      <c r="H14542" s="18"/>
    </row>
    <row r="14543">
      <c r="C14543" s="18"/>
      <c r="D14543" s="19"/>
      <c r="E14543" s="57"/>
      <c r="H14543" s="18"/>
    </row>
    <row r="14544">
      <c r="C14544" s="18"/>
      <c r="D14544" s="19"/>
      <c r="E14544" s="57"/>
      <c r="H14544" s="18"/>
    </row>
    <row r="14545">
      <c r="C14545" s="18"/>
      <c r="D14545" s="19"/>
      <c r="E14545" s="57"/>
      <c r="H14545" s="18"/>
    </row>
    <row r="14546">
      <c r="C14546" s="18"/>
      <c r="D14546" s="19"/>
      <c r="E14546" s="57"/>
      <c r="H14546" s="18"/>
    </row>
    <row r="14547">
      <c r="C14547" s="18"/>
      <c r="D14547" s="19"/>
      <c r="E14547" s="57"/>
      <c r="H14547" s="18"/>
    </row>
    <row r="14548">
      <c r="C14548" s="18"/>
      <c r="D14548" s="19"/>
      <c r="E14548" s="57"/>
      <c r="H14548" s="18"/>
    </row>
    <row r="14549">
      <c r="C14549" s="18"/>
      <c r="D14549" s="19"/>
      <c r="E14549" s="57"/>
      <c r="H14549" s="18"/>
    </row>
    <row r="14550">
      <c r="C14550" s="18"/>
      <c r="D14550" s="19"/>
      <c r="E14550" s="57"/>
      <c r="H14550" s="18"/>
    </row>
    <row r="14551">
      <c r="C14551" s="18"/>
      <c r="D14551" s="19"/>
      <c r="E14551" s="57"/>
      <c r="H14551" s="18"/>
    </row>
    <row r="14552">
      <c r="C14552" s="18"/>
      <c r="D14552" s="19"/>
      <c r="E14552" s="57"/>
      <c r="H14552" s="18"/>
    </row>
    <row r="14553">
      <c r="C14553" s="18"/>
      <c r="D14553" s="19"/>
      <c r="E14553" s="57"/>
      <c r="H14553" s="18"/>
    </row>
    <row r="14554">
      <c r="C14554" s="18"/>
      <c r="D14554" s="19"/>
      <c r="E14554" s="57"/>
      <c r="H14554" s="18"/>
    </row>
    <row r="14555">
      <c r="C14555" s="18"/>
      <c r="D14555" s="19"/>
      <c r="E14555" s="57"/>
      <c r="H14555" s="18"/>
    </row>
    <row r="14556">
      <c r="C14556" s="18"/>
      <c r="D14556" s="19"/>
      <c r="E14556" s="57"/>
      <c r="H14556" s="18"/>
    </row>
    <row r="14557">
      <c r="C14557" s="18"/>
      <c r="D14557" s="19"/>
      <c r="E14557" s="57"/>
      <c r="H14557" s="18"/>
    </row>
    <row r="14558">
      <c r="C14558" s="18"/>
      <c r="D14558" s="19"/>
      <c r="E14558" s="57"/>
      <c r="H14558" s="18"/>
    </row>
    <row r="14559">
      <c r="C14559" s="18"/>
      <c r="D14559" s="19"/>
      <c r="E14559" s="57"/>
      <c r="H14559" s="18"/>
    </row>
    <row r="14560">
      <c r="C14560" s="18"/>
      <c r="D14560" s="19"/>
      <c r="E14560" s="57"/>
      <c r="H14560" s="18"/>
    </row>
    <row r="14561">
      <c r="C14561" s="18"/>
      <c r="D14561" s="19"/>
      <c r="E14561" s="57"/>
      <c r="H14561" s="18"/>
    </row>
    <row r="14562">
      <c r="C14562" s="18"/>
      <c r="D14562" s="19"/>
      <c r="E14562" s="57"/>
      <c r="H14562" s="18"/>
    </row>
    <row r="14563">
      <c r="C14563" s="18"/>
      <c r="D14563" s="19"/>
      <c r="E14563" s="57"/>
      <c r="H14563" s="18"/>
    </row>
    <row r="14564">
      <c r="C14564" s="18"/>
      <c r="D14564" s="19"/>
      <c r="E14564" s="57"/>
      <c r="H14564" s="18"/>
    </row>
    <row r="14565">
      <c r="C14565" s="18"/>
      <c r="D14565" s="19"/>
      <c r="E14565" s="57"/>
      <c r="H14565" s="18"/>
    </row>
    <row r="14566">
      <c r="C14566" s="18"/>
      <c r="D14566" s="19"/>
      <c r="E14566" s="57"/>
      <c r="H14566" s="18"/>
    </row>
    <row r="14567">
      <c r="C14567" s="18"/>
      <c r="D14567" s="19"/>
      <c r="E14567" s="57"/>
      <c r="H14567" s="18"/>
    </row>
    <row r="14568">
      <c r="C14568" s="18"/>
      <c r="D14568" s="19"/>
      <c r="E14568" s="57"/>
      <c r="H14568" s="18"/>
    </row>
    <row r="14569">
      <c r="C14569" s="18"/>
      <c r="D14569" s="19"/>
      <c r="E14569" s="57"/>
      <c r="H14569" s="18"/>
    </row>
    <row r="14570">
      <c r="C14570" s="18"/>
      <c r="D14570" s="19"/>
      <c r="E14570" s="57"/>
      <c r="H14570" s="18"/>
    </row>
    <row r="14571">
      <c r="C14571" s="18"/>
      <c r="D14571" s="19"/>
      <c r="E14571" s="57"/>
      <c r="H14571" s="18"/>
    </row>
    <row r="14572">
      <c r="C14572" s="18"/>
      <c r="D14572" s="19"/>
      <c r="E14572" s="57"/>
      <c r="H14572" s="18"/>
    </row>
    <row r="14573">
      <c r="C14573" s="18"/>
      <c r="D14573" s="19"/>
      <c r="E14573" s="57"/>
      <c r="H14573" s="18"/>
    </row>
    <row r="14574">
      <c r="C14574" s="18"/>
      <c r="D14574" s="19"/>
      <c r="E14574" s="57"/>
      <c r="H14574" s="18"/>
    </row>
    <row r="14575">
      <c r="C14575" s="18"/>
      <c r="D14575" s="19"/>
      <c r="E14575" s="57"/>
      <c r="H14575" s="18"/>
    </row>
    <row r="14576">
      <c r="C14576" s="18"/>
      <c r="D14576" s="19"/>
      <c r="E14576" s="57"/>
      <c r="H14576" s="18"/>
    </row>
    <row r="14577">
      <c r="C14577" s="18"/>
      <c r="D14577" s="19"/>
      <c r="E14577" s="57"/>
      <c r="H14577" s="18"/>
    </row>
    <row r="14578">
      <c r="C14578" s="18"/>
      <c r="D14578" s="19"/>
      <c r="E14578" s="57"/>
      <c r="H14578" s="18"/>
    </row>
    <row r="14579">
      <c r="C14579" s="18"/>
      <c r="D14579" s="19"/>
      <c r="E14579" s="57"/>
      <c r="H14579" s="18"/>
    </row>
    <row r="14580">
      <c r="C14580" s="18"/>
      <c r="D14580" s="19"/>
      <c r="E14580" s="57"/>
      <c r="H14580" s="18"/>
    </row>
    <row r="14581">
      <c r="C14581" s="18"/>
      <c r="D14581" s="19"/>
      <c r="E14581" s="57"/>
      <c r="H14581" s="18"/>
    </row>
    <row r="14582">
      <c r="C14582" s="18"/>
      <c r="D14582" s="19"/>
      <c r="E14582" s="57"/>
      <c r="H14582" s="18"/>
    </row>
    <row r="14583">
      <c r="C14583" s="18"/>
      <c r="D14583" s="19"/>
      <c r="E14583" s="57"/>
      <c r="H14583" s="18"/>
    </row>
    <row r="14584">
      <c r="C14584" s="18"/>
      <c r="D14584" s="19"/>
      <c r="E14584" s="57"/>
      <c r="H14584" s="18"/>
    </row>
    <row r="14585">
      <c r="C14585" s="18"/>
      <c r="D14585" s="19"/>
      <c r="E14585" s="57"/>
      <c r="H14585" s="18"/>
    </row>
    <row r="14586">
      <c r="C14586" s="18"/>
      <c r="D14586" s="19"/>
      <c r="E14586" s="57"/>
      <c r="H14586" s="18"/>
    </row>
    <row r="14587">
      <c r="C14587" s="18"/>
      <c r="D14587" s="19"/>
      <c r="E14587" s="57"/>
      <c r="H14587" s="18"/>
    </row>
    <row r="14588">
      <c r="C14588" s="18"/>
      <c r="D14588" s="19"/>
      <c r="E14588" s="57"/>
      <c r="H14588" s="18"/>
    </row>
    <row r="14589">
      <c r="C14589" s="18"/>
      <c r="D14589" s="19"/>
      <c r="E14589" s="57"/>
      <c r="H14589" s="18"/>
    </row>
    <row r="14590">
      <c r="C14590" s="18"/>
      <c r="D14590" s="19"/>
      <c r="E14590" s="57"/>
      <c r="H14590" s="18"/>
    </row>
    <row r="14591">
      <c r="C14591" s="18"/>
      <c r="D14591" s="19"/>
      <c r="E14591" s="57"/>
      <c r="H14591" s="18"/>
    </row>
    <row r="14592">
      <c r="C14592" s="18"/>
      <c r="D14592" s="19"/>
      <c r="E14592" s="57"/>
      <c r="H14592" s="18"/>
    </row>
    <row r="14593">
      <c r="C14593" s="18"/>
      <c r="D14593" s="19"/>
      <c r="E14593" s="57"/>
      <c r="H14593" s="18"/>
    </row>
    <row r="14594">
      <c r="C14594" s="18"/>
      <c r="D14594" s="19"/>
      <c r="E14594" s="57"/>
      <c r="H14594" s="18"/>
    </row>
    <row r="14595">
      <c r="C14595" s="18"/>
      <c r="D14595" s="19"/>
      <c r="E14595" s="57"/>
      <c r="H14595" s="18"/>
    </row>
    <row r="14596">
      <c r="C14596" s="18"/>
      <c r="D14596" s="19"/>
      <c r="E14596" s="57"/>
      <c r="H14596" s="18"/>
    </row>
    <row r="14597">
      <c r="C14597" s="18"/>
      <c r="D14597" s="19"/>
      <c r="E14597" s="57"/>
      <c r="H14597" s="18"/>
    </row>
    <row r="14598">
      <c r="C14598" s="18"/>
      <c r="D14598" s="19"/>
      <c r="E14598" s="57"/>
      <c r="H14598" s="18"/>
    </row>
    <row r="14599">
      <c r="C14599" s="18"/>
      <c r="D14599" s="19"/>
      <c r="E14599" s="57"/>
      <c r="H14599" s="18"/>
    </row>
    <row r="14600">
      <c r="C14600" s="18"/>
      <c r="D14600" s="19"/>
      <c r="E14600" s="57"/>
      <c r="H14600" s="18"/>
    </row>
    <row r="14601">
      <c r="C14601" s="18"/>
      <c r="D14601" s="19"/>
      <c r="E14601" s="57"/>
      <c r="H14601" s="18"/>
    </row>
    <row r="14602">
      <c r="C14602" s="18"/>
      <c r="D14602" s="19"/>
      <c r="E14602" s="57"/>
      <c r="H14602" s="18"/>
    </row>
    <row r="14603">
      <c r="C14603" s="18"/>
      <c r="D14603" s="19"/>
      <c r="E14603" s="57"/>
      <c r="H14603" s="18"/>
    </row>
    <row r="14604">
      <c r="C14604" s="18"/>
      <c r="D14604" s="19"/>
      <c r="E14604" s="57"/>
      <c r="H14604" s="18"/>
    </row>
    <row r="14605">
      <c r="C14605" s="18"/>
      <c r="D14605" s="19"/>
      <c r="E14605" s="57"/>
      <c r="H14605" s="18"/>
    </row>
    <row r="14606">
      <c r="C14606" s="18"/>
      <c r="D14606" s="19"/>
      <c r="E14606" s="57"/>
      <c r="H14606" s="18"/>
    </row>
    <row r="14607">
      <c r="C14607" s="18"/>
      <c r="D14607" s="19"/>
      <c r="E14607" s="57"/>
      <c r="H14607" s="18"/>
    </row>
    <row r="14608">
      <c r="C14608" s="18"/>
      <c r="D14608" s="19"/>
      <c r="E14608" s="57"/>
      <c r="H14608" s="18"/>
    </row>
    <row r="14609">
      <c r="C14609" s="18"/>
      <c r="D14609" s="19"/>
      <c r="E14609" s="57"/>
      <c r="H14609" s="18"/>
    </row>
    <row r="14610">
      <c r="C14610" s="18"/>
      <c r="D14610" s="19"/>
      <c r="E14610" s="57"/>
      <c r="H14610" s="18"/>
    </row>
    <row r="14611">
      <c r="C14611" s="18"/>
      <c r="D14611" s="19"/>
      <c r="E14611" s="57"/>
      <c r="H14611" s="18"/>
    </row>
    <row r="14612">
      <c r="C14612" s="18"/>
      <c r="D14612" s="19"/>
      <c r="E14612" s="57"/>
      <c r="H14612" s="18"/>
    </row>
    <row r="14613">
      <c r="C14613" s="18"/>
      <c r="D14613" s="19"/>
      <c r="E14613" s="57"/>
      <c r="H14613" s="18"/>
    </row>
    <row r="14614">
      <c r="C14614" s="18"/>
      <c r="D14614" s="19"/>
      <c r="E14614" s="57"/>
      <c r="H14614" s="18"/>
    </row>
    <row r="14615">
      <c r="C14615" s="18"/>
      <c r="D14615" s="19"/>
      <c r="E14615" s="57"/>
      <c r="H14615" s="18"/>
    </row>
    <row r="14616">
      <c r="C14616" s="18"/>
      <c r="D14616" s="19"/>
      <c r="E14616" s="57"/>
      <c r="H14616" s="18"/>
    </row>
    <row r="14617">
      <c r="C14617" s="18"/>
      <c r="D14617" s="19"/>
      <c r="E14617" s="57"/>
      <c r="H14617" s="18"/>
    </row>
    <row r="14618">
      <c r="C14618" s="18"/>
      <c r="D14618" s="19"/>
      <c r="E14618" s="57"/>
      <c r="H14618" s="18"/>
    </row>
    <row r="14619">
      <c r="C14619" s="18"/>
      <c r="D14619" s="19"/>
      <c r="E14619" s="57"/>
      <c r="H14619" s="18"/>
    </row>
    <row r="14620">
      <c r="C14620" s="18"/>
      <c r="D14620" s="19"/>
      <c r="E14620" s="57"/>
      <c r="H14620" s="18"/>
    </row>
    <row r="14621">
      <c r="C14621" s="18"/>
      <c r="D14621" s="19"/>
      <c r="E14621" s="57"/>
      <c r="H14621" s="18"/>
    </row>
    <row r="14622">
      <c r="C14622" s="18"/>
      <c r="D14622" s="19"/>
      <c r="E14622" s="57"/>
      <c r="H14622" s="18"/>
    </row>
    <row r="14623">
      <c r="C14623" s="18"/>
      <c r="D14623" s="19"/>
      <c r="E14623" s="57"/>
      <c r="H14623" s="18"/>
    </row>
    <row r="14624">
      <c r="C14624" s="18"/>
      <c r="D14624" s="19"/>
      <c r="E14624" s="57"/>
      <c r="H14624" s="18"/>
    </row>
    <row r="14625">
      <c r="C14625" s="18"/>
      <c r="D14625" s="19"/>
      <c r="E14625" s="57"/>
      <c r="H14625" s="18"/>
    </row>
    <row r="14626">
      <c r="C14626" s="18"/>
      <c r="D14626" s="19"/>
      <c r="E14626" s="57"/>
      <c r="H14626" s="18"/>
    </row>
    <row r="14627">
      <c r="C14627" s="18"/>
      <c r="D14627" s="19"/>
      <c r="E14627" s="57"/>
      <c r="H14627" s="18"/>
    </row>
    <row r="14628">
      <c r="C14628" s="18"/>
      <c r="D14628" s="19"/>
      <c r="E14628" s="57"/>
      <c r="H14628" s="18"/>
    </row>
    <row r="14629">
      <c r="C14629" s="18"/>
      <c r="D14629" s="19"/>
      <c r="E14629" s="57"/>
      <c r="H14629" s="18"/>
    </row>
    <row r="14630">
      <c r="C14630" s="18"/>
      <c r="D14630" s="19"/>
      <c r="E14630" s="57"/>
      <c r="H14630" s="18"/>
    </row>
    <row r="14631">
      <c r="C14631" s="18"/>
      <c r="D14631" s="19"/>
      <c r="E14631" s="57"/>
      <c r="H14631" s="18"/>
    </row>
    <row r="14632">
      <c r="C14632" s="18"/>
      <c r="D14632" s="19"/>
      <c r="E14632" s="57"/>
      <c r="H14632" s="18"/>
    </row>
    <row r="14633">
      <c r="C14633" s="18"/>
      <c r="D14633" s="19"/>
      <c r="E14633" s="57"/>
      <c r="H14633" s="18"/>
    </row>
    <row r="14634">
      <c r="C14634" s="18"/>
      <c r="D14634" s="19"/>
      <c r="E14634" s="57"/>
      <c r="H14634" s="18"/>
    </row>
    <row r="14635">
      <c r="C14635" s="18"/>
      <c r="D14635" s="19"/>
      <c r="E14635" s="57"/>
      <c r="H14635" s="18"/>
    </row>
    <row r="14636">
      <c r="C14636" s="18"/>
      <c r="D14636" s="19"/>
      <c r="E14636" s="57"/>
      <c r="H14636" s="18"/>
    </row>
    <row r="14637">
      <c r="C14637" s="18"/>
      <c r="D14637" s="19"/>
      <c r="E14637" s="57"/>
      <c r="H14637" s="18"/>
    </row>
    <row r="14638">
      <c r="C14638" s="18"/>
      <c r="D14638" s="19"/>
      <c r="E14638" s="57"/>
      <c r="H14638" s="18"/>
    </row>
    <row r="14639">
      <c r="C14639" s="18"/>
      <c r="D14639" s="19"/>
      <c r="E14639" s="57"/>
      <c r="H14639" s="18"/>
    </row>
    <row r="14640">
      <c r="C14640" s="18"/>
      <c r="D14640" s="19"/>
      <c r="E14640" s="57"/>
      <c r="H14640" s="18"/>
    </row>
    <row r="14641">
      <c r="C14641" s="18"/>
      <c r="D14641" s="19"/>
      <c r="E14641" s="57"/>
      <c r="H14641" s="18"/>
    </row>
    <row r="14642">
      <c r="C14642" s="18"/>
      <c r="D14642" s="19"/>
      <c r="E14642" s="57"/>
      <c r="H14642" s="18"/>
    </row>
    <row r="14643">
      <c r="C14643" s="18"/>
      <c r="D14643" s="19"/>
      <c r="E14643" s="57"/>
      <c r="H14643" s="18"/>
    </row>
    <row r="14644">
      <c r="C14644" s="18"/>
      <c r="D14644" s="19"/>
      <c r="E14644" s="57"/>
      <c r="H14644" s="18"/>
    </row>
    <row r="14645">
      <c r="C14645" s="18"/>
      <c r="D14645" s="19"/>
      <c r="E14645" s="57"/>
      <c r="H14645" s="18"/>
    </row>
    <row r="14646">
      <c r="C14646" s="18"/>
      <c r="D14646" s="19"/>
      <c r="E14646" s="57"/>
      <c r="H14646" s="18"/>
    </row>
    <row r="14647">
      <c r="C14647" s="18"/>
      <c r="D14647" s="19"/>
      <c r="E14647" s="57"/>
      <c r="H14647" s="18"/>
    </row>
    <row r="14648">
      <c r="C14648" s="18"/>
      <c r="D14648" s="19"/>
      <c r="E14648" s="57"/>
      <c r="H14648" s="18"/>
    </row>
    <row r="14649">
      <c r="C14649" s="18"/>
      <c r="D14649" s="19"/>
      <c r="E14649" s="57"/>
      <c r="H14649" s="18"/>
    </row>
    <row r="14650">
      <c r="C14650" s="18"/>
      <c r="D14650" s="19"/>
      <c r="E14650" s="57"/>
      <c r="H14650" s="18"/>
    </row>
    <row r="14651">
      <c r="C14651" s="18"/>
      <c r="D14651" s="19"/>
      <c r="E14651" s="57"/>
      <c r="H14651" s="18"/>
    </row>
    <row r="14652">
      <c r="C14652" s="18"/>
      <c r="D14652" s="19"/>
      <c r="E14652" s="57"/>
      <c r="H14652" s="18"/>
    </row>
    <row r="14653">
      <c r="C14653" s="18"/>
      <c r="D14653" s="19"/>
      <c r="E14653" s="57"/>
      <c r="H14653" s="18"/>
    </row>
    <row r="14654">
      <c r="C14654" s="18"/>
      <c r="D14654" s="19"/>
      <c r="E14654" s="57"/>
      <c r="H14654" s="18"/>
    </row>
    <row r="14655">
      <c r="C14655" s="18"/>
      <c r="D14655" s="19"/>
      <c r="E14655" s="57"/>
      <c r="H14655" s="18"/>
    </row>
    <row r="14656">
      <c r="C14656" s="18"/>
      <c r="D14656" s="19"/>
      <c r="E14656" s="57"/>
      <c r="H14656" s="18"/>
    </row>
    <row r="14657">
      <c r="C14657" s="18"/>
      <c r="D14657" s="19"/>
      <c r="E14657" s="57"/>
      <c r="H14657" s="18"/>
    </row>
    <row r="14658">
      <c r="C14658" s="18"/>
      <c r="D14658" s="19"/>
      <c r="E14658" s="57"/>
      <c r="H14658" s="18"/>
    </row>
    <row r="14659">
      <c r="C14659" s="18"/>
      <c r="D14659" s="19"/>
      <c r="E14659" s="57"/>
      <c r="H14659" s="18"/>
    </row>
    <row r="14660">
      <c r="C14660" s="18"/>
      <c r="D14660" s="19"/>
      <c r="E14660" s="57"/>
      <c r="H14660" s="18"/>
    </row>
    <row r="14661">
      <c r="C14661" s="18"/>
      <c r="D14661" s="19"/>
      <c r="E14661" s="57"/>
      <c r="H14661" s="18"/>
    </row>
    <row r="14662">
      <c r="C14662" s="18"/>
      <c r="D14662" s="19"/>
      <c r="E14662" s="57"/>
      <c r="H14662" s="18"/>
    </row>
    <row r="14663">
      <c r="C14663" s="18"/>
      <c r="D14663" s="19"/>
      <c r="E14663" s="57"/>
      <c r="H14663" s="18"/>
    </row>
    <row r="14664">
      <c r="C14664" s="18"/>
      <c r="D14664" s="19"/>
      <c r="E14664" s="57"/>
      <c r="H14664" s="18"/>
    </row>
    <row r="14665">
      <c r="C14665" s="18"/>
      <c r="D14665" s="19"/>
      <c r="E14665" s="57"/>
      <c r="H14665" s="18"/>
    </row>
    <row r="14666">
      <c r="C14666" s="18"/>
      <c r="D14666" s="19"/>
      <c r="E14666" s="57"/>
      <c r="H14666" s="18"/>
    </row>
    <row r="14667">
      <c r="C14667" s="18"/>
      <c r="D14667" s="19"/>
      <c r="E14667" s="57"/>
      <c r="H14667" s="18"/>
    </row>
    <row r="14668">
      <c r="C14668" s="18"/>
      <c r="D14668" s="19"/>
      <c r="E14668" s="57"/>
      <c r="H14668" s="18"/>
    </row>
    <row r="14669">
      <c r="C14669" s="18"/>
      <c r="D14669" s="19"/>
      <c r="E14669" s="57"/>
      <c r="H14669" s="18"/>
    </row>
    <row r="14670">
      <c r="C14670" s="18"/>
      <c r="D14670" s="19"/>
      <c r="E14670" s="57"/>
      <c r="H14670" s="18"/>
    </row>
    <row r="14671">
      <c r="C14671" s="18"/>
      <c r="D14671" s="19"/>
      <c r="E14671" s="57"/>
      <c r="H14671" s="18"/>
    </row>
    <row r="14672">
      <c r="C14672" s="18"/>
      <c r="D14672" s="19"/>
      <c r="E14672" s="57"/>
      <c r="H14672" s="18"/>
    </row>
    <row r="14673">
      <c r="C14673" s="18"/>
      <c r="D14673" s="19"/>
      <c r="E14673" s="57"/>
      <c r="H14673" s="18"/>
    </row>
    <row r="14674">
      <c r="C14674" s="18"/>
      <c r="D14674" s="19"/>
      <c r="E14674" s="57"/>
      <c r="H14674" s="18"/>
    </row>
    <row r="14675">
      <c r="C14675" s="18"/>
      <c r="D14675" s="19"/>
      <c r="E14675" s="57"/>
      <c r="H14675" s="18"/>
    </row>
    <row r="14676">
      <c r="C14676" s="18"/>
      <c r="D14676" s="19"/>
      <c r="E14676" s="57"/>
      <c r="H14676" s="18"/>
    </row>
    <row r="14677">
      <c r="C14677" s="18"/>
      <c r="D14677" s="19"/>
      <c r="E14677" s="57"/>
      <c r="H14677" s="18"/>
    </row>
    <row r="14678">
      <c r="C14678" s="18"/>
      <c r="D14678" s="19"/>
      <c r="E14678" s="57"/>
      <c r="H14678" s="18"/>
    </row>
    <row r="14679">
      <c r="C14679" s="18"/>
      <c r="D14679" s="19"/>
      <c r="E14679" s="57"/>
      <c r="H14679" s="18"/>
    </row>
    <row r="14680">
      <c r="C14680" s="18"/>
      <c r="D14680" s="19"/>
      <c r="E14680" s="57"/>
      <c r="H14680" s="18"/>
    </row>
    <row r="14681">
      <c r="C14681" s="18"/>
      <c r="D14681" s="19"/>
      <c r="E14681" s="57"/>
      <c r="H14681" s="18"/>
    </row>
    <row r="14682">
      <c r="C14682" s="18"/>
      <c r="D14682" s="19"/>
      <c r="E14682" s="57"/>
      <c r="H14682" s="18"/>
    </row>
    <row r="14683">
      <c r="C14683" s="18"/>
      <c r="D14683" s="19"/>
      <c r="E14683" s="57"/>
      <c r="H14683" s="18"/>
    </row>
    <row r="14684">
      <c r="C14684" s="18"/>
      <c r="D14684" s="19"/>
      <c r="E14684" s="57"/>
      <c r="H14684" s="18"/>
    </row>
    <row r="14685">
      <c r="C14685" s="18"/>
      <c r="D14685" s="19"/>
      <c r="E14685" s="57"/>
      <c r="H14685" s="18"/>
    </row>
    <row r="14686">
      <c r="C14686" s="18"/>
      <c r="D14686" s="19"/>
      <c r="E14686" s="57"/>
      <c r="H14686" s="18"/>
    </row>
    <row r="14687">
      <c r="C14687" s="18"/>
      <c r="D14687" s="19"/>
      <c r="E14687" s="57"/>
      <c r="H14687" s="18"/>
    </row>
    <row r="14688">
      <c r="C14688" s="18"/>
      <c r="D14688" s="19"/>
      <c r="E14688" s="57"/>
      <c r="H14688" s="18"/>
    </row>
    <row r="14689">
      <c r="C14689" s="18"/>
      <c r="D14689" s="19"/>
      <c r="E14689" s="57"/>
      <c r="H14689" s="18"/>
    </row>
    <row r="14690">
      <c r="C14690" s="18"/>
      <c r="D14690" s="19"/>
      <c r="E14690" s="57"/>
      <c r="H14690" s="18"/>
    </row>
    <row r="14691">
      <c r="C14691" s="18"/>
      <c r="D14691" s="19"/>
      <c r="E14691" s="57"/>
      <c r="H14691" s="18"/>
    </row>
    <row r="14692">
      <c r="C14692" s="18"/>
      <c r="D14692" s="19"/>
      <c r="E14692" s="57"/>
      <c r="H14692" s="18"/>
    </row>
    <row r="14693">
      <c r="C14693" s="18"/>
      <c r="D14693" s="19"/>
      <c r="E14693" s="57"/>
      <c r="H14693" s="18"/>
    </row>
    <row r="14694">
      <c r="C14694" s="18"/>
      <c r="D14694" s="19"/>
      <c r="E14694" s="57"/>
      <c r="H14694" s="18"/>
    </row>
    <row r="14695">
      <c r="C14695" s="18"/>
      <c r="D14695" s="19"/>
      <c r="E14695" s="57"/>
      <c r="H14695" s="18"/>
    </row>
    <row r="14696">
      <c r="C14696" s="18"/>
      <c r="D14696" s="19"/>
      <c r="E14696" s="57"/>
      <c r="H14696" s="18"/>
    </row>
    <row r="14697">
      <c r="C14697" s="18"/>
      <c r="D14697" s="19"/>
      <c r="E14697" s="57"/>
      <c r="H14697" s="18"/>
    </row>
    <row r="14698">
      <c r="C14698" s="18"/>
      <c r="D14698" s="19"/>
      <c r="E14698" s="57"/>
      <c r="H14698" s="18"/>
    </row>
    <row r="14699">
      <c r="C14699" s="18"/>
      <c r="D14699" s="19"/>
      <c r="E14699" s="57"/>
      <c r="H14699" s="18"/>
    </row>
    <row r="14700">
      <c r="C14700" s="18"/>
      <c r="D14700" s="19"/>
      <c r="E14700" s="57"/>
      <c r="H14700" s="18"/>
    </row>
    <row r="14701">
      <c r="C14701" s="18"/>
      <c r="D14701" s="19"/>
      <c r="E14701" s="57"/>
      <c r="H14701" s="18"/>
    </row>
    <row r="14702">
      <c r="C14702" s="18"/>
      <c r="D14702" s="19"/>
      <c r="E14702" s="57"/>
      <c r="H14702" s="18"/>
    </row>
    <row r="14703">
      <c r="C14703" s="18"/>
      <c r="D14703" s="19"/>
      <c r="E14703" s="57"/>
      <c r="H14703" s="18"/>
    </row>
    <row r="14704">
      <c r="C14704" s="18"/>
      <c r="D14704" s="19"/>
      <c r="E14704" s="57"/>
      <c r="H14704" s="18"/>
    </row>
    <row r="14705">
      <c r="C14705" s="18"/>
      <c r="D14705" s="19"/>
      <c r="E14705" s="57"/>
      <c r="H14705" s="18"/>
    </row>
    <row r="14706">
      <c r="C14706" s="18"/>
      <c r="D14706" s="19"/>
      <c r="E14706" s="57"/>
      <c r="H14706" s="18"/>
    </row>
    <row r="14707">
      <c r="C14707" s="18"/>
      <c r="D14707" s="19"/>
      <c r="E14707" s="57"/>
      <c r="H14707" s="18"/>
    </row>
    <row r="14708">
      <c r="C14708" s="18"/>
      <c r="D14708" s="19"/>
      <c r="E14708" s="57"/>
      <c r="H14708" s="18"/>
    </row>
    <row r="14709">
      <c r="C14709" s="18"/>
      <c r="D14709" s="19"/>
      <c r="E14709" s="57"/>
      <c r="H14709" s="18"/>
    </row>
    <row r="14710">
      <c r="C14710" s="18"/>
      <c r="D14710" s="19"/>
      <c r="E14710" s="57"/>
      <c r="H14710" s="18"/>
    </row>
    <row r="14711">
      <c r="C14711" s="18"/>
      <c r="D14711" s="19"/>
      <c r="E14711" s="57"/>
      <c r="H14711" s="18"/>
    </row>
    <row r="14712">
      <c r="C14712" s="18"/>
      <c r="D14712" s="19"/>
      <c r="E14712" s="57"/>
      <c r="H14712" s="18"/>
    </row>
    <row r="14713">
      <c r="C14713" s="18"/>
      <c r="D14713" s="19"/>
      <c r="E14713" s="57"/>
      <c r="H14713" s="18"/>
    </row>
    <row r="14714">
      <c r="C14714" s="18"/>
      <c r="D14714" s="19"/>
      <c r="E14714" s="57"/>
      <c r="H14714" s="18"/>
    </row>
    <row r="14715">
      <c r="C14715" s="18"/>
      <c r="D14715" s="19"/>
      <c r="E14715" s="57"/>
      <c r="H14715" s="18"/>
    </row>
    <row r="14716">
      <c r="C14716" s="18"/>
      <c r="D14716" s="19"/>
      <c r="E14716" s="57"/>
      <c r="H14716" s="18"/>
    </row>
    <row r="14717">
      <c r="C14717" s="18"/>
      <c r="D14717" s="19"/>
      <c r="E14717" s="57"/>
      <c r="H14717" s="18"/>
    </row>
    <row r="14718">
      <c r="C14718" s="18"/>
      <c r="D14718" s="19"/>
      <c r="E14718" s="57"/>
      <c r="H14718" s="18"/>
    </row>
    <row r="14719">
      <c r="C14719" s="18"/>
      <c r="D14719" s="19"/>
      <c r="E14719" s="57"/>
      <c r="H14719" s="18"/>
    </row>
    <row r="14720">
      <c r="C14720" s="18"/>
      <c r="D14720" s="19"/>
      <c r="E14720" s="57"/>
      <c r="H14720" s="18"/>
    </row>
    <row r="14721">
      <c r="C14721" s="18"/>
      <c r="D14721" s="19"/>
      <c r="E14721" s="57"/>
      <c r="H14721" s="18"/>
    </row>
    <row r="14722">
      <c r="C14722" s="18"/>
      <c r="D14722" s="19"/>
      <c r="E14722" s="57"/>
      <c r="H14722" s="18"/>
    </row>
    <row r="14723">
      <c r="C14723" s="18"/>
      <c r="D14723" s="19"/>
      <c r="E14723" s="57"/>
      <c r="H14723" s="18"/>
    </row>
    <row r="14724">
      <c r="C14724" s="18"/>
      <c r="D14724" s="19"/>
      <c r="E14724" s="57"/>
      <c r="H14724" s="18"/>
    </row>
    <row r="14725">
      <c r="C14725" s="18"/>
      <c r="D14725" s="19"/>
      <c r="E14725" s="57"/>
      <c r="H14725" s="18"/>
    </row>
    <row r="14726">
      <c r="C14726" s="18"/>
      <c r="D14726" s="19"/>
      <c r="E14726" s="57"/>
      <c r="H14726" s="18"/>
    </row>
    <row r="14727">
      <c r="C14727" s="18"/>
      <c r="D14727" s="19"/>
      <c r="E14727" s="57"/>
      <c r="H14727" s="18"/>
    </row>
    <row r="14728">
      <c r="C14728" s="18"/>
      <c r="D14728" s="19"/>
      <c r="E14728" s="57"/>
      <c r="H14728" s="18"/>
    </row>
    <row r="14729">
      <c r="C14729" s="18"/>
      <c r="D14729" s="19"/>
      <c r="E14729" s="57"/>
      <c r="H14729" s="18"/>
    </row>
    <row r="14730">
      <c r="C14730" s="18"/>
      <c r="D14730" s="19"/>
      <c r="E14730" s="57"/>
      <c r="H14730" s="18"/>
    </row>
    <row r="14731">
      <c r="C14731" s="18"/>
      <c r="D14731" s="19"/>
      <c r="E14731" s="57"/>
      <c r="H14731" s="18"/>
    </row>
    <row r="14732">
      <c r="C14732" s="18"/>
      <c r="D14732" s="19"/>
      <c r="E14732" s="57"/>
      <c r="H14732" s="18"/>
    </row>
    <row r="14733">
      <c r="C14733" s="18"/>
      <c r="D14733" s="19"/>
      <c r="E14733" s="57"/>
      <c r="H14733" s="18"/>
    </row>
    <row r="14734">
      <c r="C14734" s="18"/>
      <c r="D14734" s="19"/>
      <c r="E14734" s="57"/>
      <c r="H14734" s="18"/>
    </row>
    <row r="14735">
      <c r="C14735" s="18"/>
      <c r="D14735" s="19"/>
      <c r="E14735" s="57"/>
      <c r="H14735" s="18"/>
    </row>
    <row r="14736">
      <c r="C14736" s="18"/>
      <c r="D14736" s="19"/>
      <c r="E14736" s="57"/>
      <c r="H14736" s="18"/>
    </row>
    <row r="14737">
      <c r="C14737" s="18"/>
      <c r="D14737" s="19"/>
      <c r="E14737" s="57"/>
      <c r="H14737" s="18"/>
    </row>
    <row r="14738">
      <c r="C14738" s="18"/>
      <c r="D14738" s="19"/>
      <c r="E14738" s="57"/>
      <c r="H14738" s="18"/>
    </row>
    <row r="14739">
      <c r="C14739" s="18"/>
      <c r="D14739" s="19"/>
      <c r="E14739" s="57"/>
      <c r="H14739" s="18"/>
    </row>
    <row r="14740">
      <c r="C14740" s="18"/>
      <c r="D14740" s="19"/>
      <c r="E14740" s="57"/>
      <c r="H14740" s="18"/>
    </row>
    <row r="14741">
      <c r="C14741" s="18"/>
      <c r="D14741" s="19"/>
      <c r="E14741" s="57"/>
      <c r="H14741" s="18"/>
    </row>
    <row r="14742">
      <c r="C14742" s="18"/>
      <c r="D14742" s="19"/>
      <c r="E14742" s="57"/>
      <c r="H14742" s="18"/>
    </row>
    <row r="14743">
      <c r="C14743" s="18"/>
      <c r="D14743" s="19"/>
      <c r="E14743" s="57"/>
      <c r="H14743" s="18"/>
    </row>
    <row r="14744">
      <c r="C14744" s="18"/>
      <c r="D14744" s="19"/>
      <c r="E14744" s="57"/>
      <c r="H14744" s="18"/>
    </row>
    <row r="14745">
      <c r="C14745" s="18"/>
      <c r="D14745" s="19"/>
      <c r="E14745" s="57"/>
      <c r="H14745" s="18"/>
    </row>
    <row r="14746">
      <c r="C14746" s="18"/>
      <c r="D14746" s="19"/>
      <c r="E14746" s="57"/>
      <c r="H14746" s="18"/>
    </row>
    <row r="14747">
      <c r="C14747" s="18"/>
      <c r="D14747" s="19"/>
      <c r="E14747" s="57"/>
      <c r="H14747" s="18"/>
    </row>
    <row r="14748">
      <c r="C14748" s="18"/>
      <c r="D14748" s="19"/>
      <c r="E14748" s="57"/>
      <c r="H14748" s="18"/>
    </row>
    <row r="14749">
      <c r="C14749" s="18"/>
      <c r="D14749" s="19"/>
      <c r="E14749" s="57"/>
      <c r="H14749" s="18"/>
    </row>
    <row r="14750">
      <c r="C14750" s="18"/>
      <c r="D14750" s="19"/>
      <c r="E14750" s="57"/>
      <c r="H14750" s="18"/>
    </row>
    <row r="14751">
      <c r="C14751" s="18"/>
      <c r="D14751" s="19"/>
      <c r="E14751" s="57"/>
      <c r="H14751" s="18"/>
    </row>
    <row r="14752">
      <c r="C14752" s="18"/>
      <c r="D14752" s="19"/>
      <c r="E14752" s="57"/>
      <c r="H14752" s="18"/>
    </row>
    <row r="14753">
      <c r="C14753" s="18"/>
      <c r="D14753" s="19"/>
      <c r="E14753" s="57"/>
      <c r="H14753" s="18"/>
    </row>
    <row r="14754">
      <c r="C14754" s="18"/>
      <c r="D14754" s="19"/>
      <c r="E14754" s="57"/>
      <c r="H14754" s="18"/>
    </row>
    <row r="14755">
      <c r="C14755" s="18"/>
      <c r="D14755" s="19"/>
      <c r="E14755" s="57"/>
      <c r="H14755" s="18"/>
    </row>
    <row r="14756">
      <c r="C14756" s="18"/>
      <c r="D14756" s="19"/>
      <c r="E14756" s="57"/>
      <c r="H14756" s="18"/>
    </row>
    <row r="14757">
      <c r="C14757" s="18"/>
      <c r="D14757" s="19"/>
      <c r="E14757" s="57"/>
      <c r="H14757" s="18"/>
    </row>
    <row r="14758">
      <c r="C14758" s="18"/>
      <c r="D14758" s="19"/>
      <c r="E14758" s="57"/>
      <c r="H14758" s="18"/>
    </row>
    <row r="14759">
      <c r="C14759" s="18"/>
      <c r="D14759" s="19"/>
      <c r="E14759" s="57"/>
      <c r="H14759" s="18"/>
    </row>
    <row r="14760">
      <c r="C14760" s="18"/>
      <c r="D14760" s="19"/>
      <c r="E14760" s="57"/>
      <c r="H14760" s="18"/>
    </row>
    <row r="14761">
      <c r="C14761" s="18"/>
      <c r="D14761" s="19"/>
      <c r="E14761" s="57"/>
      <c r="H14761" s="18"/>
    </row>
    <row r="14762">
      <c r="C14762" s="18"/>
      <c r="D14762" s="19"/>
      <c r="E14762" s="57"/>
      <c r="H14762" s="18"/>
    </row>
    <row r="14763">
      <c r="C14763" s="18"/>
      <c r="D14763" s="19"/>
      <c r="E14763" s="57"/>
      <c r="H14763" s="18"/>
    </row>
    <row r="14764">
      <c r="C14764" s="18"/>
      <c r="D14764" s="19"/>
      <c r="E14764" s="57"/>
      <c r="H14764" s="18"/>
    </row>
    <row r="14765">
      <c r="C14765" s="18"/>
      <c r="D14765" s="19"/>
      <c r="E14765" s="57"/>
      <c r="H14765" s="18"/>
    </row>
    <row r="14766">
      <c r="C14766" s="18"/>
      <c r="D14766" s="19"/>
      <c r="E14766" s="57"/>
      <c r="H14766" s="18"/>
    </row>
    <row r="14767">
      <c r="C14767" s="18"/>
      <c r="D14767" s="19"/>
      <c r="E14767" s="57"/>
      <c r="H14767" s="18"/>
    </row>
    <row r="14768">
      <c r="C14768" s="18"/>
      <c r="D14768" s="19"/>
      <c r="E14768" s="57"/>
      <c r="H14768" s="18"/>
    </row>
    <row r="14769">
      <c r="C14769" s="18"/>
      <c r="D14769" s="19"/>
      <c r="E14769" s="57"/>
      <c r="H14769" s="18"/>
    </row>
    <row r="14770">
      <c r="C14770" s="18"/>
      <c r="D14770" s="19"/>
      <c r="E14770" s="57"/>
      <c r="H14770" s="18"/>
    </row>
    <row r="14771">
      <c r="C14771" s="18"/>
      <c r="D14771" s="19"/>
      <c r="E14771" s="57"/>
      <c r="H14771" s="18"/>
    </row>
    <row r="14772">
      <c r="C14772" s="18"/>
      <c r="D14772" s="19"/>
      <c r="E14772" s="57"/>
      <c r="H14772" s="18"/>
    </row>
    <row r="14773">
      <c r="C14773" s="18"/>
      <c r="D14773" s="19"/>
      <c r="E14773" s="57"/>
      <c r="H14773" s="18"/>
    </row>
    <row r="14774">
      <c r="C14774" s="18"/>
      <c r="D14774" s="19"/>
      <c r="E14774" s="57"/>
      <c r="H14774" s="18"/>
    </row>
    <row r="14775">
      <c r="C14775" s="18"/>
      <c r="D14775" s="19"/>
      <c r="E14775" s="57"/>
      <c r="H14775" s="18"/>
    </row>
    <row r="14776">
      <c r="C14776" s="18"/>
      <c r="D14776" s="19"/>
      <c r="E14776" s="57"/>
      <c r="H14776" s="18"/>
    </row>
    <row r="14777">
      <c r="C14777" s="18"/>
      <c r="D14777" s="19"/>
      <c r="E14777" s="57"/>
      <c r="H14777" s="18"/>
    </row>
    <row r="14778">
      <c r="C14778" s="18"/>
      <c r="D14778" s="19"/>
      <c r="E14778" s="57"/>
      <c r="H14778" s="18"/>
    </row>
    <row r="14779">
      <c r="C14779" s="18"/>
      <c r="D14779" s="19"/>
      <c r="E14779" s="57"/>
      <c r="H14779" s="18"/>
    </row>
    <row r="14780">
      <c r="C14780" s="18"/>
      <c r="D14780" s="19"/>
      <c r="E14780" s="57"/>
      <c r="H14780" s="18"/>
    </row>
    <row r="14781">
      <c r="C14781" s="18"/>
      <c r="D14781" s="19"/>
      <c r="E14781" s="57"/>
      <c r="H14781" s="18"/>
    </row>
    <row r="14782">
      <c r="C14782" s="18"/>
      <c r="D14782" s="19"/>
      <c r="E14782" s="57"/>
      <c r="H14782" s="18"/>
    </row>
    <row r="14783">
      <c r="C14783" s="18"/>
      <c r="D14783" s="19"/>
      <c r="E14783" s="57"/>
      <c r="H14783" s="18"/>
    </row>
    <row r="14784">
      <c r="C14784" s="18"/>
      <c r="D14784" s="19"/>
      <c r="E14784" s="57"/>
      <c r="H14784" s="18"/>
    </row>
    <row r="14785">
      <c r="C14785" s="18"/>
      <c r="D14785" s="19"/>
      <c r="E14785" s="57"/>
      <c r="H14785" s="18"/>
    </row>
    <row r="14786">
      <c r="C14786" s="18"/>
      <c r="D14786" s="19"/>
      <c r="E14786" s="57"/>
      <c r="H14786" s="18"/>
    </row>
    <row r="14787">
      <c r="C14787" s="18"/>
      <c r="D14787" s="19"/>
      <c r="E14787" s="57"/>
      <c r="H14787" s="18"/>
    </row>
    <row r="14788">
      <c r="C14788" s="18"/>
      <c r="D14788" s="19"/>
      <c r="E14788" s="57"/>
      <c r="H14788" s="18"/>
    </row>
    <row r="14789">
      <c r="C14789" s="18"/>
      <c r="D14789" s="19"/>
      <c r="E14789" s="57"/>
      <c r="H14789" s="18"/>
    </row>
    <row r="14790">
      <c r="C14790" s="18"/>
      <c r="D14790" s="19"/>
      <c r="E14790" s="57"/>
      <c r="H14790" s="18"/>
    </row>
    <row r="14791">
      <c r="C14791" s="18"/>
      <c r="D14791" s="19"/>
      <c r="E14791" s="57"/>
      <c r="H14791" s="18"/>
    </row>
    <row r="14792">
      <c r="C14792" s="18"/>
      <c r="D14792" s="19"/>
      <c r="E14792" s="57"/>
      <c r="H14792" s="18"/>
    </row>
    <row r="14793">
      <c r="C14793" s="18"/>
      <c r="D14793" s="19"/>
      <c r="E14793" s="57"/>
      <c r="H14793" s="18"/>
    </row>
    <row r="14794">
      <c r="C14794" s="18"/>
      <c r="D14794" s="19"/>
      <c r="E14794" s="57"/>
      <c r="H14794" s="18"/>
    </row>
    <row r="14795">
      <c r="C14795" s="18"/>
      <c r="D14795" s="19"/>
      <c r="E14795" s="57"/>
      <c r="H14795" s="18"/>
    </row>
    <row r="14796">
      <c r="C14796" s="18"/>
      <c r="D14796" s="19"/>
      <c r="E14796" s="57"/>
      <c r="H14796" s="18"/>
    </row>
    <row r="14797">
      <c r="C14797" s="18"/>
      <c r="D14797" s="19"/>
      <c r="E14797" s="57"/>
      <c r="H14797" s="18"/>
    </row>
    <row r="14798">
      <c r="C14798" s="18"/>
      <c r="D14798" s="19"/>
      <c r="E14798" s="57"/>
      <c r="H14798" s="18"/>
    </row>
    <row r="14799">
      <c r="C14799" s="18"/>
      <c r="D14799" s="19"/>
      <c r="E14799" s="57"/>
      <c r="H14799" s="18"/>
    </row>
    <row r="14800">
      <c r="C14800" s="18"/>
      <c r="D14800" s="19"/>
      <c r="E14800" s="57"/>
      <c r="H14800" s="18"/>
    </row>
    <row r="14801">
      <c r="C14801" s="18"/>
      <c r="D14801" s="19"/>
      <c r="E14801" s="57"/>
      <c r="H14801" s="18"/>
    </row>
    <row r="14802">
      <c r="C14802" s="18"/>
      <c r="D14802" s="19"/>
      <c r="E14802" s="57"/>
      <c r="H14802" s="18"/>
    </row>
    <row r="14803">
      <c r="C14803" s="18"/>
      <c r="D14803" s="19"/>
      <c r="E14803" s="57"/>
      <c r="H14803" s="18"/>
    </row>
    <row r="14804">
      <c r="C14804" s="18"/>
      <c r="D14804" s="19"/>
      <c r="E14804" s="57"/>
      <c r="H14804" s="18"/>
    </row>
    <row r="14805">
      <c r="C14805" s="18"/>
      <c r="D14805" s="19"/>
      <c r="E14805" s="57"/>
      <c r="H14805" s="18"/>
    </row>
    <row r="14806">
      <c r="C14806" s="18"/>
      <c r="D14806" s="19"/>
      <c r="E14806" s="57"/>
      <c r="H14806" s="18"/>
    </row>
    <row r="14807">
      <c r="C14807" s="18"/>
      <c r="D14807" s="19"/>
      <c r="E14807" s="57"/>
      <c r="H14807" s="18"/>
    </row>
    <row r="14808">
      <c r="C14808" s="18"/>
      <c r="D14808" s="19"/>
      <c r="E14808" s="57"/>
      <c r="H14808" s="18"/>
    </row>
    <row r="14809">
      <c r="C14809" s="18"/>
      <c r="D14809" s="19"/>
      <c r="E14809" s="57"/>
      <c r="H14809" s="18"/>
    </row>
    <row r="14810">
      <c r="C14810" s="18"/>
      <c r="D14810" s="19"/>
      <c r="E14810" s="57"/>
      <c r="H14810" s="18"/>
    </row>
    <row r="14811">
      <c r="C14811" s="18"/>
      <c r="D14811" s="19"/>
      <c r="E14811" s="57"/>
      <c r="H14811" s="18"/>
    </row>
    <row r="14812">
      <c r="C14812" s="18"/>
      <c r="D14812" s="19"/>
      <c r="E14812" s="57"/>
      <c r="H14812" s="18"/>
    </row>
    <row r="14813">
      <c r="C14813" s="18"/>
      <c r="D14813" s="19"/>
      <c r="E14813" s="57"/>
      <c r="H14813" s="18"/>
    </row>
    <row r="14814">
      <c r="C14814" s="18"/>
      <c r="D14814" s="19"/>
      <c r="E14814" s="57"/>
      <c r="H14814" s="18"/>
    </row>
    <row r="14815">
      <c r="C14815" s="18"/>
      <c r="D14815" s="19"/>
      <c r="E14815" s="57"/>
      <c r="H14815" s="18"/>
    </row>
    <row r="14816">
      <c r="C14816" s="18"/>
      <c r="D14816" s="19"/>
      <c r="E14816" s="57"/>
      <c r="H14816" s="18"/>
    </row>
    <row r="14817">
      <c r="C14817" s="18"/>
      <c r="D14817" s="19"/>
      <c r="E14817" s="57"/>
      <c r="H14817" s="18"/>
    </row>
    <row r="14818">
      <c r="C14818" s="18"/>
      <c r="D14818" s="19"/>
      <c r="E14818" s="57"/>
      <c r="H14818" s="18"/>
    </row>
    <row r="14819">
      <c r="C14819" s="18"/>
      <c r="D14819" s="19"/>
      <c r="E14819" s="57"/>
      <c r="H14819" s="18"/>
    </row>
    <row r="14820">
      <c r="C14820" s="18"/>
      <c r="D14820" s="19"/>
      <c r="E14820" s="57"/>
      <c r="H14820" s="18"/>
    </row>
    <row r="14821">
      <c r="C14821" s="18"/>
      <c r="D14821" s="19"/>
      <c r="E14821" s="57"/>
      <c r="H14821" s="18"/>
    </row>
    <row r="14822">
      <c r="C14822" s="18"/>
      <c r="D14822" s="19"/>
      <c r="E14822" s="57"/>
      <c r="H14822" s="18"/>
    </row>
    <row r="14823">
      <c r="C14823" s="18"/>
      <c r="D14823" s="19"/>
      <c r="E14823" s="57"/>
      <c r="H14823" s="18"/>
    </row>
    <row r="14824">
      <c r="C14824" s="18"/>
      <c r="D14824" s="19"/>
      <c r="E14824" s="57"/>
      <c r="H14824" s="18"/>
    </row>
    <row r="14825">
      <c r="C14825" s="18"/>
      <c r="D14825" s="19"/>
      <c r="E14825" s="57"/>
      <c r="H14825" s="18"/>
    </row>
    <row r="14826">
      <c r="C14826" s="18"/>
      <c r="D14826" s="19"/>
      <c r="E14826" s="57"/>
      <c r="H14826" s="18"/>
    </row>
    <row r="14827">
      <c r="C14827" s="18"/>
      <c r="D14827" s="19"/>
      <c r="E14827" s="57"/>
      <c r="H14827" s="18"/>
    </row>
    <row r="14828">
      <c r="C14828" s="18"/>
      <c r="D14828" s="19"/>
      <c r="E14828" s="57"/>
      <c r="H14828" s="18"/>
    </row>
    <row r="14829">
      <c r="C14829" s="18"/>
      <c r="D14829" s="19"/>
      <c r="E14829" s="57"/>
      <c r="H14829" s="18"/>
    </row>
    <row r="14830">
      <c r="C14830" s="18"/>
      <c r="D14830" s="19"/>
      <c r="E14830" s="57"/>
      <c r="H14830" s="18"/>
    </row>
    <row r="14831">
      <c r="C14831" s="18"/>
      <c r="D14831" s="19"/>
      <c r="E14831" s="57"/>
      <c r="H14831" s="18"/>
    </row>
    <row r="14832">
      <c r="C14832" s="18"/>
      <c r="D14832" s="19"/>
      <c r="E14832" s="57"/>
      <c r="H14832" s="18"/>
    </row>
    <row r="14833">
      <c r="C14833" s="18"/>
      <c r="D14833" s="19"/>
      <c r="E14833" s="57"/>
      <c r="H14833" s="18"/>
    </row>
    <row r="14834">
      <c r="C14834" s="18"/>
      <c r="D14834" s="19"/>
      <c r="E14834" s="57"/>
      <c r="H14834" s="18"/>
    </row>
    <row r="14835">
      <c r="C14835" s="18"/>
      <c r="D14835" s="19"/>
      <c r="E14835" s="57"/>
      <c r="H14835" s="18"/>
    </row>
    <row r="14836">
      <c r="C14836" s="18"/>
      <c r="D14836" s="19"/>
      <c r="E14836" s="57"/>
      <c r="H14836" s="18"/>
    </row>
    <row r="14837">
      <c r="C14837" s="18"/>
      <c r="D14837" s="19"/>
      <c r="E14837" s="57"/>
      <c r="H14837" s="18"/>
    </row>
    <row r="14838">
      <c r="C14838" s="18"/>
      <c r="D14838" s="19"/>
      <c r="E14838" s="57"/>
      <c r="H14838" s="18"/>
    </row>
    <row r="14839">
      <c r="C14839" s="18"/>
      <c r="D14839" s="19"/>
      <c r="E14839" s="57"/>
      <c r="H14839" s="18"/>
    </row>
    <row r="14840">
      <c r="C14840" s="18"/>
      <c r="D14840" s="19"/>
      <c r="E14840" s="57"/>
      <c r="H14840" s="18"/>
    </row>
    <row r="14841">
      <c r="C14841" s="18"/>
      <c r="D14841" s="19"/>
      <c r="E14841" s="57"/>
      <c r="H14841" s="18"/>
    </row>
    <row r="14842">
      <c r="C14842" s="18"/>
      <c r="D14842" s="19"/>
      <c r="E14842" s="57"/>
      <c r="H14842" s="18"/>
    </row>
    <row r="14843">
      <c r="C14843" s="18"/>
      <c r="D14843" s="19"/>
      <c r="E14843" s="57"/>
      <c r="H14843" s="18"/>
    </row>
    <row r="14844">
      <c r="C14844" s="18"/>
      <c r="D14844" s="19"/>
      <c r="E14844" s="57"/>
      <c r="H14844" s="18"/>
    </row>
    <row r="14845">
      <c r="C14845" s="18"/>
      <c r="D14845" s="19"/>
      <c r="E14845" s="57"/>
      <c r="H14845" s="18"/>
    </row>
    <row r="14846">
      <c r="C14846" s="18"/>
      <c r="D14846" s="19"/>
      <c r="E14846" s="57"/>
      <c r="H14846" s="18"/>
    </row>
    <row r="14847">
      <c r="C14847" s="18"/>
      <c r="D14847" s="19"/>
      <c r="E14847" s="57"/>
      <c r="H14847" s="18"/>
    </row>
    <row r="14848">
      <c r="C14848" s="18"/>
      <c r="D14848" s="19"/>
      <c r="E14848" s="57"/>
      <c r="H14848" s="18"/>
    </row>
    <row r="14849">
      <c r="C14849" s="18"/>
      <c r="D14849" s="19"/>
      <c r="E14849" s="57"/>
      <c r="H14849" s="18"/>
    </row>
    <row r="14850">
      <c r="C14850" s="18"/>
      <c r="D14850" s="19"/>
      <c r="E14850" s="57"/>
      <c r="H14850" s="18"/>
    </row>
    <row r="14851">
      <c r="C14851" s="18"/>
      <c r="D14851" s="19"/>
      <c r="E14851" s="57"/>
      <c r="H14851" s="18"/>
    </row>
    <row r="14852">
      <c r="C14852" s="18"/>
      <c r="D14852" s="19"/>
      <c r="E14852" s="57"/>
      <c r="H14852" s="18"/>
    </row>
    <row r="14853">
      <c r="C14853" s="18"/>
      <c r="D14853" s="19"/>
      <c r="E14853" s="57"/>
      <c r="H14853" s="18"/>
    </row>
    <row r="14854">
      <c r="C14854" s="18"/>
      <c r="D14854" s="19"/>
      <c r="E14854" s="57"/>
      <c r="H14854" s="18"/>
    </row>
    <row r="14855">
      <c r="C14855" s="18"/>
      <c r="D14855" s="19"/>
      <c r="E14855" s="57"/>
      <c r="H14855" s="18"/>
    </row>
    <row r="14856">
      <c r="C14856" s="18"/>
      <c r="D14856" s="19"/>
      <c r="E14856" s="57"/>
      <c r="H14856" s="18"/>
    </row>
    <row r="14857">
      <c r="C14857" s="18"/>
      <c r="D14857" s="19"/>
      <c r="E14857" s="57"/>
      <c r="H14857" s="18"/>
    </row>
    <row r="14858">
      <c r="C14858" s="18"/>
      <c r="D14858" s="19"/>
      <c r="E14858" s="57"/>
      <c r="H14858" s="18"/>
    </row>
    <row r="14859">
      <c r="C14859" s="18"/>
      <c r="D14859" s="19"/>
      <c r="E14859" s="57"/>
      <c r="H14859" s="18"/>
    </row>
    <row r="14860">
      <c r="C14860" s="18"/>
      <c r="D14860" s="19"/>
      <c r="E14860" s="57"/>
      <c r="H14860" s="18"/>
    </row>
    <row r="14861">
      <c r="C14861" s="18"/>
      <c r="D14861" s="19"/>
      <c r="E14861" s="57"/>
      <c r="H14861" s="18"/>
    </row>
    <row r="14862">
      <c r="C14862" s="18"/>
      <c r="D14862" s="19"/>
      <c r="E14862" s="57"/>
      <c r="H14862" s="18"/>
    </row>
    <row r="14863">
      <c r="C14863" s="18"/>
      <c r="D14863" s="19"/>
      <c r="E14863" s="57"/>
      <c r="H14863" s="18"/>
    </row>
    <row r="14864">
      <c r="C14864" s="18"/>
      <c r="D14864" s="19"/>
      <c r="E14864" s="57"/>
      <c r="H14864" s="18"/>
    </row>
    <row r="14865">
      <c r="C14865" s="18"/>
      <c r="D14865" s="19"/>
      <c r="E14865" s="57"/>
      <c r="H14865" s="18"/>
    </row>
    <row r="14866">
      <c r="C14866" s="18"/>
      <c r="D14866" s="19"/>
      <c r="E14866" s="57"/>
      <c r="H14866" s="18"/>
    </row>
    <row r="14867">
      <c r="C14867" s="18"/>
      <c r="D14867" s="19"/>
      <c r="E14867" s="57"/>
      <c r="H14867" s="18"/>
    </row>
    <row r="14868">
      <c r="C14868" s="18"/>
      <c r="D14868" s="19"/>
      <c r="E14868" s="57"/>
      <c r="H14868" s="18"/>
    </row>
    <row r="14869">
      <c r="C14869" s="18"/>
      <c r="D14869" s="19"/>
      <c r="E14869" s="57"/>
      <c r="H14869" s="18"/>
    </row>
    <row r="14870">
      <c r="C14870" s="18"/>
      <c r="D14870" s="19"/>
      <c r="E14870" s="57"/>
      <c r="H14870" s="18"/>
    </row>
    <row r="14871">
      <c r="C14871" s="18"/>
      <c r="D14871" s="19"/>
      <c r="E14871" s="57"/>
      <c r="H14871" s="18"/>
    </row>
    <row r="14872">
      <c r="C14872" s="18"/>
      <c r="D14872" s="19"/>
      <c r="E14872" s="57"/>
      <c r="H14872" s="18"/>
    </row>
    <row r="14873">
      <c r="C14873" s="18"/>
      <c r="D14873" s="19"/>
      <c r="E14873" s="57"/>
      <c r="H14873" s="18"/>
    </row>
    <row r="14874">
      <c r="C14874" s="18"/>
      <c r="D14874" s="19"/>
      <c r="E14874" s="57"/>
      <c r="H14874" s="18"/>
    </row>
    <row r="14875">
      <c r="C14875" s="18"/>
      <c r="D14875" s="19"/>
      <c r="E14875" s="57"/>
      <c r="H14875" s="18"/>
    </row>
    <row r="14876">
      <c r="C14876" s="18"/>
      <c r="D14876" s="19"/>
      <c r="E14876" s="57"/>
      <c r="H14876" s="18"/>
    </row>
    <row r="14877">
      <c r="C14877" s="18"/>
      <c r="D14877" s="19"/>
      <c r="E14877" s="57"/>
      <c r="H14877" s="18"/>
    </row>
    <row r="14878">
      <c r="C14878" s="18"/>
      <c r="D14878" s="19"/>
      <c r="E14878" s="57"/>
      <c r="H14878" s="18"/>
    </row>
    <row r="14879">
      <c r="C14879" s="18"/>
      <c r="D14879" s="19"/>
      <c r="E14879" s="57"/>
      <c r="H14879" s="18"/>
    </row>
    <row r="14880">
      <c r="C14880" s="18"/>
      <c r="D14880" s="19"/>
      <c r="E14880" s="57"/>
      <c r="H14880" s="18"/>
    </row>
    <row r="14881">
      <c r="C14881" s="18"/>
      <c r="D14881" s="19"/>
      <c r="E14881" s="57"/>
      <c r="H14881" s="18"/>
    </row>
    <row r="14882">
      <c r="C14882" s="18"/>
      <c r="D14882" s="19"/>
      <c r="E14882" s="57"/>
      <c r="H14882" s="18"/>
    </row>
    <row r="14883">
      <c r="C14883" s="18"/>
      <c r="D14883" s="19"/>
      <c r="E14883" s="57"/>
      <c r="H14883" s="18"/>
    </row>
    <row r="14884">
      <c r="C14884" s="18"/>
      <c r="D14884" s="19"/>
      <c r="E14884" s="57"/>
      <c r="H14884" s="18"/>
    </row>
    <row r="14885">
      <c r="C14885" s="18"/>
      <c r="D14885" s="19"/>
      <c r="E14885" s="57"/>
      <c r="H14885" s="18"/>
    </row>
    <row r="14886">
      <c r="C14886" s="18"/>
      <c r="D14886" s="19"/>
      <c r="E14886" s="57"/>
      <c r="H14886" s="18"/>
    </row>
    <row r="14887">
      <c r="C14887" s="18"/>
      <c r="D14887" s="19"/>
      <c r="E14887" s="57"/>
      <c r="H14887" s="18"/>
    </row>
    <row r="14888">
      <c r="C14888" s="18"/>
      <c r="D14888" s="19"/>
      <c r="E14888" s="57"/>
      <c r="H14888" s="18"/>
    </row>
    <row r="14889">
      <c r="C14889" s="18"/>
      <c r="D14889" s="19"/>
      <c r="E14889" s="57"/>
      <c r="H14889" s="18"/>
    </row>
    <row r="14890">
      <c r="C14890" s="18"/>
      <c r="D14890" s="19"/>
      <c r="E14890" s="57"/>
      <c r="H14890" s="18"/>
    </row>
    <row r="14891">
      <c r="C14891" s="18"/>
      <c r="D14891" s="19"/>
      <c r="E14891" s="57"/>
      <c r="H14891" s="18"/>
    </row>
    <row r="14892">
      <c r="C14892" s="18"/>
      <c r="D14892" s="19"/>
      <c r="E14892" s="57"/>
      <c r="H14892" s="18"/>
    </row>
    <row r="14893">
      <c r="C14893" s="18"/>
      <c r="D14893" s="19"/>
      <c r="E14893" s="57"/>
      <c r="H14893" s="18"/>
    </row>
    <row r="14894">
      <c r="C14894" s="18"/>
      <c r="D14894" s="19"/>
      <c r="E14894" s="57"/>
      <c r="H14894" s="18"/>
    </row>
    <row r="14895">
      <c r="C14895" s="18"/>
      <c r="D14895" s="19"/>
      <c r="E14895" s="57"/>
      <c r="H14895" s="18"/>
    </row>
    <row r="14896">
      <c r="C14896" s="18"/>
      <c r="D14896" s="19"/>
      <c r="E14896" s="57"/>
      <c r="H14896" s="18"/>
    </row>
    <row r="14897">
      <c r="C14897" s="18"/>
      <c r="D14897" s="19"/>
      <c r="E14897" s="57"/>
      <c r="H14897" s="18"/>
    </row>
    <row r="14898">
      <c r="C14898" s="18"/>
      <c r="D14898" s="19"/>
      <c r="E14898" s="57"/>
      <c r="H14898" s="18"/>
    </row>
    <row r="14899">
      <c r="C14899" s="18"/>
      <c r="D14899" s="19"/>
      <c r="E14899" s="57"/>
      <c r="H14899" s="18"/>
    </row>
    <row r="14900">
      <c r="C14900" s="18"/>
      <c r="D14900" s="19"/>
      <c r="E14900" s="57"/>
      <c r="H14900" s="18"/>
    </row>
    <row r="14901">
      <c r="C14901" s="18"/>
      <c r="D14901" s="19"/>
      <c r="E14901" s="57"/>
      <c r="H14901" s="18"/>
    </row>
    <row r="14902">
      <c r="C14902" s="18"/>
      <c r="D14902" s="19"/>
      <c r="E14902" s="57"/>
      <c r="H14902" s="18"/>
    </row>
    <row r="14903">
      <c r="C14903" s="18"/>
      <c r="D14903" s="19"/>
      <c r="E14903" s="57"/>
      <c r="H14903" s="18"/>
    </row>
    <row r="14904">
      <c r="C14904" s="18"/>
      <c r="D14904" s="19"/>
      <c r="E14904" s="57"/>
      <c r="H14904" s="18"/>
    </row>
    <row r="14905">
      <c r="C14905" s="18"/>
      <c r="D14905" s="19"/>
      <c r="E14905" s="57"/>
      <c r="H14905" s="18"/>
    </row>
    <row r="14906">
      <c r="C14906" s="18"/>
      <c r="D14906" s="19"/>
      <c r="E14906" s="57"/>
      <c r="H14906" s="18"/>
    </row>
    <row r="14907">
      <c r="C14907" s="18"/>
      <c r="D14907" s="19"/>
      <c r="E14907" s="57"/>
      <c r="H14907" s="18"/>
    </row>
    <row r="14908">
      <c r="C14908" s="18"/>
      <c r="D14908" s="19"/>
      <c r="E14908" s="57"/>
      <c r="H14908" s="18"/>
    </row>
    <row r="14909">
      <c r="C14909" s="18"/>
      <c r="D14909" s="19"/>
      <c r="E14909" s="57"/>
      <c r="H14909" s="18"/>
    </row>
    <row r="14910">
      <c r="C14910" s="18"/>
      <c r="D14910" s="19"/>
      <c r="E14910" s="57"/>
      <c r="H14910" s="18"/>
    </row>
    <row r="14911">
      <c r="C14911" s="18"/>
      <c r="D14911" s="19"/>
      <c r="E14911" s="57"/>
      <c r="H14911" s="18"/>
    </row>
    <row r="14912">
      <c r="C14912" s="18"/>
      <c r="D14912" s="19"/>
      <c r="E14912" s="57"/>
      <c r="H14912" s="18"/>
    </row>
    <row r="14913">
      <c r="C14913" s="18"/>
      <c r="D14913" s="19"/>
      <c r="E14913" s="57"/>
      <c r="H14913" s="18"/>
    </row>
    <row r="14914">
      <c r="C14914" s="18"/>
      <c r="D14914" s="19"/>
      <c r="E14914" s="57"/>
      <c r="H14914" s="18"/>
    </row>
    <row r="14915">
      <c r="C14915" s="18"/>
      <c r="D14915" s="19"/>
      <c r="E14915" s="57"/>
      <c r="H14915" s="18"/>
    </row>
    <row r="14916">
      <c r="C14916" s="18"/>
      <c r="D14916" s="19"/>
      <c r="E14916" s="57"/>
      <c r="H14916" s="18"/>
    </row>
    <row r="14917">
      <c r="C14917" s="18"/>
      <c r="D14917" s="19"/>
      <c r="E14917" s="57"/>
      <c r="H14917" s="18"/>
    </row>
    <row r="14918">
      <c r="C14918" s="18"/>
      <c r="D14918" s="19"/>
      <c r="E14918" s="57"/>
      <c r="H14918" s="18"/>
    </row>
    <row r="14919">
      <c r="C14919" s="18"/>
      <c r="D14919" s="19"/>
      <c r="E14919" s="57"/>
      <c r="H14919" s="18"/>
    </row>
    <row r="14920">
      <c r="C14920" s="18"/>
      <c r="D14920" s="19"/>
      <c r="E14920" s="57"/>
      <c r="H14920" s="18"/>
    </row>
    <row r="14921">
      <c r="C14921" s="18"/>
      <c r="D14921" s="19"/>
      <c r="E14921" s="57"/>
      <c r="H14921" s="18"/>
    </row>
    <row r="14922">
      <c r="C14922" s="18"/>
      <c r="D14922" s="19"/>
      <c r="E14922" s="57"/>
      <c r="H14922" s="18"/>
    </row>
    <row r="14923">
      <c r="C14923" s="18"/>
      <c r="D14923" s="19"/>
      <c r="E14923" s="57"/>
      <c r="H14923" s="18"/>
    </row>
    <row r="14924">
      <c r="C14924" s="18"/>
      <c r="D14924" s="19"/>
      <c r="E14924" s="57"/>
      <c r="H14924" s="18"/>
    </row>
    <row r="14925">
      <c r="C14925" s="18"/>
      <c r="D14925" s="19"/>
      <c r="E14925" s="57"/>
      <c r="H14925" s="18"/>
    </row>
    <row r="14926">
      <c r="C14926" s="18"/>
      <c r="D14926" s="19"/>
      <c r="E14926" s="57"/>
      <c r="H14926" s="18"/>
    </row>
    <row r="14927">
      <c r="C14927" s="18"/>
      <c r="D14927" s="19"/>
      <c r="E14927" s="57"/>
      <c r="H14927" s="18"/>
    </row>
    <row r="14928">
      <c r="C14928" s="18"/>
      <c r="D14928" s="19"/>
      <c r="E14928" s="57"/>
      <c r="H14928" s="18"/>
    </row>
    <row r="14929">
      <c r="C14929" s="18"/>
      <c r="D14929" s="19"/>
      <c r="E14929" s="57"/>
      <c r="H14929" s="18"/>
    </row>
    <row r="14930">
      <c r="C14930" s="18"/>
      <c r="D14930" s="19"/>
      <c r="E14930" s="57"/>
      <c r="H14930" s="18"/>
    </row>
    <row r="14931">
      <c r="C14931" s="18"/>
      <c r="D14931" s="19"/>
      <c r="E14931" s="57"/>
      <c r="H14931" s="18"/>
    </row>
    <row r="14932">
      <c r="C14932" s="18"/>
      <c r="D14932" s="19"/>
      <c r="E14932" s="57"/>
      <c r="H14932" s="18"/>
    </row>
    <row r="14933">
      <c r="C14933" s="18"/>
      <c r="D14933" s="19"/>
      <c r="E14933" s="57"/>
      <c r="H14933" s="18"/>
    </row>
    <row r="14934">
      <c r="C14934" s="18"/>
      <c r="D14934" s="19"/>
      <c r="E14934" s="57"/>
      <c r="H14934" s="18"/>
    </row>
    <row r="14935">
      <c r="C14935" s="18"/>
      <c r="D14935" s="19"/>
      <c r="E14935" s="57"/>
      <c r="H14935" s="18"/>
    </row>
    <row r="14936">
      <c r="C14936" s="18"/>
      <c r="D14936" s="19"/>
      <c r="E14936" s="57"/>
      <c r="H14936" s="18"/>
    </row>
    <row r="14937">
      <c r="C14937" s="18"/>
      <c r="D14937" s="19"/>
      <c r="E14937" s="57"/>
      <c r="H14937" s="18"/>
    </row>
    <row r="14938">
      <c r="C14938" s="18"/>
      <c r="D14938" s="19"/>
      <c r="E14938" s="57"/>
      <c r="H14938" s="18"/>
    </row>
    <row r="14939">
      <c r="C14939" s="18"/>
      <c r="D14939" s="19"/>
      <c r="E14939" s="57"/>
      <c r="H14939" s="18"/>
    </row>
    <row r="14940">
      <c r="C14940" s="18"/>
      <c r="D14940" s="19"/>
      <c r="E14940" s="57"/>
      <c r="H14940" s="18"/>
    </row>
    <row r="14941">
      <c r="C14941" s="18"/>
      <c r="D14941" s="19"/>
      <c r="E14941" s="57"/>
      <c r="H14941" s="18"/>
    </row>
    <row r="14942">
      <c r="C14942" s="18"/>
      <c r="D14942" s="19"/>
      <c r="E14942" s="57"/>
      <c r="H14942" s="18"/>
    </row>
    <row r="14943">
      <c r="C14943" s="18"/>
      <c r="D14943" s="19"/>
      <c r="E14943" s="57"/>
      <c r="H14943" s="18"/>
    </row>
    <row r="14944">
      <c r="C14944" s="18"/>
      <c r="D14944" s="19"/>
      <c r="E14944" s="57"/>
      <c r="H14944" s="18"/>
    </row>
    <row r="14945">
      <c r="C14945" s="18"/>
      <c r="D14945" s="19"/>
      <c r="E14945" s="57"/>
      <c r="H14945" s="18"/>
    </row>
    <row r="14946">
      <c r="C14946" s="18"/>
      <c r="D14946" s="19"/>
      <c r="E14946" s="57"/>
      <c r="H14946" s="18"/>
    </row>
    <row r="14947">
      <c r="C14947" s="18"/>
      <c r="D14947" s="19"/>
      <c r="E14947" s="57"/>
      <c r="H14947" s="18"/>
    </row>
    <row r="14948">
      <c r="C14948" s="18"/>
      <c r="D14948" s="19"/>
      <c r="E14948" s="57"/>
      <c r="H14948" s="18"/>
    </row>
    <row r="14949">
      <c r="C14949" s="18"/>
      <c r="D14949" s="19"/>
      <c r="E14949" s="57"/>
      <c r="H14949" s="18"/>
    </row>
    <row r="14950">
      <c r="C14950" s="18"/>
      <c r="D14950" s="19"/>
      <c r="E14950" s="57"/>
      <c r="H14950" s="18"/>
    </row>
    <row r="14951">
      <c r="C14951" s="18"/>
      <c r="D14951" s="19"/>
      <c r="E14951" s="57"/>
      <c r="H14951" s="18"/>
    </row>
    <row r="14952">
      <c r="C14952" s="18"/>
      <c r="D14952" s="19"/>
      <c r="E14952" s="57"/>
      <c r="H14952" s="18"/>
    </row>
    <row r="14953">
      <c r="C14953" s="18"/>
      <c r="D14953" s="19"/>
      <c r="E14953" s="57"/>
      <c r="H14953" s="18"/>
    </row>
    <row r="14954">
      <c r="C14954" s="18"/>
      <c r="D14954" s="19"/>
      <c r="E14954" s="57"/>
      <c r="H14954" s="18"/>
    </row>
    <row r="14955">
      <c r="C14955" s="18"/>
      <c r="D14955" s="19"/>
      <c r="E14955" s="57"/>
      <c r="H14955" s="18"/>
    </row>
    <row r="14956">
      <c r="C14956" s="18"/>
      <c r="D14956" s="19"/>
      <c r="E14956" s="57"/>
      <c r="H14956" s="18"/>
    </row>
    <row r="14957">
      <c r="C14957" s="18"/>
      <c r="D14957" s="19"/>
      <c r="E14957" s="57"/>
      <c r="H14957" s="18"/>
    </row>
    <row r="14958">
      <c r="C14958" s="18"/>
      <c r="D14958" s="19"/>
      <c r="E14958" s="57"/>
      <c r="H14958" s="18"/>
    </row>
    <row r="14959">
      <c r="C14959" s="18"/>
      <c r="D14959" s="19"/>
      <c r="E14959" s="57"/>
      <c r="H14959" s="18"/>
    </row>
    <row r="14960">
      <c r="C14960" s="18"/>
      <c r="D14960" s="19"/>
      <c r="E14960" s="57"/>
      <c r="H14960" s="18"/>
    </row>
    <row r="14961">
      <c r="C14961" s="18"/>
      <c r="D14961" s="19"/>
      <c r="E14961" s="57"/>
      <c r="H14961" s="18"/>
    </row>
    <row r="14962">
      <c r="C14962" s="18"/>
      <c r="D14962" s="19"/>
      <c r="E14962" s="57"/>
      <c r="H14962" s="18"/>
    </row>
    <row r="14963">
      <c r="C14963" s="18"/>
      <c r="D14963" s="19"/>
      <c r="E14963" s="57"/>
      <c r="H14963" s="18"/>
    </row>
    <row r="14964">
      <c r="C14964" s="18"/>
      <c r="D14964" s="19"/>
      <c r="E14964" s="57"/>
      <c r="H14964" s="18"/>
    </row>
    <row r="14965">
      <c r="C14965" s="18"/>
      <c r="D14965" s="19"/>
      <c r="E14965" s="57"/>
      <c r="H14965" s="18"/>
    </row>
    <row r="14966">
      <c r="C14966" s="18"/>
      <c r="D14966" s="19"/>
      <c r="E14966" s="57"/>
      <c r="H14966" s="18"/>
    </row>
    <row r="14967">
      <c r="C14967" s="18"/>
      <c r="D14967" s="19"/>
      <c r="E14967" s="57"/>
      <c r="H14967" s="18"/>
    </row>
    <row r="14968">
      <c r="C14968" s="18"/>
      <c r="D14968" s="19"/>
      <c r="E14968" s="57"/>
      <c r="H14968" s="18"/>
    </row>
    <row r="14969">
      <c r="C14969" s="18"/>
      <c r="D14969" s="19"/>
      <c r="E14969" s="57"/>
      <c r="H14969" s="18"/>
    </row>
    <row r="14970">
      <c r="C14970" s="18"/>
      <c r="D14970" s="19"/>
      <c r="E14970" s="57"/>
      <c r="H14970" s="18"/>
    </row>
    <row r="14971">
      <c r="C14971" s="18"/>
      <c r="D14971" s="19"/>
      <c r="E14971" s="57"/>
      <c r="H14971" s="18"/>
    </row>
    <row r="14972">
      <c r="C14972" s="18"/>
      <c r="D14972" s="19"/>
      <c r="E14972" s="57"/>
      <c r="H14972" s="18"/>
    </row>
    <row r="14973">
      <c r="C14973" s="18"/>
      <c r="D14973" s="19"/>
      <c r="E14973" s="57"/>
      <c r="H14973" s="18"/>
    </row>
    <row r="14974">
      <c r="C14974" s="18"/>
      <c r="D14974" s="19"/>
      <c r="E14974" s="57"/>
      <c r="H14974" s="18"/>
    </row>
    <row r="14975">
      <c r="C14975" s="18"/>
      <c r="D14975" s="19"/>
      <c r="E14975" s="57"/>
      <c r="H14975" s="18"/>
    </row>
    <row r="14976">
      <c r="C14976" s="18"/>
      <c r="D14976" s="19"/>
      <c r="E14976" s="57"/>
      <c r="H14976" s="18"/>
    </row>
    <row r="14977">
      <c r="C14977" s="18"/>
      <c r="D14977" s="19"/>
      <c r="E14977" s="57"/>
      <c r="H14977" s="18"/>
    </row>
    <row r="14978">
      <c r="C14978" s="18"/>
      <c r="D14978" s="19"/>
      <c r="E14978" s="57"/>
      <c r="H14978" s="18"/>
    </row>
    <row r="14979">
      <c r="C14979" s="18"/>
      <c r="D14979" s="19"/>
      <c r="E14979" s="57"/>
      <c r="H14979" s="18"/>
    </row>
    <row r="14980">
      <c r="C14980" s="18"/>
      <c r="D14980" s="19"/>
      <c r="E14980" s="57"/>
      <c r="H14980" s="18"/>
    </row>
    <row r="14981">
      <c r="C14981" s="18"/>
      <c r="D14981" s="19"/>
      <c r="E14981" s="57"/>
      <c r="H14981" s="18"/>
    </row>
    <row r="14982">
      <c r="C14982" s="18"/>
      <c r="D14982" s="19"/>
      <c r="E14982" s="57"/>
      <c r="H14982" s="18"/>
    </row>
    <row r="14983">
      <c r="C14983" s="18"/>
      <c r="D14983" s="19"/>
      <c r="E14983" s="57"/>
      <c r="H14983" s="18"/>
    </row>
    <row r="14984">
      <c r="C14984" s="18"/>
      <c r="D14984" s="19"/>
      <c r="E14984" s="57"/>
      <c r="H14984" s="18"/>
    </row>
    <row r="14985">
      <c r="C14985" s="18"/>
      <c r="D14985" s="19"/>
      <c r="E14985" s="57"/>
      <c r="H14985" s="18"/>
    </row>
    <row r="14986">
      <c r="C14986" s="18"/>
      <c r="D14986" s="19"/>
      <c r="E14986" s="57"/>
      <c r="H14986" s="18"/>
    </row>
    <row r="14987">
      <c r="C14987" s="18"/>
      <c r="D14987" s="19"/>
      <c r="E14987" s="57"/>
      <c r="H14987" s="18"/>
    </row>
    <row r="14988">
      <c r="C14988" s="18"/>
      <c r="D14988" s="19"/>
      <c r="E14988" s="57"/>
      <c r="H14988" s="18"/>
    </row>
    <row r="14989">
      <c r="C14989" s="18"/>
      <c r="D14989" s="19"/>
      <c r="E14989" s="57"/>
      <c r="H14989" s="18"/>
    </row>
    <row r="14990">
      <c r="C14990" s="18"/>
      <c r="D14990" s="19"/>
      <c r="E14990" s="57"/>
      <c r="H14990" s="18"/>
    </row>
    <row r="14991">
      <c r="C14991" s="18"/>
      <c r="D14991" s="19"/>
      <c r="E14991" s="57"/>
      <c r="H14991" s="18"/>
    </row>
    <row r="14992">
      <c r="C14992" s="18"/>
      <c r="D14992" s="19"/>
      <c r="E14992" s="57"/>
      <c r="H14992" s="18"/>
    </row>
    <row r="14993">
      <c r="C14993" s="18"/>
      <c r="D14993" s="19"/>
      <c r="E14993" s="57"/>
      <c r="H14993" s="18"/>
    </row>
    <row r="14994">
      <c r="C14994" s="18"/>
      <c r="D14994" s="19"/>
      <c r="E14994" s="57"/>
      <c r="H14994" s="18"/>
    </row>
    <row r="14995">
      <c r="C14995" s="18"/>
      <c r="D14995" s="19"/>
      <c r="E14995" s="57"/>
      <c r="H14995" s="18"/>
    </row>
    <row r="14996">
      <c r="C14996" s="18"/>
      <c r="D14996" s="19"/>
      <c r="E14996" s="57"/>
      <c r="H14996" s="18"/>
    </row>
    <row r="14997">
      <c r="C14997" s="18"/>
      <c r="D14997" s="19"/>
      <c r="E14997" s="57"/>
      <c r="H14997" s="18"/>
    </row>
    <row r="14998">
      <c r="C14998" s="18"/>
      <c r="D14998" s="19"/>
      <c r="E14998" s="57"/>
      <c r="H14998" s="18"/>
    </row>
    <row r="14999">
      <c r="C14999" s="18"/>
      <c r="D14999" s="19"/>
      <c r="E14999" s="57"/>
      <c r="H14999" s="18"/>
    </row>
    <row r="15000">
      <c r="C15000" s="18"/>
      <c r="D15000" s="19"/>
      <c r="E15000" s="57"/>
      <c r="H15000" s="18"/>
    </row>
    <row r="15001">
      <c r="C15001" s="18"/>
      <c r="D15001" s="19"/>
      <c r="E15001" s="57"/>
      <c r="H15001" s="18"/>
    </row>
    <row r="15002">
      <c r="C15002" s="18"/>
      <c r="D15002" s="19"/>
      <c r="E15002" s="57"/>
      <c r="H15002" s="18"/>
    </row>
    <row r="15003">
      <c r="C15003" s="18"/>
      <c r="D15003" s="19"/>
      <c r="E15003" s="57"/>
      <c r="H15003" s="18"/>
    </row>
    <row r="15004">
      <c r="C15004" s="18"/>
      <c r="D15004" s="19"/>
      <c r="E15004" s="57"/>
      <c r="H15004" s="18"/>
    </row>
    <row r="15005">
      <c r="C15005" s="18"/>
      <c r="D15005" s="19"/>
      <c r="E15005" s="57"/>
      <c r="H15005" s="18"/>
    </row>
    <row r="15006">
      <c r="C15006" s="18"/>
      <c r="D15006" s="19"/>
      <c r="E15006" s="57"/>
      <c r="H15006" s="18"/>
    </row>
    <row r="15007">
      <c r="C15007" s="18"/>
      <c r="D15007" s="19"/>
      <c r="E15007" s="57"/>
      <c r="H15007" s="18"/>
    </row>
    <row r="15008">
      <c r="C15008" s="18"/>
      <c r="D15008" s="19"/>
      <c r="E15008" s="57"/>
      <c r="H15008" s="18"/>
    </row>
    <row r="15009">
      <c r="C15009" s="18"/>
      <c r="D15009" s="19"/>
      <c r="E15009" s="57"/>
      <c r="H15009" s="18"/>
    </row>
    <row r="15010">
      <c r="C15010" s="18"/>
      <c r="D15010" s="19"/>
      <c r="E15010" s="57"/>
      <c r="H15010" s="18"/>
    </row>
    <row r="15011">
      <c r="C15011" s="18"/>
      <c r="D15011" s="19"/>
      <c r="E15011" s="57"/>
      <c r="H15011" s="18"/>
    </row>
    <row r="15012">
      <c r="C15012" s="18"/>
      <c r="D15012" s="19"/>
      <c r="E15012" s="57"/>
      <c r="H15012" s="18"/>
    </row>
    <row r="15013">
      <c r="C15013" s="18"/>
      <c r="D15013" s="19"/>
      <c r="E15013" s="57"/>
      <c r="H15013" s="18"/>
    </row>
    <row r="15014">
      <c r="C15014" s="18"/>
      <c r="D15014" s="19"/>
      <c r="E15014" s="57"/>
      <c r="H15014" s="18"/>
    </row>
    <row r="15015">
      <c r="C15015" s="18"/>
      <c r="D15015" s="19"/>
      <c r="E15015" s="57"/>
      <c r="H15015" s="18"/>
    </row>
    <row r="15016">
      <c r="C15016" s="18"/>
      <c r="D15016" s="19"/>
      <c r="E15016" s="57"/>
      <c r="H15016" s="18"/>
    </row>
    <row r="15017">
      <c r="C15017" s="18"/>
      <c r="D15017" s="19"/>
      <c r="E15017" s="57"/>
      <c r="H15017" s="18"/>
    </row>
    <row r="15018">
      <c r="C15018" s="18"/>
      <c r="D15018" s="19"/>
      <c r="E15018" s="57"/>
      <c r="H15018" s="18"/>
    </row>
    <row r="15019">
      <c r="C15019" s="18"/>
      <c r="D15019" s="19"/>
      <c r="E15019" s="57"/>
      <c r="H15019" s="18"/>
    </row>
    <row r="15020">
      <c r="C15020" s="18"/>
      <c r="D15020" s="19"/>
      <c r="E15020" s="57"/>
      <c r="H15020" s="18"/>
    </row>
    <row r="15021">
      <c r="C15021" s="18"/>
      <c r="D15021" s="19"/>
      <c r="E15021" s="57"/>
      <c r="H15021" s="18"/>
    </row>
    <row r="15022">
      <c r="C15022" s="18"/>
      <c r="D15022" s="19"/>
      <c r="E15022" s="57"/>
      <c r="H15022" s="18"/>
    </row>
    <row r="15023">
      <c r="C15023" s="18"/>
      <c r="D15023" s="19"/>
      <c r="E15023" s="57"/>
      <c r="H15023" s="18"/>
    </row>
    <row r="15024">
      <c r="C15024" s="18"/>
      <c r="D15024" s="19"/>
      <c r="E15024" s="57"/>
      <c r="H15024" s="18"/>
    </row>
    <row r="15025">
      <c r="C15025" s="18"/>
      <c r="D15025" s="19"/>
      <c r="E15025" s="57"/>
      <c r="H15025" s="18"/>
    </row>
    <row r="15026">
      <c r="C15026" s="18"/>
      <c r="D15026" s="19"/>
      <c r="E15026" s="57"/>
      <c r="H15026" s="18"/>
    </row>
    <row r="15027">
      <c r="C15027" s="18"/>
      <c r="D15027" s="19"/>
      <c r="E15027" s="57"/>
      <c r="H15027" s="18"/>
    </row>
    <row r="15028">
      <c r="C15028" s="18"/>
      <c r="D15028" s="19"/>
      <c r="E15028" s="57"/>
      <c r="H15028" s="18"/>
    </row>
    <row r="15029">
      <c r="C15029" s="18"/>
      <c r="D15029" s="19"/>
      <c r="E15029" s="57"/>
      <c r="H15029" s="18"/>
    </row>
    <row r="15030">
      <c r="C15030" s="18"/>
      <c r="D15030" s="19"/>
      <c r="E15030" s="57"/>
      <c r="H15030" s="18"/>
    </row>
    <row r="15031">
      <c r="C15031" s="18"/>
      <c r="D15031" s="19"/>
      <c r="E15031" s="57"/>
      <c r="H15031" s="18"/>
    </row>
    <row r="15032">
      <c r="C15032" s="18"/>
      <c r="D15032" s="19"/>
      <c r="E15032" s="57"/>
      <c r="H15032" s="18"/>
    </row>
    <row r="15033">
      <c r="C15033" s="18"/>
      <c r="D15033" s="19"/>
      <c r="E15033" s="57"/>
      <c r="H15033" s="18"/>
    </row>
    <row r="15034">
      <c r="C15034" s="18"/>
      <c r="D15034" s="19"/>
      <c r="E15034" s="57"/>
      <c r="H15034" s="18"/>
    </row>
    <row r="15035">
      <c r="C15035" s="18"/>
      <c r="D15035" s="19"/>
      <c r="E15035" s="57"/>
      <c r="H15035" s="18"/>
    </row>
    <row r="15036">
      <c r="C15036" s="18"/>
      <c r="D15036" s="19"/>
      <c r="E15036" s="57"/>
      <c r="H15036" s="18"/>
    </row>
    <row r="15037">
      <c r="C15037" s="18"/>
      <c r="D15037" s="19"/>
      <c r="E15037" s="57"/>
      <c r="H15037" s="18"/>
    </row>
    <row r="15038">
      <c r="C15038" s="18"/>
      <c r="D15038" s="19"/>
      <c r="E15038" s="57"/>
      <c r="H15038" s="18"/>
    </row>
    <row r="15039">
      <c r="C15039" s="18"/>
      <c r="D15039" s="19"/>
      <c r="E15039" s="57"/>
      <c r="H15039" s="18"/>
    </row>
    <row r="15040">
      <c r="C15040" s="18"/>
      <c r="D15040" s="19"/>
      <c r="E15040" s="57"/>
      <c r="H15040" s="18"/>
    </row>
    <row r="15041">
      <c r="C15041" s="18"/>
      <c r="D15041" s="19"/>
      <c r="E15041" s="57"/>
      <c r="H15041" s="18"/>
    </row>
    <row r="15042">
      <c r="C15042" s="18"/>
      <c r="D15042" s="19"/>
      <c r="E15042" s="57"/>
      <c r="H15042" s="18"/>
    </row>
    <row r="15043">
      <c r="C15043" s="18"/>
      <c r="D15043" s="19"/>
      <c r="E15043" s="57"/>
      <c r="H15043" s="18"/>
    </row>
    <row r="15044">
      <c r="C15044" s="18"/>
      <c r="D15044" s="19"/>
      <c r="E15044" s="57"/>
      <c r="H15044" s="18"/>
    </row>
    <row r="15045">
      <c r="C15045" s="18"/>
      <c r="D15045" s="19"/>
      <c r="E15045" s="57"/>
      <c r="H15045" s="18"/>
    </row>
    <row r="15046">
      <c r="C15046" s="18"/>
      <c r="D15046" s="19"/>
      <c r="E15046" s="57"/>
      <c r="H15046" s="18"/>
    </row>
    <row r="15047">
      <c r="C15047" s="18"/>
      <c r="D15047" s="19"/>
      <c r="E15047" s="57"/>
      <c r="H15047" s="18"/>
    </row>
    <row r="15048">
      <c r="C15048" s="18"/>
      <c r="D15048" s="19"/>
      <c r="E15048" s="57"/>
      <c r="H15048" s="18"/>
    </row>
    <row r="15049">
      <c r="C15049" s="18"/>
      <c r="D15049" s="19"/>
      <c r="E15049" s="57"/>
      <c r="H15049" s="18"/>
    </row>
    <row r="15050">
      <c r="C15050" s="18"/>
      <c r="D15050" s="19"/>
      <c r="E15050" s="57"/>
      <c r="H15050" s="18"/>
    </row>
    <row r="15051">
      <c r="C15051" s="18"/>
      <c r="D15051" s="19"/>
      <c r="E15051" s="57"/>
      <c r="H15051" s="18"/>
    </row>
    <row r="15052">
      <c r="C15052" s="18"/>
      <c r="D15052" s="19"/>
      <c r="E15052" s="57"/>
      <c r="H15052" s="18"/>
    </row>
    <row r="15053">
      <c r="C15053" s="18"/>
      <c r="D15053" s="19"/>
      <c r="E15053" s="57"/>
      <c r="H15053" s="18"/>
    </row>
    <row r="15054">
      <c r="C15054" s="18"/>
      <c r="D15054" s="19"/>
      <c r="E15054" s="57"/>
      <c r="H15054" s="18"/>
    </row>
    <row r="15055">
      <c r="C15055" s="18"/>
      <c r="D15055" s="19"/>
      <c r="E15055" s="57"/>
      <c r="H15055" s="18"/>
    </row>
    <row r="15056">
      <c r="C15056" s="18"/>
      <c r="D15056" s="19"/>
      <c r="E15056" s="57"/>
      <c r="H15056" s="18"/>
    </row>
    <row r="15057">
      <c r="C15057" s="18"/>
      <c r="D15057" s="19"/>
      <c r="E15057" s="57"/>
      <c r="H15057" s="18"/>
    </row>
    <row r="15058">
      <c r="C15058" s="18"/>
      <c r="D15058" s="19"/>
      <c r="E15058" s="57"/>
      <c r="H15058" s="18"/>
    </row>
    <row r="15059">
      <c r="C15059" s="18"/>
      <c r="D15059" s="19"/>
      <c r="E15059" s="57"/>
      <c r="H15059" s="18"/>
    </row>
    <row r="15060">
      <c r="C15060" s="18"/>
      <c r="D15060" s="19"/>
      <c r="E15060" s="57"/>
      <c r="H15060" s="18"/>
    </row>
    <row r="15061">
      <c r="C15061" s="18"/>
      <c r="D15061" s="19"/>
      <c r="E15061" s="57"/>
      <c r="H15061" s="18"/>
    </row>
    <row r="15062">
      <c r="C15062" s="18"/>
      <c r="D15062" s="19"/>
      <c r="E15062" s="57"/>
      <c r="H15062" s="18"/>
    </row>
    <row r="15063">
      <c r="C15063" s="18"/>
      <c r="D15063" s="19"/>
      <c r="E15063" s="57"/>
      <c r="H15063" s="18"/>
    </row>
    <row r="15064">
      <c r="C15064" s="18"/>
      <c r="D15064" s="19"/>
      <c r="E15064" s="57"/>
      <c r="H15064" s="18"/>
    </row>
    <row r="15065">
      <c r="C15065" s="18"/>
      <c r="D15065" s="19"/>
      <c r="E15065" s="57"/>
      <c r="H15065" s="18"/>
    </row>
    <row r="15066">
      <c r="C15066" s="18"/>
      <c r="D15066" s="19"/>
      <c r="E15066" s="57"/>
      <c r="H15066" s="18"/>
    </row>
    <row r="15067">
      <c r="C15067" s="18"/>
      <c r="D15067" s="19"/>
      <c r="E15067" s="57"/>
      <c r="H15067" s="18"/>
    </row>
    <row r="15068">
      <c r="C15068" s="18"/>
      <c r="D15068" s="19"/>
      <c r="E15068" s="57"/>
      <c r="H15068" s="18"/>
    </row>
    <row r="15069">
      <c r="C15069" s="18"/>
      <c r="D15069" s="19"/>
      <c r="E15069" s="57"/>
      <c r="H15069" s="18"/>
    </row>
    <row r="15070">
      <c r="C15070" s="18"/>
      <c r="D15070" s="19"/>
      <c r="E15070" s="57"/>
      <c r="H15070" s="18"/>
    </row>
    <row r="15071">
      <c r="C15071" s="18"/>
      <c r="D15071" s="19"/>
      <c r="E15071" s="57"/>
      <c r="H15071" s="18"/>
    </row>
    <row r="15072">
      <c r="C15072" s="18"/>
      <c r="D15072" s="19"/>
      <c r="E15072" s="57"/>
      <c r="H15072" s="18"/>
    </row>
    <row r="15073">
      <c r="C15073" s="18"/>
      <c r="D15073" s="19"/>
      <c r="E15073" s="57"/>
      <c r="H15073" s="18"/>
    </row>
    <row r="15074">
      <c r="C15074" s="18"/>
      <c r="D15074" s="19"/>
      <c r="E15074" s="57"/>
      <c r="H15074" s="18"/>
    </row>
    <row r="15075">
      <c r="C15075" s="18"/>
      <c r="D15075" s="19"/>
      <c r="E15075" s="57"/>
      <c r="H15075" s="18"/>
    </row>
    <row r="15076">
      <c r="C15076" s="18"/>
      <c r="D15076" s="19"/>
      <c r="E15076" s="57"/>
      <c r="H15076" s="18"/>
    </row>
    <row r="15077">
      <c r="C15077" s="18"/>
      <c r="D15077" s="19"/>
      <c r="E15077" s="57"/>
      <c r="H15077" s="18"/>
    </row>
    <row r="15078">
      <c r="C15078" s="18"/>
      <c r="D15078" s="19"/>
      <c r="E15078" s="57"/>
      <c r="H15078" s="18"/>
    </row>
    <row r="15079">
      <c r="C15079" s="18"/>
      <c r="D15079" s="19"/>
      <c r="E15079" s="57"/>
      <c r="H15079" s="18"/>
    </row>
    <row r="15080">
      <c r="C15080" s="18"/>
      <c r="D15080" s="19"/>
      <c r="E15080" s="57"/>
      <c r="H15080" s="18"/>
    </row>
    <row r="15081">
      <c r="C15081" s="18"/>
      <c r="D15081" s="19"/>
      <c r="E15081" s="57"/>
      <c r="H15081" s="18"/>
    </row>
    <row r="15082">
      <c r="C15082" s="18"/>
      <c r="D15082" s="19"/>
      <c r="E15082" s="57"/>
      <c r="H15082" s="18"/>
    </row>
    <row r="15083">
      <c r="C15083" s="18"/>
      <c r="D15083" s="19"/>
      <c r="E15083" s="57"/>
      <c r="H15083" s="18"/>
    </row>
    <row r="15084">
      <c r="C15084" s="18"/>
      <c r="D15084" s="19"/>
      <c r="E15084" s="57"/>
      <c r="H15084" s="18"/>
    </row>
    <row r="15085">
      <c r="C15085" s="18"/>
      <c r="D15085" s="19"/>
      <c r="E15085" s="57"/>
      <c r="H15085" s="18"/>
    </row>
    <row r="15086">
      <c r="C15086" s="18"/>
      <c r="D15086" s="19"/>
      <c r="E15086" s="57"/>
      <c r="H15086" s="18"/>
    </row>
    <row r="15087">
      <c r="C15087" s="18"/>
      <c r="D15087" s="19"/>
      <c r="E15087" s="57"/>
      <c r="H15087" s="18"/>
    </row>
    <row r="15088">
      <c r="C15088" s="18"/>
      <c r="D15088" s="19"/>
      <c r="E15088" s="57"/>
      <c r="H15088" s="18"/>
    </row>
    <row r="15089">
      <c r="C15089" s="18"/>
      <c r="D15089" s="19"/>
      <c r="E15089" s="57"/>
      <c r="H15089" s="18"/>
    </row>
    <row r="15090">
      <c r="C15090" s="18"/>
      <c r="D15090" s="19"/>
      <c r="E15090" s="57"/>
      <c r="H15090" s="18"/>
    </row>
    <row r="15091">
      <c r="C15091" s="18"/>
      <c r="D15091" s="19"/>
      <c r="E15091" s="57"/>
      <c r="H15091" s="18"/>
    </row>
    <row r="15092">
      <c r="C15092" s="18"/>
      <c r="D15092" s="19"/>
      <c r="E15092" s="57"/>
      <c r="H15092" s="18"/>
    </row>
    <row r="15093">
      <c r="C15093" s="18"/>
      <c r="D15093" s="19"/>
      <c r="E15093" s="57"/>
      <c r="H15093" s="18"/>
    </row>
    <row r="15094">
      <c r="C15094" s="18"/>
      <c r="D15094" s="19"/>
      <c r="E15094" s="57"/>
      <c r="H15094" s="18"/>
    </row>
    <row r="15095">
      <c r="C15095" s="18"/>
      <c r="D15095" s="19"/>
      <c r="E15095" s="57"/>
      <c r="H15095" s="18"/>
    </row>
    <row r="15096">
      <c r="C15096" s="18"/>
      <c r="D15096" s="19"/>
      <c r="E15096" s="57"/>
      <c r="H15096" s="18"/>
    </row>
    <row r="15097">
      <c r="C15097" s="18"/>
      <c r="D15097" s="19"/>
      <c r="E15097" s="57"/>
      <c r="H15097" s="18"/>
    </row>
    <row r="15098">
      <c r="C15098" s="18"/>
      <c r="D15098" s="19"/>
      <c r="E15098" s="57"/>
      <c r="H15098" s="18"/>
    </row>
    <row r="15099">
      <c r="C15099" s="18"/>
      <c r="D15099" s="19"/>
      <c r="E15099" s="57"/>
      <c r="H15099" s="18"/>
    </row>
    <row r="15100">
      <c r="C15100" s="18"/>
      <c r="D15100" s="19"/>
      <c r="E15100" s="57"/>
      <c r="H15100" s="18"/>
    </row>
    <row r="15101">
      <c r="C15101" s="18"/>
      <c r="D15101" s="19"/>
      <c r="E15101" s="57"/>
      <c r="H15101" s="18"/>
    </row>
    <row r="15102">
      <c r="C15102" s="18"/>
      <c r="D15102" s="19"/>
      <c r="E15102" s="57"/>
      <c r="H15102" s="18"/>
    </row>
    <row r="15103">
      <c r="C15103" s="18"/>
      <c r="D15103" s="19"/>
      <c r="E15103" s="57"/>
      <c r="H15103" s="18"/>
    </row>
    <row r="15104">
      <c r="C15104" s="18"/>
      <c r="D15104" s="19"/>
      <c r="E15104" s="57"/>
      <c r="H15104" s="18"/>
    </row>
    <row r="15105">
      <c r="C15105" s="18"/>
      <c r="D15105" s="19"/>
      <c r="E15105" s="57"/>
      <c r="H15105" s="18"/>
    </row>
    <row r="15106">
      <c r="C15106" s="18"/>
      <c r="D15106" s="19"/>
      <c r="E15106" s="57"/>
      <c r="H15106" s="18"/>
    </row>
    <row r="15107">
      <c r="C15107" s="18"/>
      <c r="D15107" s="19"/>
      <c r="E15107" s="57"/>
      <c r="H15107" s="18"/>
    </row>
    <row r="15108">
      <c r="C15108" s="18"/>
      <c r="D15108" s="19"/>
      <c r="E15108" s="57"/>
      <c r="H15108" s="18"/>
    </row>
    <row r="15109">
      <c r="C15109" s="18"/>
      <c r="D15109" s="19"/>
      <c r="E15109" s="57"/>
      <c r="H15109" s="18"/>
    </row>
    <row r="15110">
      <c r="C15110" s="18"/>
      <c r="D15110" s="19"/>
      <c r="E15110" s="57"/>
      <c r="H15110" s="18"/>
    </row>
    <row r="15111">
      <c r="C15111" s="18"/>
      <c r="D15111" s="19"/>
      <c r="E15111" s="57"/>
      <c r="H15111" s="18"/>
    </row>
    <row r="15112">
      <c r="C15112" s="18"/>
      <c r="D15112" s="19"/>
      <c r="E15112" s="57"/>
      <c r="H15112" s="18"/>
    </row>
    <row r="15113">
      <c r="C15113" s="18"/>
      <c r="D15113" s="19"/>
      <c r="E15113" s="57"/>
      <c r="H15113" s="18"/>
    </row>
    <row r="15114">
      <c r="C15114" s="18"/>
      <c r="D15114" s="19"/>
      <c r="E15114" s="57"/>
      <c r="H15114" s="18"/>
    </row>
    <row r="15115">
      <c r="C15115" s="18"/>
      <c r="D15115" s="19"/>
      <c r="E15115" s="57"/>
      <c r="H15115" s="18"/>
    </row>
    <row r="15116">
      <c r="C15116" s="18"/>
      <c r="D15116" s="19"/>
      <c r="E15116" s="57"/>
      <c r="H15116" s="18"/>
    </row>
    <row r="15117">
      <c r="C15117" s="18"/>
      <c r="D15117" s="19"/>
      <c r="E15117" s="57"/>
      <c r="H15117" s="18"/>
    </row>
    <row r="15118">
      <c r="C15118" s="18"/>
      <c r="D15118" s="19"/>
      <c r="E15118" s="57"/>
      <c r="H15118" s="18"/>
    </row>
    <row r="15119">
      <c r="C15119" s="18"/>
      <c r="D15119" s="19"/>
      <c r="E15119" s="57"/>
      <c r="H15119" s="18"/>
    </row>
    <row r="15120">
      <c r="C15120" s="18"/>
      <c r="D15120" s="19"/>
      <c r="E15120" s="57"/>
      <c r="H15120" s="18"/>
    </row>
    <row r="15121">
      <c r="C15121" s="18"/>
      <c r="D15121" s="19"/>
      <c r="E15121" s="57"/>
      <c r="H15121" s="18"/>
    </row>
    <row r="15122">
      <c r="C15122" s="18"/>
      <c r="D15122" s="19"/>
      <c r="E15122" s="57"/>
      <c r="H15122" s="18"/>
    </row>
    <row r="15123">
      <c r="C15123" s="18"/>
      <c r="D15123" s="19"/>
      <c r="E15123" s="57"/>
      <c r="H15123" s="18"/>
    </row>
    <row r="15124">
      <c r="C15124" s="18"/>
      <c r="D15124" s="19"/>
      <c r="E15124" s="57"/>
      <c r="H15124" s="18"/>
    </row>
    <row r="15125">
      <c r="C15125" s="18"/>
      <c r="D15125" s="19"/>
      <c r="E15125" s="57"/>
      <c r="H15125" s="18"/>
    </row>
    <row r="15126">
      <c r="C15126" s="18"/>
      <c r="D15126" s="19"/>
      <c r="E15126" s="57"/>
      <c r="H15126" s="18"/>
    </row>
    <row r="15127">
      <c r="C15127" s="18"/>
      <c r="D15127" s="19"/>
      <c r="E15127" s="57"/>
      <c r="H15127" s="18"/>
    </row>
    <row r="15128">
      <c r="C15128" s="18"/>
      <c r="D15128" s="19"/>
      <c r="E15128" s="57"/>
      <c r="H15128" s="18"/>
    </row>
    <row r="15129">
      <c r="C15129" s="18"/>
      <c r="D15129" s="19"/>
      <c r="E15129" s="57"/>
      <c r="H15129" s="18"/>
    </row>
    <row r="15130">
      <c r="C15130" s="18"/>
      <c r="D15130" s="19"/>
      <c r="E15130" s="57"/>
      <c r="H15130" s="18"/>
    </row>
    <row r="15131">
      <c r="C15131" s="18"/>
      <c r="D15131" s="19"/>
      <c r="E15131" s="57"/>
      <c r="H15131" s="18"/>
    </row>
    <row r="15132">
      <c r="C15132" s="18"/>
      <c r="D15132" s="19"/>
      <c r="E15132" s="57"/>
      <c r="H15132" s="18"/>
    </row>
    <row r="15133">
      <c r="C15133" s="18"/>
      <c r="D15133" s="19"/>
      <c r="E15133" s="57"/>
      <c r="H15133" s="18"/>
    </row>
    <row r="15134">
      <c r="C15134" s="18"/>
      <c r="D15134" s="19"/>
      <c r="E15134" s="57"/>
      <c r="H15134" s="18"/>
    </row>
    <row r="15135">
      <c r="C15135" s="18"/>
      <c r="D15135" s="19"/>
      <c r="E15135" s="57"/>
      <c r="H15135" s="18"/>
    </row>
    <row r="15136">
      <c r="C15136" s="18"/>
      <c r="D15136" s="19"/>
      <c r="E15136" s="57"/>
      <c r="H15136" s="18"/>
    </row>
    <row r="15137">
      <c r="C15137" s="18"/>
      <c r="D15137" s="19"/>
      <c r="E15137" s="57"/>
      <c r="H15137" s="18"/>
    </row>
    <row r="15138">
      <c r="C15138" s="18"/>
      <c r="D15138" s="19"/>
      <c r="E15138" s="57"/>
      <c r="H15138" s="18"/>
    </row>
    <row r="15139">
      <c r="C15139" s="18"/>
      <c r="D15139" s="19"/>
      <c r="E15139" s="57"/>
      <c r="H15139" s="18"/>
    </row>
    <row r="15140">
      <c r="C15140" s="18"/>
      <c r="D15140" s="19"/>
      <c r="E15140" s="57"/>
      <c r="H15140" s="18"/>
    </row>
    <row r="15141">
      <c r="C15141" s="18"/>
      <c r="D15141" s="19"/>
      <c r="E15141" s="57"/>
      <c r="H15141" s="18"/>
    </row>
    <row r="15142">
      <c r="C15142" s="18"/>
      <c r="D15142" s="19"/>
      <c r="E15142" s="57"/>
      <c r="H15142" s="18"/>
    </row>
    <row r="15143">
      <c r="C15143" s="18"/>
      <c r="D15143" s="19"/>
      <c r="E15143" s="57"/>
      <c r="H15143" s="18"/>
    </row>
    <row r="15144">
      <c r="C15144" s="18"/>
      <c r="D15144" s="19"/>
      <c r="E15144" s="57"/>
      <c r="H15144" s="18"/>
    </row>
    <row r="15145">
      <c r="C15145" s="18"/>
      <c r="D15145" s="19"/>
      <c r="E15145" s="57"/>
      <c r="H15145" s="18"/>
    </row>
    <row r="15146">
      <c r="C15146" s="18"/>
      <c r="D15146" s="19"/>
      <c r="E15146" s="57"/>
      <c r="H15146" s="18"/>
    </row>
    <row r="15147">
      <c r="C15147" s="18"/>
      <c r="D15147" s="19"/>
      <c r="E15147" s="57"/>
      <c r="H15147" s="18"/>
    </row>
    <row r="15148">
      <c r="C15148" s="18"/>
      <c r="D15148" s="19"/>
      <c r="E15148" s="57"/>
      <c r="H15148" s="18"/>
    </row>
    <row r="15149">
      <c r="C15149" s="18"/>
      <c r="D15149" s="19"/>
      <c r="E15149" s="57"/>
      <c r="H15149" s="18"/>
    </row>
    <row r="15150">
      <c r="C15150" s="18"/>
      <c r="D15150" s="19"/>
      <c r="E15150" s="57"/>
      <c r="H15150" s="18"/>
    </row>
    <row r="15151">
      <c r="C15151" s="18"/>
      <c r="D15151" s="19"/>
      <c r="E15151" s="57"/>
      <c r="H15151" s="18"/>
    </row>
    <row r="15152">
      <c r="C15152" s="18"/>
      <c r="D15152" s="19"/>
      <c r="E15152" s="57"/>
      <c r="H15152" s="18"/>
    </row>
    <row r="15153">
      <c r="C15153" s="18"/>
      <c r="D15153" s="19"/>
      <c r="E15153" s="57"/>
      <c r="H15153" s="18"/>
    </row>
    <row r="15154">
      <c r="C15154" s="18"/>
      <c r="D15154" s="19"/>
      <c r="E15154" s="57"/>
      <c r="H15154" s="18"/>
    </row>
    <row r="15155">
      <c r="C15155" s="18"/>
      <c r="D15155" s="19"/>
      <c r="E15155" s="57"/>
      <c r="H15155" s="18"/>
    </row>
    <row r="15156">
      <c r="C15156" s="18"/>
      <c r="D15156" s="19"/>
      <c r="E15156" s="57"/>
      <c r="H15156" s="18"/>
    </row>
    <row r="15157">
      <c r="C15157" s="18"/>
      <c r="D15157" s="19"/>
      <c r="E15157" s="57"/>
      <c r="H15157" s="18"/>
    </row>
    <row r="15158">
      <c r="C15158" s="18"/>
      <c r="D15158" s="19"/>
      <c r="E15158" s="57"/>
      <c r="H15158" s="18"/>
    </row>
    <row r="15159">
      <c r="C15159" s="18"/>
      <c r="D15159" s="19"/>
      <c r="E15159" s="57"/>
      <c r="H15159" s="18"/>
    </row>
    <row r="15160">
      <c r="C15160" s="18"/>
      <c r="D15160" s="19"/>
      <c r="E15160" s="57"/>
      <c r="H15160" s="18"/>
    </row>
    <row r="15161">
      <c r="C15161" s="18"/>
      <c r="D15161" s="19"/>
      <c r="E15161" s="57"/>
      <c r="H15161" s="18"/>
    </row>
    <row r="15162">
      <c r="C15162" s="18"/>
      <c r="D15162" s="19"/>
      <c r="E15162" s="57"/>
      <c r="H15162" s="18"/>
    </row>
    <row r="15163">
      <c r="C15163" s="18"/>
      <c r="D15163" s="19"/>
      <c r="E15163" s="57"/>
      <c r="H15163" s="18"/>
    </row>
    <row r="15164">
      <c r="C15164" s="18"/>
      <c r="D15164" s="19"/>
      <c r="E15164" s="57"/>
      <c r="H15164" s="18"/>
    </row>
    <row r="15165">
      <c r="C15165" s="18"/>
      <c r="D15165" s="19"/>
      <c r="E15165" s="57"/>
      <c r="H15165" s="18"/>
    </row>
    <row r="15166">
      <c r="C15166" s="18"/>
      <c r="D15166" s="19"/>
      <c r="E15166" s="57"/>
      <c r="H15166" s="18"/>
    </row>
    <row r="15167">
      <c r="C15167" s="18"/>
      <c r="D15167" s="19"/>
      <c r="E15167" s="57"/>
      <c r="H15167" s="18"/>
    </row>
    <row r="15168">
      <c r="C15168" s="18"/>
      <c r="D15168" s="19"/>
      <c r="E15168" s="57"/>
      <c r="H15168" s="18"/>
    </row>
    <row r="15169">
      <c r="C15169" s="18"/>
      <c r="D15169" s="19"/>
      <c r="E15169" s="57"/>
      <c r="H15169" s="18"/>
    </row>
    <row r="15170">
      <c r="C15170" s="18"/>
      <c r="D15170" s="19"/>
      <c r="E15170" s="57"/>
      <c r="H15170" s="18"/>
    </row>
    <row r="15171">
      <c r="C15171" s="18"/>
      <c r="D15171" s="19"/>
      <c r="E15171" s="57"/>
      <c r="H15171" s="18"/>
    </row>
    <row r="15172">
      <c r="C15172" s="18"/>
      <c r="D15172" s="19"/>
      <c r="E15172" s="57"/>
      <c r="H15172" s="18"/>
    </row>
    <row r="15173">
      <c r="C15173" s="18"/>
      <c r="D15173" s="19"/>
      <c r="E15173" s="57"/>
      <c r="H15173" s="18"/>
    </row>
    <row r="15174">
      <c r="C15174" s="18"/>
      <c r="D15174" s="19"/>
      <c r="E15174" s="57"/>
      <c r="H15174" s="18"/>
    </row>
    <row r="15175">
      <c r="C15175" s="18"/>
      <c r="D15175" s="19"/>
      <c r="E15175" s="57"/>
      <c r="H15175" s="18"/>
    </row>
    <row r="15176">
      <c r="C15176" s="18"/>
      <c r="D15176" s="19"/>
      <c r="E15176" s="57"/>
      <c r="H15176" s="18"/>
    </row>
    <row r="15177">
      <c r="C15177" s="18"/>
      <c r="D15177" s="19"/>
      <c r="E15177" s="57"/>
      <c r="H15177" s="18"/>
    </row>
    <row r="15178">
      <c r="C15178" s="18"/>
      <c r="D15178" s="19"/>
      <c r="E15178" s="57"/>
      <c r="H15178" s="18"/>
    </row>
    <row r="15179">
      <c r="C15179" s="18"/>
      <c r="D15179" s="19"/>
      <c r="E15179" s="57"/>
      <c r="H15179" s="18"/>
    </row>
    <row r="15180">
      <c r="C15180" s="18"/>
      <c r="D15180" s="19"/>
      <c r="E15180" s="57"/>
      <c r="H15180" s="18"/>
    </row>
    <row r="15181">
      <c r="C15181" s="18"/>
      <c r="D15181" s="19"/>
      <c r="E15181" s="57"/>
      <c r="H15181" s="18"/>
    </row>
    <row r="15182">
      <c r="C15182" s="18"/>
      <c r="D15182" s="19"/>
      <c r="E15182" s="57"/>
      <c r="H15182" s="18"/>
    </row>
    <row r="15183">
      <c r="C15183" s="18"/>
      <c r="D15183" s="19"/>
      <c r="E15183" s="57"/>
      <c r="H15183" s="18"/>
    </row>
    <row r="15184">
      <c r="C15184" s="18"/>
      <c r="D15184" s="19"/>
      <c r="E15184" s="57"/>
      <c r="H15184" s="18"/>
    </row>
    <row r="15185">
      <c r="C15185" s="18"/>
      <c r="D15185" s="19"/>
      <c r="E15185" s="57"/>
      <c r="H15185" s="18"/>
    </row>
    <row r="15186">
      <c r="C15186" s="18"/>
      <c r="D15186" s="19"/>
      <c r="E15186" s="57"/>
      <c r="H15186" s="18"/>
    </row>
    <row r="15187">
      <c r="C15187" s="18"/>
      <c r="D15187" s="19"/>
      <c r="E15187" s="57"/>
      <c r="H15187" s="18"/>
    </row>
    <row r="15188">
      <c r="C15188" s="18"/>
      <c r="D15188" s="19"/>
      <c r="E15188" s="57"/>
      <c r="H15188" s="18"/>
    </row>
    <row r="15189">
      <c r="C15189" s="18"/>
      <c r="D15189" s="19"/>
      <c r="E15189" s="57"/>
      <c r="H15189" s="18"/>
    </row>
    <row r="15190">
      <c r="C15190" s="18"/>
      <c r="D15190" s="19"/>
      <c r="E15190" s="57"/>
      <c r="H15190" s="18"/>
    </row>
    <row r="15191">
      <c r="C15191" s="18"/>
      <c r="D15191" s="19"/>
      <c r="E15191" s="57"/>
      <c r="H15191" s="18"/>
    </row>
    <row r="15192">
      <c r="C15192" s="18"/>
      <c r="D15192" s="19"/>
      <c r="E15192" s="57"/>
      <c r="H15192" s="18"/>
    </row>
    <row r="15193">
      <c r="C15193" s="18"/>
      <c r="D15193" s="19"/>
      <c r="E15193" s="57"/>
      <c r="H15193" s="18"/>
    </row>
    <row r="15194">
      <c r="C15194" s="18"/>
      <c r="D15194" s="19"/>
      <c r="E15194" s="57"/>
      <c r="H15194" s="18"/>
    </row>
    <row r="15195">
      <c r="C15195" s="18"/>
      <c r="D15195" s="19"/>
      <c r="E15195" s="57"/>
      <c r="H15195" s="18"/>
    </row>
    <row r="15196">
      <c r="C15196" s="18"/>
      <c r="D15196" s="19"/>
      <c r="E15196" s="57"/>
      <c r="H15196" s="18"/>
    </row>
    <row r="15197">
      <c r="C15197" s="18"/>
      <c r="D15197" s="19"/>
      <c r="E15197" s="57"/>
      <c r="H15197" s="18"/>
    </row>
    <row r="15198">
      <c r="C15198" s="18"/>
      <c r="D15198" s="19"/>
      <c r="E15198" s="57"/>
      <c r="H15198" s="18"/>
    </row>
    <row r="15199">
      <c r="C15199" s="18"/>
      <c r="D15199" s="19"/>
      <c r="E15199" s="57"/>
      <c r="H15199" s="18"/>
    </row>
    <row r="15200">
      <c r="C15200" s="18"/>
      <c r="D15200" s="19"/>
      <c r="E15200" s="57"/>
      <c r="H15200" s="18"/>
    </row>
    <row r="15201">
      <c r="C15201" s="18"/>
      <c r="D15201" s="19"/>
      <c r="E15201" s="57"/>
      <c r="H15201" s="18"/>
    </row>
    <row r="15202">
      <c r="C15202" s="18"/>
      <c r="D15202" s="19"/>
      <c r="E15202" s="57"/>
      <c r="H15202" s="18"/>
    </row>
    <row r="15203">
      <c r="C15203" s="18"/>
      <c r="D15203" s="19"/>
      <c r="E15203" s="57"/>
      <c r="H15203" s="18"/>
    </row>
    <row r="15204">
      <c r="C15204" s="18"/>
      <c r="D15204" s="19"/>
      <c r="E15204" s="57"/>
      <c r="H15204" s="18"/>
    </row>
    <row r="15205">
      <c r="C15205" s="18"/>
      <c r="D15205" s="19"/>
      <c r="E15205" s="57"/>
      <c r="H15205" s="18"/>
    </row>
    <row r="15206">
      <c r="C15206" s="18"/>
      <c r="D15206" s="19"/>
      <c r="E15206" s="57"/>
      <c r="H15206" s="18"/>
    </row>
    <row r="15207">
      <c r="C15207" s="18"/>
      <c r="D15207" s="19"/>
      <c r="E15207" s="57"/>
      <c r="H15207" s="18"/>
    </row>
    <row r="15208">
      <c r="C15208" s="18"/>
      <c r="D15208" s="19"/>
      <c r="E15208" s="57"/>
      <c r="H15208" s="18"/>
    </row>
    <row r="15209">
      <c r="C15209" s="18"/>
      <c r="D15209" s="19"/>
      <c r="E15209" s="57"/>
      <c r="H15209" s="18"/>
    </row>
    <row r="15210">
      <c r="C15210" s="18"/>
      <c r="D15210" s="19"/>
      <c r="E15210" s="57"/>
      <c r="H15210" s="18"/>
    </row>
    <row r="15211">
      <c r="C15211" s="18"/>
      <c r="D15211" s="19"/>
      <c r="E15211" s="57"/>
      <c r="H15211" s="18"/>
    </row>
    <row r="15212">
      <c r="C15212" s="18"/>
      <c r="D15212" s="19"/>
      <c r="E15212" s="57"/>
      <c r="H15212" s="18"/>
    </row>
    <row r="15213">
      <c r="C15213" s="18"/>
      <c r="D15213" s="19"/>
      <c r="E15213" s="57"/>
      <c r="H15213" s="18"/>
    </row>
    <row r="15214">
      <c r="C15214" s="18"/>
      <c r="D15214" s="19"/>
      <c r="E15214" s="57"/>
      <c r="H15214" s="18"/>
    </row>
    <row r="15215">
      <c r="C15215" s="18"/>
      <c r="D15215" s="19"/>
      <c r="E15215" s="57"/>
      <c r="H15215" s="18"/>
    </row>
    <row r="15216">
      <c r="C15216" s="18"/>
      <c r="D15216" s="19"/>
      <c r="E15216" s="57"/>
      <c r="H15216" s="18"/>
    </row>
    <row r="15217">
      <c r="C15217" s="18"/>
      <c r="D15217" s="19"/>
      <c r="E15217" s="57"/>
      <c r="H15217" s="18"/>
    </row>
    <row r="15218">
      <c r="C15218" s="18"/>
      <c r="D15218" s="19"/>
      <c r="E15218" s="57"/>
      <c r="H15218" s="18"/>
    </row>
    <row r="15219">
      <c r="C15219" s="18"/>
      <c r="D15219" s="19"/>
      <c r="E15219" s="57"/>
      <c r="H15219" s="18"/>
    </row>
    <row r="15220">
      <c r="C15220" s="18"/>
      <c r="D15220" s="19"/>
      <c r="E15220" s="57"/>
      <c r="H15220" s="18"/>
    </row>
    <row r="15221">
      <c r="C15221" s="18"/>
      <c r="D15221" s="19"/>
      <c r="E15221" s="57"/>
      <c r="H15221" s="18"/>
    </row>
    <row r="15222">
      <c r="C15222" s="18"/>
      <c r="D15222" s="19"/>
      <c r="E15222" s="57"/>
      <c r="H15222" s="18"/>
    </row>
    <row r="15223">
      <c r="C15223" s="18"/>
      <c r="D15223" s="19"/>
      <c r="E15223" s="57"/>
      <c r="H15223" s="18"/>
    </row>
    <row r="15224">
      <c r="C15224" s="18"/>
      <c r="D15224" s="19"/>
      <c r="E15224" s="57"/>
      <c r="H15224" s="18"/>
    </row>
    <row r="15225">
      <c r="C15225" s="18"/>
      <c r="D15225" s="19"/>
      <c r="E15225" s="57"/>
      <c r="H15225" s="18"/>
    </row>
    <row r="15226">
      <c r="C15226" s="18"/>
      <c r="D15226" s="19"/>
      <c r="E15226" s="57"/>
      <c r="H15226" s="18"/>
    </row>
    <row r="15227">
      <c r="C15227" s="18"/>
      <c r="D15227" s="19"/>
      <c r="E15227" s="57"/>
      <c r="H15227" s="18"/>
    </row>
    <row r="15228">
      <c r="C15228" s="18"/>
      <c r="D15228" s="19"/>
      <c r="E15228" s="57"/>
      <c r="H15228" s="18"/>
    </row>
    <row r="15229">
      <c r="C15229" s="18"/>
      <c r="D15229" s="19"/>
      <c r="E15229" s="57"/>
      <c r="H15229" s="18"/>
    </row>
    <row r="15230">
      <c r="C15230" s="18"/>
      <c r="D15230" s="19"/>
      <c r="E15230" s="57"/>
      <c r="H15230" s="18"/>
    </row>
    <row r="15231">
      <c r="C15231" s="18"/>
      <c r="D15231" s="19"/>
      <c r="E15231" s="57"/>
      <c r="H15231" s="18"/>
    </row>
    <row r="15232">
      <c r="C15232" s="18"/>
      <c r="D15232" s="19"/>
      <c r="E15232" s="57"/>
      <c r="H15232" s="18"/>
    </row>
    <row r="15233">
      <c r="C15233" s="18"/>
      <c r="D15233" s="19"/>
      <c r="E15233" s="57"/>
      <c r="H15233" s="18"/>
    </row>
    <row r="15234">
      <c r="C15234" s="18"/>
      <c r="D15234" s="19"/>
      <c r="E15234" s="57"/>
      <c r="H15234" s="18"/>
    </row>
    <row r="15235">
      <c r="C15235" s="18"/>
      <c r="D15235" s="19"/>
      <c r="E15235" s="57"/>
      <c r="H15235" s="18"/>
    </row>
    <row r="15236">
      <c r="C15236" s="18"/>
      <c r="D15236" s="19"/>
      <c r="E15236" s="57"/>
      <c r="H15236" s="18"/>
    </row>
    <row r="15237">
      <c r="C15237" s="18"/>
      <c r="D15237" s="19"/>
      <c r="E15237" s="57"/>
      <c r="H15237" s="18"/>
    </row>
    <row r="15238">
      <c r="C15238" s="18"/>
      <c r="D15238" s="19"/>
      <c r="E15238" s="57"/>
      <c r="H15238" s="18"/>
    </row>
    <row r="15239">
      <c r="C15239" s="18"/>
      <c r="D15239" s="19"/>
      <c r="E15239" s="57"/>
      <c r="H15239" s="18"/>
    </row>
    <row r="15240">
      <c r="C15240" s="18"/>
      <c r="D15240" s="19"/>
      <c r="E15240" s="57"/>
      <c r="H15240" s="18"/>
    </row>
    <row r="15241">
      <c r="C15241" s="18"/>
      <c r="D15241" s="19"/>
      <c r="E15241" s="57"/>
      <c r="H15241" s="18"/>
    </row>
    <row r="15242">
      <c r="C15242" s="18"/>
      <c r="D15242" s="19"/>
      <c r="E15242" s="57"/>
      <c r="H15242" s="18"/>
    </row>
    <row r="15243">
      <c r="C15243" s="18"/>
      <c r="D15243" s="19"/>
      <c r="E15243" s="57"/>
      <c r="H15243" s="18"/>
    </row>
    <row r="15244">
      <c r="C15244" s="18"/>
      <c r="D15244" s="19"/>
      <c r="E15244" s="57"/>
      <c r="H15244" s="18"/>
    </row>
    <row r="15245">
      <c r="C15245" s="18"/>
      <c r="D15245" s="19"/>
      <c r="E15245" s="57"/>
      <c r="H15245" s="18"/>
    </row>
    <row r="15246">
      <c r="C15246" s="18"/>
      <c r="D15246" s="19"/>
      <c r="E15246" s="57"/>
      <c r="H15246" s="18"/>
    </row>
    <row r="15247">
      <c r="C15247" s="18"/>
      <c r="D15247" s="19"/>
      <c r="E15247" s="57"/>
      <c r="H15247" s="18"/>
    </row>
    <row r="15248">
      <c r="C15248" s="18"/>
      <c r="D15248" s="19"/>
      <c r="E15248" s="57"/>
      <c r="H15248" s="18"/>
    </row>
    <row r="15249">
      <c r="C15249" s="18"/>
      <c r="D15249" s="19"/>
      <c r="E15249" s="57"/>
      <c r="H15249" s="18"/>
    </row>
    <row r="15250">
      <c r="C15250" s="18"/>
      <c r="D15250" s="19"/>
      <c r="E15250" s="57"/>
      <c r="H15250" s="18"/>
    </row>
    <row r="15251">
      <c r="C15251" s="18"/>
      <c r="D15251" s="19"/>
      <c r="E15251" s="57"/>
      <c r="H15251" s="18"/>
    </row>
    <row r="15252">
      <c r="C15252" s="18"/>
      <c r="D15252" s="19"/>
      <c r="E15252" s="57"/>
      <c r="H15252" s="18"/>
    </row>
    <row r="15253">
      <c r="C15253" s="18"/>
      <c r="D15253" s="19"/>
      <c r="E15253" s="57"/>
      <c r="H15253" s="18"/>
    </row>
    <row r="15254">
      <c r="C15254" s="18"/>
      <c r="D15254" s="19"/>
      <c r="E15254" s="57"/>
      <c r="H15254" s="18"/>
    </row>
    <row r="15255">
      <c r="C15255" s="18"/>
      <c r="D15255" s="19"/>
      <c r="E15255" s="57"/>
      <c r="H15255" s="18"/>
    </row>
    <row r="15256">
      <c r="C15256" s="18"/>
      <c r="D15256" s="19"/>
      <c r="E15256" s="57"/>
      <c r="H15256" s="18"/>
    </row>
    <row r="15257">
      <c r="C15257" s="18"/>
      <c r="D15257" s="19"/>
      <c r="E15257" s="57"/>
      <c r="H15257" s="18"/>
    </row>
    <row r="15258">
      <c r="C15258" s="18"/>
      <c r="D15258" s="19"/>
      <c r="E15258" s="57"/>
      <c r="H15258" s="18"/>
    </row>
    <row r="15259">
      <c r="C15259" s="18"/>
      <c r="D15259" s="19"/>
      <c r="E15259" s="57"/>
      <c r="H15259" s="18"/>
    </row>
    <row r="15260">
      <c r="C15260" s="18"/>
      <c r="D15260" s="19"/>
      <c r="E15260" s="57"/>
      <c r="H15260" s="18"/>
    </row>
    <row r="15261">
      <c r="C15261" s="18"/>
      <c r="D15261" s="19"/>
      <c r="E15261" s="57"/>
      <c r="H15261" s="18"/>
    </row>
    <row r="15262">
      <c r="C15262" s="18"/>
      <c r="D15262" s="19"/>
      <c r="E15262" s="57"/>
      <c r="H15262" s="18"/>
    </row>
    <row r="15263">
      <c r="C15263" s="18"/>
      <c r="D15263" s="19"/>
      <c r="E15263" s="57"/>
      <c r="H15263" s="18"/>
    </row>
    <row r="15264">
      <c r="C15264" s="18"/>
      <c r="D15264" s="19"/>
      <c r="E15264" s="57"/>
      <c r="H15264" s="18"/>
    </row>
    <row r="15265">
      <c r="C15265" s="18"/>
      <c r="D15265" s="19"/>
      <c r="E15265" s="57"/>
      <c r="H15265" s="18"/>
    </row>
    <row r="15266">
      <c r="C15266" s="18"/>
      <c r="D15266" s="19"/>
      <c r="E15266" s="57"/>
      <c r="H15266" s="18"/>
    </row>
    <row r="15267">
      <c r="C15267" s="18"/>
      <c r="D15267" s="19"/>
      <c r="E15267" s="57"/>
      <c r="H15267" s="18"/>
    </row>
    <row r="15268">
      <c r="C15268" s="18"/>
      <c r="D15268" s="19"/>
      <c r="E15268" s="57"/>
      <c r="H15268" s="18"/>
    </row>
    <row r="15269">
      <c r="C15269" s="18"/>
      <c r="D15269" s="19"/>
      <c r="E15269" s="57"/>
      <c r="H15269" s="18"/>
    </row>
    <row r="15270">
      <c r="C15270" s="18"/>
      <c r="D15270" s="19"/>
      <c r="E15270" s="57"/>
      <c r="H15270" s="18"/>
    </row>
    <row r="15271">
      <c r="C15271" s="18"/>
      <c r="D15271" s="19"/>
      <c r="E15271" s="57"/>
      <c r="H15271" s="18"/>
    </row>
    <row r="15272">
      <c r="C15272" s="18"/>
      <c r="D15272" s="19"/>
      <c r="E15272" s="57"/>
      <c r="H15272" s="18"/>
    </row>
    <row r="15273">
      <c r="C15273" s="18"/>
      <c r="D15273" s="19"/>
      <c r="E15273" s="57"/>
      <c r="H15273" s="18"/>
    </row>
    <row r="15274">
      <c r="C15274" s="18"/>
      <c r="D15274" s="19"/>
      <c r="E15274" s="57"/>
      <c r="H15274" s="18"/>
    </row>
    <row r="15275">
      <c r="C15275" s="18"/>
      <c r="D15275" s="19"/>
      <c r="E15275" s="57"/>
      <c r="H15275" s="18"/>
    </row>
    <row r="15276">
      <c r="C15276" s="18"/>
      <c r="D15276" s="19"/>
      <c r="E15276" s="57"/>
      <c r="H15276" s="18"/>
    </row>
    <row r="15277">
      <c r="C15277" s="18"/>
      <c r="D15277" s="19"/>
      <c r="E15277" s="57"/>
      <c r="H15277" s="18"/>
    </row>
    <row r="15278">
      <c r="C15278" s="18"/>
      <c r="D15278" s="19"/>
      <c r="E15278" s="57"/>
      <c r="H15278" s="18"/>
    </row>
    <row r="15279">
      <c r="C15279" s="18"/>
      <c r="D15279" s="19"/>
      <c r="E15279" s="57"/>
      <c r="H15279" s="18"/>
    </row>
    <row r="15280">
      <c r="C15280" s="18"/>
      <c r="D15280" s="19"/>
      <c r="E15280" s="57"/>
      <c r="H15280" s="18"/>
    </row>
    <row r="15281">
      <c r="C15281" s="18"/>
      <c r="D15281" s="19"/>
      <c r="E15281" s="57"/>
      <c r="H15281" s="18"/>
    </row>
    <row r="15282">
      <c r="C15282" s="18"/>
      <c r="D15282" s="19"/>
      <c r="E15282" s="57"/>
      <c r="H15282" s="18"/>
    </row>
    <row r="15283">
      <c r="C15283" s="18"/>
      <c r="D15283" s="19"/>
      <c r="E15283" s="57"/>
      <c r="H15283" s="18"/>
    </row>
    <row r="15284">
      <c r="C15284" s="18"/>
      <c r="D15284" s="19"/>
      <c r="E15284" s="57"/>
      <c r="H15284" s="18"/>
    </row>
    <row r="15285">
      <c r="C15285" s="18"/>
      <c r="D15285" s="19"/>
      <c r="E15285" s="57"/>
      <c r="H15285" s="18"/>
    </row>
    <row r="15286">
      <c r="C15286" s="18"/>
      <c r="D15286" s="19"/>
      <c r="E15286" s="57"/>
      <c r="H15286" s="18"/>
    </row>
    <row r="15287">
      <c r="C15287" s="18"/>
      <c r="D15287" s="19"/>
      <c r="E15287" s="57"/>
      <c r="H15287" s="18"/>
    </row>
    <row r="15288">
      <c r="C15288" s="18"/>
      <c r="D15288" s="19"/>
      <c r="E15288" s="57"/>
      <c r="H15288" s="18"/>
    </row>
    <row r="15289">
      <c r="C15289" s="18"/>
      <c r="D15289" s="19"/>
      <c r="E15289" s="57"/>
      <c r="H15289" s="18"/>
    </row>
    <row r="15290">
      <c r="C15290" s="18"/>
      <c r="D15290" s="19"/>
      <c r="E15290" s="57"/>
      <c r="H15290" s="18"/>
    </row>
    <row r="15291">
      <c r="C15291" s="18"/>
      <c r="D15291" s="19"/>
      <c r="E15291" s="57"/>
      <c r="H15291" s="18"/>
    </row>
    <row r="15292">
      <c r="C15292" s="18"/>
      <c r="D15292" s="19"/>
      <c r="E15292" s="57"/>
      <c r="H15292" s="18"/>
    </row>
    <row r="15293">
      <c r="C15293" s="18"/>
      <c r="D15293" s="19"/>
      <c r="E15293" s="57"/>
      <c r="H15293" s="18"/>
    </row>
    <row r="15294">
      <c r="C15294" s="18"/>
      <c r="D15294" s="19"/>
      <c r="E15294" s="57"/>
      <c r="H15294" s="18"/>
    </row>
    <row r="15295">
      <c r="C15295" s="18"/>
      <c r="D15295" s="19"/>
      <c r="E15295" s="57"/>
      <c r="H15295" s="18"/>
    </row>
    <row r="15296">
      <c r="C15296" s="18"/>
      <c r="D15296" s="19"/>
      <c r="E15296" s="57"/>
      <c r="H15296" s="18"/>
    </row>
    <row r="15297">
      <c r="C15297" s="18"/>
      <c r="D15297" s="19"/>
      <c r="E15297" s="57"/>
      <c r="H15297" s="18"/>
    </row>
    <row r="15298">
      <c r="C15298" s="18"/>
      <c r="D15298" s="19"/>
      <c r="E15298" s="57"/>
      <c r="H15298" s="18"/>
    </row>
    <row r="15299">
      <c r="C15299" s="18"/>
      <c r="D15299" s="19"/>
      <c r="E15299" s="57"/>
      <c r="H15299" s="18"/>
    </row>
    <row r="15300">
      <c r="C15300" s="18"/>
      <c r="D15300" s="19"/>
      <c r="E15300" s="57"/>
      <c r="H15300" s="18"/>
    </row>
    <row r="15301">
      <c r="C15301" s="18"/>
      <c r="D15301" s="19"/>
      <c r="E15301" s="57"/>
      <c r="H15301" s="18"/>
    </row>
    <row r="15302">
      <c r="C15302" s="18"/>
      <c r="D15302" s="19"/>
      <c r="E15302" s="57"/>
      <c r="H15302" s="18"/>
    </row>
    <row r="15303">
      <c r="C15303" s="18"/>
      <c r="D15303" s="19"/>
      <c r="E15303" s="57"/>
      <c r="H15303" s="18"/>
    </row>
    <row r="15304">
      <c r="C15304" s="18"/>
      <c r="D15304" s="19"/>
      <c r="E15304" s="57"/>
      <c r="H15304" s="18"/>
    </row>
    <row r="15305">
      <c r="C15305" s="18"/>
      <c r="D15305" s="19"/>
      <c r="E15305" s="57"/>
      <c r="H15305" s="18"/>
    </row>
    <row r="15306">
      <c r="C15306" s="18"/>
      <c r="D15306" s="19"/>
      <c r="E15306" s="57"/>
      <c r="H15306" s="18"/>
    </row>
    <row r="15307">
      <c r="C15307" s="18"/>
      <c r="D15307" s="19"/>
      <c r="E15307" s="57"/>
      <c r="H15307" s="18"/>
    </row>
    <row r="15308">
      <c r="C15308" s="18"/>
      <c r="D15308" s="19"/>
      <c r="E15308" s="57"/>
      <c r="H15308" s="18"/>
    </row>
    <row r="15309">
      <c r="C15309" s="18"/>
      <c r="D15309" s="19"/>
      <c r="E15309" s="57"/>
      <c r="H15309" s="18"/>
    </row>
    <row r="15310">
      <c r="C15310" s="18"/>
      <c r="D15310" s="19"/>
      <c r="E15310" s="57"/>
      <c r="H15310" s="18"/>
    </row>
    <row r="15311">
      <c r="C15311" s="18"/>
      <c r="D15311" s="19"/>
      <c r="E15311" s="57"/>
      <c r="H15311" s="18"/>
    </row>
    <row r="15312">
      <c r="C15312" s="18"/>
      <c r="D15312" s="19"/>
      <c r="E15312" s="57"/>
      <c r="H15312" s="18"/>
    </row>
    <row r="15313">
      <c r="C15313" s="18"/>
      <c r="D15313" s="19"/>
      <c r="E15313" s="57"/>
      <c r="H15313" s="18"/>
    </row>
    <row r="15314">
      <c r="C15314" s="18"/>
      <c r="D15314" s="19"/>
      <c r="E15314" s="57"/>
      <c r="H15314" s="18"/>
    </row>
    <row r="15315">
      <c r="C15315" s="18"/>
      <c r="D15315" s="19"/>
      <c r="E15315" s="57"/>
      <c r="H15315" s="18"/>
    </row>
    <row r="15316">
      <c r="C15316" s="18"/>
      <c r="D15316" s="19"/>
      <c r="E15316" s="57"/>
      <c r="H15316" s="18"/>
    </row>
    <row r="15317">
      <c r="C15317" s="18"/>
      <c r="D15317" s="19"/>
      <c r="E15317" s="57"/>
      <c r="H15317" s="18"/>
    </row>
    <row r="15318">
      <c r="C15318" s="18"/>
      <c r="D15318" s="19"/>
      <c r="E15318" s="57"/>
      <c r="H15318" s="18"/>
    </row>
    <row r="15319">
      <c r="C15319" s="18"/>
      <c r="D15319" s="19"/>
      <c r="E15319" s="57"/>
      <c r="H15319" s="18"/>
    </row>
    <row r="15320">
      <c r="C15320" s="18"/>
      <c r="D15320" s="19"/>
      <c r="E15320" s="57"/>
      <c r="H15320" s="18"/>
    </row>
    <row r="15321">
      <c r="C15321" s="18"/>
      <c r="D15321" s="19"/>
      <c r="E15321" s="57"/>
      <c r="H15321" s="18"/>
    </row>
    <row r="15322">
      <c r="C15322" s="18"/>
      <c r="D15322" s="19"/>
      <c r="E15322" s="57"/>
      <c r="H15322" s="18"/>
    </row>
    <row r="15323">
      <c r="C15323" s="18"/>
      <c r="D15323" s="19"/>
      <c r="E15323" s="57"/>
      <c r="H15323" s="18"/>
    </row>
    <row r="15324">
      <c r="C15324" s="18"/>
      <c r="D15324" s="19"/>
      <c r="E15324" s="57"/>
      <c r="H15324" s="18"/>
    </row>
    <row r="15325">
      <c r="C15325" s="18"/>
      <c r="D15325" s="19"/>
      <c r="E15325" s="57"/>
      <c r="H15325" s="18"/>
    </row>
    <row r="15326">
      <c r="C15326" s="18"/>
      <c r="D15326" s="19"/>
      <c r="E15326" s="57"/>
      <c r="H15326" s="18"/>
    </row>
    <row r="15327">
      <c r="C15327" s="18"/>
      <c r="D15327" s="19"/>
      <c r="E15327" s="57"/>
      <c r="H15327" s="18"/>
    </row>
    <row r="15328">
      <c r="C15328" s="18"/>
      <c r="D15328" s="19"/>
      <c r="E15328" s="57"/>
      <c r="H15328" s="18"/>
    </row>
    <row r="15329">
      <c r="C15329" s="18"/>
      <c r="D15329" s="19"/>
      <c r="E15329" s="57"/>
      <c r="H15329" s="18"/>
    </row>
    <row r="15330">
      <c r="C15330" s="18"/>
      <c r="D15330" s="19"/>
      <c r="E15330" s="57"/>
      <c r="H15330" s="18"/>
    </row>
    <row r="15331">
      <c r="C15331" s="18"/>
      <c r="D15331" s="19"/>
      <c r="E15331" s="57"/>
      <c r="H15331" s="18"/>
    </row>
    <row r="15332">
      <c r="C15332" s="18"/>
      <c r="D15332" s="19"/>
      <c r="E15332" s="57"/>
      <c r="H15332" s="18"/>
    </row>
    <row r="15333">
      <c r="C15333" s="18"/>
      <c r="D15333" s="19"/>
      <c r="E15333" s="57"/>
      <c r="H15333" s="18"/>
    </row>
    <row r="15334">
      <c r="C15334" s="18"/>
      <c r="D15334" s="19"/>
      <c r="E15334" s="57"/>
      <c r="H15334" s="18"/>
    </row>
    <row r="15335">
      <c r="C15335" s="18"/>
      <c r="D15335" s="19"/>
      <c r="E15335" s="57"/>
      <c r="H15335" s="18"/>
    </row>
    <row r="15336">
      <c r="C15336" s="18"/>
      <c r="D15336" s="19"/>
      <c r="E15336" s="57"/>
      <c r="H15336" s="18"/>
    </row>
    <row r="15337">
      <c r="C15337" s="18"/>
      <c r="D15337" s="19"/>
      <c r="E15337" s="57"/>
      <c r="H15337" s="18"/>
    </row>
    <row r="15338">
      <c r="C15338" s="18"/>
      <c r="D15338" s="19"/>
      <c r="E15338" s="57"/>
      <c r="H15338" s="18"/>
    </row>
    <row r="15339">
      <c r="C15339" s="18"/>
      <c r="D15339" s="19"/>
      <c r="E15339" s="57"/>
      <c r="H15339" s="18"/>
    </row>
    <row r="15340">
      <c r="C15340" s="18"/>
      <c r="D15340" s="19"/>
      <c r="E15340" s="57"/>
      <c r="H15340" s="18"/>
    </row>
    <row r="15341">
      <c r="C15341" s="18"/>
      <c r="D15341" s="19"/>
      <c r="E15341" s="57"/>
      <c r="H15341" s="18"/>
    </row>
    <row r="15342">
      <c r="C15342" s="18"/>
      <c r="D15342" s="19"/>
      <c r="E15342" s="57"/>
      <c r="H15342" s="18"/>
    </row>
    <row r="15343">
      <c r="C15343" s="18"/>
      <c r="D15343" s="19"/>
      <c r="E15343" s="57"/>
      <c r="H15343" s="18"/>
    </row>
    <row r="15344">
      <c r="C15344" s="18"/>
      <c r="D15344" s="19"/>
      <c r="E15344" s="57"/>
      <c r="H15344" s="18"/>
    </row>
    <row r="15345">
      <c r="C15345" s="18"/>
      <c r="D15345" s="19"/>
      <c r="E15345" s="57"/>
      <c r="H15345" s="18"/>
    </row>
    <row r="15346">
      <c r="C15346" s="18"/>
      <c r="D15346" s="19"/>
      <c r="E15346" s="57"/>
      <c r="H15346" s="18"/>
    </row>
    <row r="15347">
      <c r="C15347" s="18"/>
      <c r="D15347" s="19"/>
      <c r="E15347" s="57"/>
      <c r="H15347" s="18"/>
    </row>
    <row r="15348">
      <c r="C15348" s="18"/>
      <c r="D15348" s="19"/>
      <c r="E15348" s="57"/>
      <c r="H15348" s="18"/>
    </row>
    <row r="15349">
      <c r="C15349" s="18"/>
      <c r="D15349" s="19"/>
      <c r="E15349" s="57"/>
      <c r="H15349" s="18"/>
    </row>
    <row r="15350">
      <c r="C15350" s="18"/>
      <c r="D15350" s="19"/>
      <c r="E15350" s="57"/>
      <c r="H15350" s="18"/>
    </row>
    <row r="15351">
      <c r="C15351" s="18"/>
      <c r="D15351" s="19"/>
      <c r="E15351" s="57"/>
      <c r="H15351" s="18"/>
    </row>
    <row r="15352">
      <c r="C15352" s="18"/>
      <c r="D15352" s="19"/>
      <c r="E15352" s="57"/>
      <c r="H15352" s="18"/>
    </row>
    <row r="15353">
      <c r="C15353" s="18"/>
      <c r="D15353" s="19"/>
      <c r="E15353" s="57"/>
      <c r="H15353" s="18"/>
    </row>
    <row r="15354">
      <c r="C15354" s="18"/>
      <c r="D15354" s="19"/>
      <c r="E15354" s="57"/>
      <c r="H15354" s="18"/>
    </row>
    <row r="15355">
      <c r="C15355" s="18"/>
      <c r="D15355" s="19"/>
      <c r="E15355" s="57"/>
      <c r="H15355" s="18"/>
    </row>
    <row r="15356">
      <c r="C15356" s="18"/>
      <c r="D15356" s="19"/>
      <c r="E15356" s="57"/>
      <c r="H15356" s="18"/>
    </row>
    <row r="15357">
      <c r="C15357" s="18"/>
      <c r="D15357" s="19"/>
      <c r="E15357" s="57"/>
      <c r="H15357" s="18"/>
    </row>
    <row r="15358">
      <c r="C15358" s="18"/>
      <c r="D15358" s="19"/>
      <c r="E15358" s="57"/>
      <c r="H15358" s="18"/>
    </row>
    <row r="15359">
      <c r="C15359" s="18"/>
      <c r="D15359" s="19"/>
      <c r="E15359" s="57"/>
      <c r="H15359" s="18"/>
    </row>
    <row r="15360">
      <c r="C15360" s="18"/>
      <c r="D15360" s="19"/>
      <c r="E15360" s="57"/>
      <c r="H15360" s="18"/>
    </row>
    <row r="15361">
      <c r="C15361" s="18"/>
      <c r="D15361" s="19"/>
      <c r="E15361" s="57"/>
      <c r="H15361" s="18"/>
    </row>
    <row r="15362">
      <c r="C15362" s="18"/>
      <c r="D15362" s="19"/>
      <c r="E15362" s="57"/>
      <c r="H15362" s="18"/>
    </row>
    <row r="15363">
      <c r="C15363" s="18"/>
      <c r="D15363" s="19"/>
      <c r="E15363" s="57"/>
      <c r="H15363" s="18"/>
    </row>
    <row r="15364">
      <c r="C15364" s="18"/>
      <c r="D15364" s="19"/>
      <c r="E15364" s="57"/>
      <c r="H15364" s="18"/>
    </row>
    <row r="15365">
      <c r="C15365" s="18"/>
      <c r="D15365" s="19"/>
      <c r="E15365" s="57"/>
      <c r="H15365" s="18"/>
    </row>
    <row r="15366">
      <c r="C15366" s="18"/>
      <c r="D15366" s="19"/>
      <c r="E15366" s="57"/>
      <c r="H15366" s="18"/>
    </row>
    <row r="15367">
      <c r="C15367" s="18"/>
      <c r="D15367" s="19"/>
      <c r="E15367" s="57"/>
      <c r="H15367" s="18"/>
    </row>
    <row r="15368">
      <c r="C15368" s="18"/>
      <c r="D15368" s="19"/>
      <c r="E15368" s="57"/>
      <c r="H15368" s="18"/>
    </row>
    <row r="15369">
      <c r="C15369" s="18"/>
      <c r="D15369" s="19"/>
      <c r="E15369" s="57"/>
      <c r="H15369" s="18"/>
    </row>
    <row r="15370">
      <c r="C15370" s="18"/>
      <c r="D15370" s="19"/>
      <c r="E15370" s="57"/>
      <c r="H15370" s="18"/>
    </row>
    <row r="15371">
      <c r="C15371" s="18"/>
      <c r="D15371" s="19"/>
      <c r="E15371" s="57"/>
      <c r="H15371" s="18"/>
    </row>
    <row r="15372">
      <c r="C15372" s="18"/>
      <c r="D15372" s="19"/>
      <c r="E15372" s="57"/>
      <c r="H15372" s="18"/>
    </row>
    <row r="15373">
      <c r="C15373" s="18"/>
      <c r="D15373" s="19"/>
      <c r="E15373" s="57"/>
      <c r="H15373" s="18"/>
    </row>
    <row r="15374">
      <c r="C15374" s="18"/>
      <c r="D15374" s="19"/>
      <c r="E15374" s="57"/>
      <c r="H15374" s="18"/>
    </row>
    <row r="15375">
      <c r="C15375" s="18"/>
      <c r="D15375" s="19"/>
      <c r="E15375" s="57"/>
      <c r="H15375" s="18"/>
    </row>
    <row r="15376">
      <c r="C15376" s="18"/>
      <c r="D15376" s="19"/>
      <c r="E15376" s="57"/>
      <c r="H15376" s="18"/>
    </row>
    <row r="15377">
      <c r="C15377" s="18"/>
      <c r="D15377" s="19"/>
      <c r="E15377" s="57"/>
      <c r="H15377" s="18"/>
    </row>
    <row r="15378">
      <c r="C15378" s="18"/>
      <c r="D15378" s="19"/>
      <c r="E15378" s="57"/>
      <c r="H15378" s="18"/>
    </row>
    <row r="15379">
      <c r="C15379" s="18"/>
      <c r="D15379" s="19"/>
      <c r="E15379" s="57"/>
      <c r="H15379" s="18"/>
    </row>
    <row r="15380">
      <c r="C15380" s="18"/>
      <c r="D15380" s="19"/>
      <c r="E15380" s="57"/>
      <c r="H15380" s="18"/>
    </row>
    <row r="15381">
      <c r="C15381" s="18"/>
      <c r="D15381" s="19"/>
      <c r="E15381" s="57"/>
      <c r="H15381" s="18"/>
    </row>
    <row r="15382">
      <c r="C15382" s="18"/>
      <c r="D15382" s="19"/>
      <c r="E15382" s="57"/>
      <c r="H15382" s="18"/>
    </row>
    <row r="15383">
      <c r="C15383" s="18"/>
      <c r="D15383" s="19"/>
      <c r="E15383" s="57"/>
      <c r="H15383" s="18"/>
    </row>
    <row r="15384">
      <c r="C15384" s="18"/>
      <c r="D15384" s="19"/>
      <c r="E15384" s="57"/>
      <c r="H15384" s="18"/>
    </row>
    <row r="15385">
      <c r="C15385" s="18"/>
      <c r="D15385" s="19"/>
      <c r="E15385" s="57"/>
      <c r="H15385" s="18"/>
    </row>
    <row r="15386">
      <c r="C15386" s="18"/>
      <c r="D15386" s="19"/>
      <c r="E15386" s="57"/>
      <c r="H15386" s="18"/>
    </row>
    <row r="15387">
      <c r="C15387" s="18"/>
      <c r="D15387" s="19"/>
      <c r="E15387" s="57"/>
      <c r="H15387" s="18"/>
    </row>
    <row r="15388">
      <c r="C15388" s="18"/>
      <c r="D15388" s="19"/>
      <c r="E15388" s="57"/>
      <c r="H15388" s="18"/>
    </row>
    <row r="15389">
      <c r="C15389" s="18"/>
      <c r="D15389" s="19"/>
      <c r="E15389" s="57"/>
      <c r="H15389" s="18"/>
    </row>
    <row r="15390">
      <c r="C15390" s="18"/>
      <c r="D15390" s="19"/>
      <c r="E15390" s="57"/>
      <c r="H15390" s="18"/>
    </row>
    <row r="15391">
      <c r="C15391" s="18"/>
      <c r="D15391" s="19"/>
      <c r="E15391" s="57"/>
      <c r="H15391" s="18"/>
    </row>
    <row r="15392">
      <c r="C15392" s="18"/>
      <c r="D15392" s="19"/>
      <c r="E15392" s="57"/>
      <c r="H15392" s="18"/>
    </row>
    <row r="15393">
      <c r="C15393" s="18"/>
      <c r="D15393" s="19"/>
      <c r="E15393" s="57"/>
      <c r="H15393" s="18"/>
    </row>
    <row r="15394">
      <c r="C15394" s="18"/>
      <c r="D15394" s="19"/>
      <c r="E15394" s="57"/>
      <c r="H15394" s="18"/>
    </row>
    <row r="15395">
      <c r="C15395" s="18"/>
      <c r="D15395" s="19"/>
      <c r="E15395" s="57"/>
      <c r="H15395" s="18"/>
    </row>
    <row r="15396">
      <c r="C15396" s="18"/>
      <c r="D15396" s="19"/>
      <c r="E15396" s="57"/>
      <c r="H15396" s="18"/>
    </row>
    <row r="15397">
      <c r="C15397" s="18"/>
      <c r="D15397" s="19"/>
      <c r="E15397" s="57"/>
      <c r="H15397" s="18"/>
    </row>
    <row r="15398">
      <c r="C15398" s="18"/>
      <c r="D15398" s="19"/>
      <c r="E15398" s="57"/>
      <c r="H15398" s="18"/>
    </row>
    <row r="15399">
      <c r="C15399" s="18"/>
      <c r="D15399" s="19"/>
      <c r="E15399" s="57"/>
      <c r="H15399" s="18"/>
    </row>
    <row r="15400">
      <c r="C15400" s="18"/>
      <c r="D15400" s="19"/>
      <c r="E15400" s="57"/>
      <c r="H15400" s="18"/>
    </row>
    <row r="15401">
      <c r="C15401" s="18"/>
      <c r="D15401" s="19"/>
      <c r="E15401" s="57"/>
      <c r="H15401" s="18"/>
    </row>
    <row r="15402">
      <c r="C15402" s="18"/>
      <c r="D15402" s="19"/>
      <c r="E15402" s="57"/>
      <c r="H15402" s="18"/>
    </row>
    <row r="15403">
      <c r="C15403" s="18"/>
      <c r="D15403" s="19"/>
      <c r="E15403" s="57"/>
      <c r="H15403" s="18"/>
    </row>
    <row r="15404">
      <c r="C15404" s="18"/>
      <c r="D15404" s="19"/>
      <c r="E15404" s="57"/>
      <c r="H15404" s="18"/>
    </row>
    <row r="15405">
      <c r="C15405" s="18"/>
      <c r="D15405" s="19"/>
      <c r="E15405" s="57"/>
      <c r="H15405" s="18"/>
    </row>
    <row r="15406">
      <c r="C15406" s="18"/>
      <c r="D15406" s="19"/>
      <c r="E15406" s="57"/>
      <c r="H15406" s="18"/>
    </row>
    <row r="15407">
      <c r="C15407" s="18"/>
      <c r="D15407" s="19"/>
      <c r="E15407" s="57"/>
      <c r="H15407" s="18"/>
    </row>
    <row r="15408">
      <c r="C15408" s="18"/>
      <c r="D15408" s="19"/>
      <c r="E15408" s="57"/>
      <c r="H15408" s="18"/>
    </row>
    <row r="15409">
      <c r="C15409" s="18"/>
      <c r="D15409" s="19"/>
      <c r="E15409" s="57"/>
      <c r="H15409" s="18"/>
    </row>
    <row r="15410">
      <c r="C15410" s="18"/>
      <c r="D15410" s="19"/>
      <c r="E15410" s="57"/>
      <c r="H15410" s="18"/>
    </row>
    <row r="15411">
      <c r="C15411" s="18"/>
      <c r="D15411" s="19"/>
      <c r="E15411" s="57"/>
      <c r="H15411" s="18"/>
    </row>
    <row r="15412">
      <c r="C15412" s="18"/>
      <c r="D15412" s="19"/>
      <c r="E15412" s="57"/>
      <c r="H15412" s="18"/>
    </row>
    <row r="15413">
      <c r="C15413" s="18"/>
      <c r="D15413" s="19"/>
      <c r="E15413" s="57"/>
      <c r="H15413" s="18"/>
    </row>
    <row r="15414">
      <c r="C15414" s="18"/>
      <c r="D15414" s="19"/>
      <c r="E15414" s="57"/>
      <c r="H15414" s="18"/>
    </row>
    <row r="15415">
      <c r="C15415" s="18"/>
      <c r="D15415" s="19"/>
      <c r="E15415" s="57"/>
      <c r="H15415" s="18"/>
    </row>
    <row r="15416">
      <c r="C15416" s="18"/>
      <c r="D15416" s="19"/>
      <c r="E15416" s="57"/>
      <c r="H15416" s="18"/>
    </row>
    <row r="15417">
      <c r="C15417" s="18"/>
      <c r="D15417" s="19"/>
      <c r="E15417" s="57"/>
      <c r="H15417" s="18"/>
    </row>
    <row r="15418">
      <c r="C15418" s="18"/>
      <c r="D15418" s="19"/>
      <c r="E15418" s="57"/>
      <c r="H15418" s="18"/>
    </row>
    <row r="15419">
      <c r="C15419" s="18"/>
      <c r="D15419" s="19"/>
      <c r="E15419" s="57"/>
      <c r="H15419" s="18"/>
    </row>
    <row r="15420">
      <c r="C15420" s="18"/>
      <c r="D15420" s="19"/>
      <c r="E15420" s="57"/>
      <c r="H15420" s="18"/>
    </row>
    <row r="15421">
      <c r="C15421" s="18"/>
      <c r="D15421" s="19"/>
      <c r="E15421" s="57"/>
      <c r="H15421" s="18"/>
    </row>
    <row r="15422">
      <c r="C15422" s="18"/>
      <c r="D15422" s="19"/>
      <c r="E15422" s="57"/>
      <c r="H15422" s="18"/>
    </row>
    <row r="15423">
      <c r="C15423" s="18"/>
      <c r="D15423" s="19"/>
      <c r="E15423" s="57"/>
      <c r="H15423" s="18"/>
    </row>
    <row r="15424">
      <c r="C15424" s="18"/>
      <c r="D15424" s="19"/>
      <c r="E15424" s="57"/>
      <c r="H15424" s="18"/>
    </row>
    <row r="15425">
      <c r="C15425" s="18"/>
      <c r="D15425" s="19"/>
      <c r="E15425" s="57"/>
      <c r="H15425" s="18"/>
    </row>
    <row r="15426">
      <c r="C15426" s="18"/>
      <c r="D15426" s="19"/>
      <c r="E15426" s="57"/>
      <c r="H15426" s="18"/>
    </row>
    <row r="15427">
      <c r="C15427" s="18"/>
      <c r="D15427" s="19"/>
      <c r="E15427" s="57"/>
      <c r="H15427" s="18"/>
    </row>
    <row r="15428">
      <c r="C15428" s="18"/>
      <c r="D15428" s="19"/>
      <c r="E15428" s="57"/>
      <c r="H15428" s="18"/>
    </row>
    <row r="15429">
      <c r="C15429" s="18"/>
      <c r="D15429" s="19"/>
      <c r="E15429" s="57"/>
      <c r="H15429" s="18"/>
    </row>
    <row r="15430">
      <c r="C15430" s="18"/>
      <c r="D15430" s="19"/>
      <c r="E15430" s="57"/>
      <c r="H15430" s="18"/>
    </row>
    <row r="15431">
      <c r="C15431" s="18"/>
      <c r="D15431" s="19"/>
      <c r="E15431" s="57"/>
      <c r="H15431" s="18"/>
    </row>
    <row r="15432">
      <c r="C15432" s="18"/>
      <c r="D15432" s="19"/>
      <c r="E15432" s="57"/>
      <c r="H15432" s="18"/>
    </row>
    <row r="15433">
      <c r="C15433" s="18"/>
      <c r="D15433" s="19"/>
      <c r="E15433" s="57"/>
      <c r="H15433" s="18"/>
    </row>
    <row r="15434">
      <c r="C15434" s="18"/>
      <c r="D15434" s="19"/>
      <c r="E15434" s="57"/>
      <c r="H15434" s="18"/>
    </row>
    <row r="15435">
      <c r="C15435" s="18"/>
      <c r="D15435" s="19"/>
      <c r="E15435" s="57"/>
      <c r="H15435" s="18"/>
    </row>
    <row r="15436">
      <c r="C15436" s="18"/>
      <c r="D15436" s="19"/>
      <c r="E15436" s="57"/>
      <c r="H15436" s="18"/>
    </row>
    <row r="15437">
      <c r="C15437" s="18"/>
      <c r="D15437" s="19"/>
      <c r="E15437" s="57"/>
      <c r="H15437" s="18"/>
    </row>
    <row r="15438">
      <c r="C15438" s="18"/>
      <c r="D15438" s="19"/>
      <c r="E15438" s="57"/>
      <c r="H15438" s="18"/>
    </row>
    <row r="15439">
      <c r="C15439" s="18"/>
      <c r="D15439" s="19"/>
      <c r="E15439" s="57"/>
      <c r="H15439" s="18"/>
    </row>
    <row r="15440">
      <c r="C15440" s="18"/>
      <c r="D15440" s="19"/>
      <c r="E15440" s="57"/>
      <c r="H15440" s="18"/>
    </row>
    <row r="15441">
      <c r="C15441" s="18"/>
      <c r="D15441" s="19"/>
      <c r="E15441" s="57"/>
      <c r="H15441" s="18"/>
    </row>
    <row r="15442">
      <c r="C15442" s="18"/>
      <c r="D15442" s="19"/>
      <c r="E15442" s="57"/>
      <c r="H15442" s="18"/>
    </row>
    <row r="15443">
      <c r="C15443" s="18"/>
      <c r="D15443" s="19"/>
      <c r="E15443" s="57"/>
      <c r="H15443" s="18"/>
    </row>
    <row r="15444">
      <c r="C15444" s="18"/>
      <c r="D15444" s="19"/>
      <c r="E15444" s="57"/>
      <c r="H15444" s="18"/>
    </row>
    <row r="15445">
      <c r="C15445" s="18"/>
      <c r="D15445" s="19"/>
      <c r="E15445" s="57"/>
      <c r="H15445" s="18"/>
    </row>
    <row r="15446">
      <c r="C15446" s="18"/>
      <c r="D15446" s="19"/>
      <c r="E15446" s="57"/>
      <c r="H15446" s="18"/>
    </row>
    <row r="15447">
      <c r="C15447" s="18"/>
      <c r="D15447" s="19"/>
      <c r="E15447" s="57"/>
      <c r="H15447" s="18"/>
    </row>
    <row r="15448">
      <c r="C15448" s="18"/>
      <c r="D15448" s="19"/>
      <c r="E15448" s="57"/>
      <c r="H15448" s="18"/>
    </row>
    <row r="15449">
      <c r="C15449" s="18"/>
      <c r="D15449" s="19"/>
      <c r="E15449" s="57"/>
      <c r="H15449" s="18"/>
    </row>
    <row r="15450">
      <c r="C15450" s="18"/>
      <c r="D15450" s="19"/>
      <c r="E15450" s="57"/>
      <c r="H15450" s="18"/>
    </row>
    <row r="15451">
      <c r="C15451" s="18"/>
      <c r="D15451" s="19"/>
      <c r="E15451" s="57"/>
      <c r="H15451" s="18"/>
    </row>
    <row r="15452">
      <c r="C15452" s="18"/>
      <c r="D15452" s="19"/>
      <c r="E15452" s="57"/>
      <c r="H15452" s="18"/>
    </row>
    <row r="15453">
      <c r="C15453" s="18"/>
      <c r="D15453" s="19"/>
      <c r="E15453" s="57"/>
      <c r="H15453" s="18"/>
    </row>
    <row r="15454">
      <c r="C15454" s="18"/>
      <c r="D15454" s="19"/>
      <c r="E15454" s="57"/>
      <c r="H15454" s="18"/>
    </row>
    <row r="15455">
      <c r="C15455" s="18"/>
      <c r="D15455" s="19"/>
      <c r="E15455" s="57"/>
      <c r="H15455" s="18"/>
    </row>
    <row r="15456">
      <c r="C15456" s="18"/>
      <c r="D15456" s="19"/>
      <c r="E15456" s="57"/>
      <c r="H15456" s="18"/>
    </row>
    <row r="15457">
      <c r="C15457" s="18"/>
      <c r="D15457" s="19"/>
      <c r="E15457" s="57"/>
      <c r="H15457" s="18"/>
    </row>
    <row r="15458">
      <c r="C15458" s="18"/>
      <c r="D15458" s="19"/>
      <c r="E15458" s="57"/>
      <c r="H15458" s="18"/>
    </row>
    <row r="15459">
      <c r="C15459" s="18"/>
      <c r="D15459" s="19"/>
      <c r="E15459" s="57"/>
      <c r="H15459" s="18"/>
    </row>
    <row r="15460">
      <c r="C15460" s="18"/>
      <c r="D15460" s="19"/>
      <c r="E15460" s="57"/>
      <c r="H15460" s="18"/>
    </row>
    <row r="15461">
      <c r="C15461" s="18"/>
      <c r="D15461" s="19"/>
      <c r="E15461" s="57"/>
      <c r="H15461" s="18"/>
    </row>
    <row r="15462">
      <c r="C15462" s="18"/>
      <c r="D15462" s="19"/>
      <c r="E15462" s="57"/>
      <c r="H15462" s="18"/>
    </row>
    <row r="15463">
      <c r="C15463" s="18"/>
      <c r="D15463" s="19"/>
      <c r="E15463" s="57"/>
      <c r="H15463" s="18"/>
    </row>
    <row r="15464">
      <c r="C15464" s="18"/>
      <c r="D15464" s="19"/>
      <c r="E15464" s="57"/>
      <c r="H15464" s="18"/>
    </row>
    <row r="15465">
      <c r="C15465" s="18"/>
      <c r="D15465" s="19"/>
      <c r="E15465" s="57"/>
      <c r="H15465" s="18"/>
    </row>
    <row r="15466">
      <c r="C15466" s="18"/>
      <c r="D15466" s="19"/>
      <c r="E15466" s="57"/>
      <c r="H15466" s="18"/>
    </row>
    <row r="15467">
      <c r="C15467" s="18"/>
      <c r="D15467" s="19"/>
      <c r="E15467" s="57"/>
      <c r="H15467" s="18"/>
    </row>
    <row r="15468">
      <c r="C15468" s="18"/>
      <c r="D15468" s="19"/>
      <c r="E15468" s="57"/>
      <c r="H15468" s="18"/>
    </row>
    <row r="15469">
      <c r="C15469" s="18"/>
      <c r="D15469" s="19"/>
      <c r="E15469" s="57"/>
      <c r="H15469" s="18"/>
    </row>
    <row r="15470">
      <c r="C15470" s="18"/>
      <c r="D15470" s="19"/>
      <c r="E15470" s="57"/>
      <c r="H15470" s="18"/>
    </row>
    <row r="15471">
      <c r="C15471" s="18"/>
      <c r="D15471" s="19"/>
      <c r="E15471" s="57"/>
      <c r="H15471" s="18"/>
    </row>
    <row r="15472">
      <c r="C15472" s="18"/>
      <c r="D15472" s="19"/>
      <c r="E15472" s="57"/>
      <c r="H15472" s="18"/>
    </row>
    <row r="15473">
      <c r="C15473" s="18"/>
      <c r="D15473" s="19"/>
      <c r="E15473" s="57"/>
      <c r="H15473" s="18"/>
    </row>
    <row r="15474">
      <c r="C15474" s="18"/>
      <c r="D15474" s="19"/>
      <c r="E15474" s="57"/>
      <c r="H15474" s="18"/>
    </row>
    <row r="15475">
      <c r="C15475" s="18"/>
      <c r="D15475" s="19"/>
      <c r="E15475" s="57"/>
      <c r="H15475" s="18"/>
    </row>
    <row r="15476">
      <c r="C15476" s="18"/>
      <c r="D15476" s="19"/>
      <c r="E15476" s="57"/>
      <c r="H15476" s="18"/>
    </row>
    <row r="15477">
      <c r="C15477" s="18"/>
      <c r="D15477" s="19"/>
      <c r="E15477" s="57"/>
      <c r="H15477" s="18"/>
    </row>
    <row r="15478">
      <c r="C15478" s="18"/>
      <c r="D15478" s="19"/>
      <c r="E15478" s="57"/>
      <c r="H15478" s="18"/>
    </row>
    <row r="15479">
      <c r="C15479" s="18"/>
      <c r="D15479" s="19"/>
      <c r="E15479" s="57"/>
      <c r="H15479" s="18"/>
    </row>
    <row r="15480">
      <c r="C15480" s="18"/>
      <c r="D15480" s="19"/>
      <c r="E15480" s="57"/>
      <c r="H15480" s="18"/>
    </row>
    <row r="15481">
      <c r="C15481" s="18"/>
      <c r="D15481" s="19"/>
      <c r="E15481" s="57"/>
      <c r="H15481" s="18"/>
    </row>
    <row r="15482">
      <c r="C15482" s="18"/>
      <c r="D15482" s="19"/>
      <c r="E15482" s="57"/>
      <c r="H15482" s="18"/>
    </row>
    <row r="15483">
      <c r="C15483" s="18"/>
      <c r="D15483" s="19"/>
      <c r="E15483" s="57"/>
      <c r="H15483" s="18"/>
    </row>
    <row r="15484">
      <c r="C15484" s="18"/>
      <c r="D15484" s="19"/>
      <c r="E15484" s="57"/>
      <c r="H15484" s="18"/>
    </row>
    <row r="15485">
      <c r="C15485" s="18"/>
      <c r="D15485" s="19"/>
      <c r="E15485" s="57"/>
      <c r="H15485" s="18"/>
    </row>
    <row r="15486">
      <c r="C15486" s="18"/>
      <c r="D15486" s="19"/>
      <c r="E15486" s="57"/>
      <c r="H15486" s="18"/>
    </row>
    <row r="15487">
      <c r="C15487" s="18"/>
      <c r="D15487" s="19"/>
      <c r="E15487" s="57"/>
      <c r="H15487" s="18"/>
    </row>
    <row r="15488">
      <c r="C15488" s="18"/>
      <c r="D15488" s="19"/>
      <c r="E15488" s="57"/>
      <c r="H15488" s="18"/>
    </row>
    <row r="15489">
      <c r="C15489" s="18"/>
      <c r="D15489" s="19"/>
      <c r="E15489" s="57"/>
      <c r="H15489" s="18"/>
    </row>
    <row r="15490">
      <c r="C15490" s="18"/>
      <c r="D15490" s="19"/>
      <c r="E15490" s="57"/>
      <c r="H15490" s="18"/>
    </row>
    <row r="15491">
      <c r="C15491" s="18"/>
      <c r="D15491" s="19"/>
      <c r="E15491" s="57"/>
      <c r="H15491" s="18"/>
    </row>
    <row r="15492">
      <c r="C15492" s="18"/>
      <c r="D15492" s="19"/>
      <c r="E15492" s="57"/>
      <c r="H15492" s="18"/>
    </row>
    <row r="15493">
      <c r="C15493" s="18"/>
      <c r="D15493" s="19"/>
      <c r="E15493" s="57"/>
      <c r="H15493" s="18"/>
    </row>
    <row r="15494">
      <c r="C15494" s="18"/>
      <c r="D15494" s="19"/>
      <c r="E15494" s="57"/>
      <c r="H15494" s="18"/>
    </row>
    <row r="15495">
      <c r="C15495" s="18"/>
      <c r="D15495" s="19"/>
      <c r="E15495" s="57"/>
      <c r="H15495" s="18"/>
    </row>
    <row r="15496">
      <c r="C15496" s="18"/>
      <c r="D15496" s="19"/>
      <c r="E15496" s="57"/>
      <c r="H15496" s="18"/>
    </row>
    <row r="15497">
      <c r="C15497" s="18"/>
      <c r="D15497" s="19"/>
      <c r="E15497" s="57"/>
      <c r="H15497" s="18"/>
    </row>
    <row r="15498">
      <c r="C15498" s="18"/>
      <c r="D15498" s="19"/>
      <c r="E15498" s="57"/>
      <c r="H15498" s="18"/>
    </row>
    <row r="15499">
      <c r="C15499" s="18"/>
      <c r="D15499" s="19"/>
      <c r="E15499" s="57"/>
      <c r="H15499" s="18"/>
    </row>
    <row r="15500">
      <c r="C15500" s="18"/>
      <c r="D15500" s="19"/>
      <c r="E15500" s="57"/>
      <c r="H15500" s="18"/>
    </row>
    <row r="15501">
      <c r="C15501" s="18"/>
      <c r="D15501" s="19"/>
      <c r="E15501" s="57"/>
      <c r="H15501" s="18"/>
    </row>
    <row r="15502">
      <c r="C15502" s="18"/>
      <c r="D15502" s="19"/>
      <c r="E15502" s="57"/>
      <c r="H15502" s="18"/>
    </row>
    <row r="15503">
      <c r="C15503" s="18"/>
      <c r="D15503" s="19"/>
      <c r="E15503" s="57"/>
      <c r="H15503" s="18"/>
    </row>
    <row r="15504">
      <c r="C15504" s="18"/>
      <c r="D15504" s="19"/>
      <c r="E15504" s="57"/>
      <c r="H15504" s="18"/>
    </row>
    <row r="15505">
      <c r="C15505" s="18"/>
      <c r="D15505" s="19"/>
      <c r="E15505" s="57"/>
      <c r="H15505" s="18"/>
    </row>
    <row r="15506">
      <c r="C15506" s="18"/>
      <c r="D15506" s="19"/>
      <c r="E15506" s="57"/>
      <c r="H15506" s="18"/>
    </row>
    <row r="15507">
      <c r="C15507" s="18"/>
      <c r="D15507" s="19"/>
      <c r="E15507" s="57"/>
      <c r="H15507" s="18"/>
    </row>
    <row r="15508">
      <c r="C15508" s="18"/>
      <c r="D15508" s="19"/>
      <c r="E15508" s="57"/>
      <c r="H15508" s="18"/>
    </row>
    <row r="15509">
      <c r="C15509" s="18"/>
      <c r="D15509" s="19"/>
      <c r="E15509" s="57"/>
      <c r="H15509" s="18"/>
    </row>
    <row r="15510">
      <c r="C15510" s="18"/>
      <c r="D15510" s="19"/>
      <c r="E15510" s="57"/>
      <c r="H15510" s="18"/>
    </row>
    <row r="15511">
      <c r="C15511" s="18"/>
      <c r="D15511" s="19"/>
      <c r="E15511" s="57"/>
      <c r="H15511" s="18"/>
    </row>
    <row r="15512">
      <c r="C15512" s="18"/>
      <c r="D15512" s="19"/>
      <c r="E15512" s="57"/>
      <c r="H15512" s="18"/>
    </row>
    <row r="15513">
      <c r="C15513" s="18"/>
      <c r="D15513" s="19"/>
      <c r="E15513" s="57"/>
      <c r="H15513" s="18"/>
    </row>
    <row r="15514">
      <c r="C15514" s="18"/>
      <c r="D15514" s="19"/>
      <c r="E15514" s="57"/>
      <c r="H15514" s="18"/>
    </row>
    <row r="15515">
      <c r="C15515" s="18"/>
      <c r="D15515" s="19"/>
      <c r="E15515" s="57"/>
      <c r="H15515" s="18"/>
    </row>
    <row r="15516">
      <c r="C15516" s="18"/>
      <c r="D15516" s="19"/>
      <c r="E15516" s="57"/>
      <c r="H15516" s="18"/>
    </row>
    <row r="15517">
      <c r="C15517" s="18"/>
      <c r="D15517" s="19"/>
      <c r="E15517" s="57"/>
      <c r="H15517" s="18"/>
    </row>
    <row r="15518">
      <c r="C15518" s="18"/>
      <c r="D15518" s="19"/>
      <c r="E15518" s="57"/>
      <c r="H15518" s="18"/>
    </row>
    <row r="15519">
      <c r="C15519" s="18"/>
      <c r="D15519" s="19"/>
      <c r="E15519" s="57"/>
      <c r="H15519" s="18"/>
    </row>
    <row r="15520">
      <c r="C15520" s="18"/>
      <c r="D15520" s="19"/>
      <c r="E15520" s="57"/>
      <c r="H15520" s="18"/>
    </row>
    <row r="15521">
      <c r="C15521" s="18"/>
      <c r="D15521" s="19"/>
      <c r="E15521" s="57"/>
      <c r="H15521" s="18"/>
    </row>
    <row r="15522">
      <c r="C15522" s="18"/>
      <c r="D15522" s="19"/>
      <c r="E15522" s="57"/>
      <c r="H15522" s="18"/>
    </row>
    <row r="15523">
      <c r="C15523" s="18"/>
      <c r="D15523" s="19"/>
      <c r="E15523" s="57"/>
      <c r="H15523" s="18"/>
    </row>
    <row r="15524">
      <c r="C15524" s="18"/>
      <c r="D15524" s="19"/>
      <c r="E15524" s="57"/>
      <c r="H15524" s="18"/>
    </row>
    <row r="15525">
      <c r="C15525" s="18"/>
      <c r="D15525" s="19"/>
      <c r="E15525" s="57"/>
      <c r="H15525" s="18"/>
    </row>
    <row r="15526">
      <c r="C15526" s="18"/>
      <c r="D15526" s="19"/>
      <c r="E15526" s="57"/>
      <c r="H15526" s="18"/>
    </row>
    <row r="15527">
      <c r="C15527" s="18"/>
      <c r="D15527" s="19"/>
      <c r="E15527" s="57"/>
      <c r="H15527" s="18"/>
    </row>
    <row r="15528">
      <c r="C15528" s="18"/>
      <c r="D15528" s="19"/>
      <c r="E15528" s="57"/>
      <c r="H15528" s="18"/>
    </row>
    <row r="15529">
      <c r="C15529" s="18"/>
      <c r="D15529" s="19"/>
      <c r="E15529" s="57"/>
      <c r="H15529" s="18"/>
    </row>
    <row r="15530">
      <c r="C15530" s="18"/>
      <c r="D15530" s="19"/>
      <c r="E15530" s="57"/>
      <c r="H15530" s="18"/>
    </row>
    <row r="15531">
      <c r="C15531" s="18"/>
      <c r="D15531" s="19"/>
      <c r="E15531" s="57"/>
      <c r="H15531" s="18"/>
    </row>
    <row r="15532">
      <c r="C15532" s="18"/>
      <c r="D15532" s="19"/>
      <c r="E15532" s="57"/>
      <c r="H15532" s="18"/>
    </row>
    <row r="15533">
      <c r="C15533" s="18"/>
      <c r="D15533" s="19"/>
      <c r="E15533" s="57"/>
      <c r="H15533" s="18"/>
    </row>
    <row r="15534">
      <c r="C15534" s="18"/>
      <c r="D15534" s="19"/>
      <c r="E15534" s="57"/>
      <c r="H15534" s="18"/>
    </row>
    <row r="15535">
      <c r="C15535" s="18"/>
      <c r="D15535" s="19"/>
      <c r="E15535" s="57"/>
      <c r="H15535" s="18"/>
    </row>
    <row r="15536">
      <c r="C15536" s="18"/>
      <c r="D15536" s="19"/>
      <c r="E15536" s="57"/>
      <c r="H15536" s="18"/>
    </row>
    <row r="15537">
      <c r="C15537" s="18"/>
      <c r="D15537" s="19"/>
      <c r="E15537" s="57"/>
      <c r="H15537" s="18"/>
    </row>
    <row r="15538">
      <c r="C15538" s="18"/>
      <c r="D15538" s="19"/>
      <c r="E15538" s="57"/>
      <c r="H15538" s="18"/>
    </row>
    <row r="15539">
      <c r="C15539" s="18"/>
      <c r="D15539" s="19"/>
      <c r="E15539" s="57"/>
      <c r="H15539" s="18"/>
    </row>
    <row r="15540">
      <c r="C15540" s="18"/>
      <c r="D15540" s="19"/>
      <c r="E15540" s="57"/>
      <c r="H15540" s="18"/>
    </row>
    <row r="15541">
      <c r="C15541" s="18"/>
      <c r="D15541" s="19"/>
      <c r="E15541" s="57"/>
      <c r="H15541" s="18"/>
    </row>
    <row r="15542">
      <c r="C15542" s="18"/>
      <c r="D15542" s="19"/>
      <c r="E15542" s="57"/>
      <c r="H15542" s="18"/>
    </row>
    <row r="15543">
      <c r="C15543" s="18"/>
      <c r="D15543" s="19"/>
      <c r="E15543" s="57"/>
      <c r="H15543" s="18"/>
    </row>
    <row r="15544">
      <c r="C15544" s="18"/>
      <c r="D15544" s="19"/>
      <c r="E15544" s="57"/>
      <c r="H15544" s="18"/>
    </row>
    <row r="15545">
      <c r="C15545" s="18"/>
      <c r="D15545" s="19"/>
      <c r="E15545" s="57"/>
      <c r="H15545" s="18"/>
    </row>
    <row r="15546">
      <c r="C15546" s="18"/>
      <c r="D15546" s="19"/>
      <c r="E15546" s="57"/>
      <c r="H15546" s="18"/>
    </row>
    <row r="15547">
      <c r="C15547" s="18"/>
      <c r="D15547" s="19"/>
      <c r="E15547" s="57"/>
      <c r="H15547" s="18"/>
    </row>
    <row r="15548">
      <c r="C15548" s="18"/>
      <c r="D15548" s="19"/>
      <c r="E15548" s="57"/>
      <c r="H15548" s="18"/>
    </row>
    <row r="15549">
      <c r="C15549" s="18"/>
      <c r="D15549" s="19"/>
      <c r="E15549" s="57"/>
      <c r="H15549" s="18"/>
    </row>
    <row r="15550">
      <c r="C15550" s="18"/>
      <c r="D15550" s="19"/>
      <c r="E15550" s="57"/>
      <c r="H15550" s="18"/>
    </row>
    <row r="15551">
      <c r="C15551" s="18"/>
      <c r="D15551" s="19"/>
      <c r="E15551" s="57"/>
      <c r="H15551" s="18"/>
    </row>
    <row r="15552">
      <c r="C15552" s="18"/>
      <c r="D15552" s="19"/>
      <c r="E15552" s="57"/>
      <c r="H15552" s="18"/>
    </row>
    <row r="15553">
      <c r="C15553" s="18"/>
      <c r="D15553" s="19"/>
      <c r="E15553" s="57"/>
      <c r="H15553" s="18"/>
    </row>
    <row r="15554">
      <c r="C15554" s="18"/>
      <c r="D15554" s="19"/>
      <c r="E15554" s="57"/>
      <c r="H15554" s="18"/>
    </row>
    <row r="15555">
      <c r="C15555" s="18"/>
      <c r="D15555" s="19"/>
      <c r="E15555" s="57"/>
      <c r="H15555" s="18"/>
    </row>
    <row r="15556">
      <c r="C15556" s="18"/>
      <c r="D15556" s="19"/>
      <c r="E15556" s="57"/>
      <c r="H15556" s="18"/>
    </row>
    <row r="15557">
      <c r="C15557" s="18"/>
      <c r="D15557" s="19"/>
      <c r="E15557" s="57"/>
      <c r="H15557" s="18"/>
    </row>
    <row r="15558">
      <c r="C15558" s="18"/>
      <c r="D15558" s="19"/>
      <c r="E15558" s="57"/>
      <c r="H15558" s="18"/>
    </row>
    <row r="15559">
      <c r="C15559" s="18"/>
      <c r="D15559" s="19"/>
      <c r="E15559" s="57"/>
      <c r="H15559" s="18"/>
    </row>
    <row r="15560">
      <c r="C15560" s="18"/>
      <c r="D15560" s="19"/>
      <c r="E15560" s="57"/>
      <c r="H15560" s="18"/>
    </row>
    <row r="15561">
      <c r="C15561" s="18"/>
      <c r="D15561" s="19"/>
      <c r="E15561" s="57"/>
      <c r="H15561" s="18"/>
    </row>
    <row r="15562">
      <c r="C15562" s="18"/>
      <c r="D15562" s="19"/>
      <c r="E15562" s="57"/>
      <c r="H15562" s="18"/>
    </row>
    <row r="15563">
      <c r="C15563" s="18"/>
      <c r="D15563" s="19"/>
      <c r="E15563" s="57"/>
      <c r="H15563" s="18"/>
    </row>
    <row r="15564">
      <c r="C15564" s="18"/>
      <c r="D15564" s="19"/>
      <c r="E15564" s="57"/>
      <c r="H15564" s="18"/>
    </row>
    <row r="15565">
      <c r="C15565" s="18"/>
      <c r="D15565" s="19"/>
      <c r="E15565" s="57"/>
      <c r="H15565" s="18"/>
    </row>
    <row r="15566">
      <c r="C15566" s="18"/>
      <c r="D15566" s="19"/>
      <c r="E15566" s="57"/>
      <c r="H15566" s="18"/>
    </row>
    <row r="15567">
      <c r="C15567" s="18"/>
      <c r="D15567" s="19"/>
      <c r="E15567" s="57"/>
      <c r="H15567" s="18"/>
    </row>
    <row r="15568">
      <c r="C15568" s="18"/>
      <c r="D15568" s="19"/>
      <c r="E15568" s="57"/>
      <c r="H15568" s="18"/>
    </row>
    <row r="15569">
      <c r="C15569" s="18"/>
      <c r="D15569" s="19"/>
      <c r="E15569" s="57"/>
      <c r="H15569" s="18"/>
    </row>
    <row r="15570">
      <c r="C15570" s="18"/>
      <c r="D15570" s="19"/>
      <c r="E15570" s="57"/>
      <c r="H15570" s="18"/>
    </row>
    <row r="15571">
      <c r="C15571" s="18"/>
      <c r="D15571" s="19"/>
      <c r="E15571" s="57"/>
      <c r="H15571" s="18"/>
    </row>
    <row r="15572">
      <c r="C15572" s="18"/>
      <c r="D15572" s="19"/>
      <c r="E15572" s="57"/>
      <c r="H15572" s="18"/>
    </row>
    <row r="15573">
      <c r="C15573" s="18"/>
      <c r="D15573" s="19"/>
      <c r="E15573" s="57"/>
      <c r="H15573" s="18"/>
    </row>
    <row r="15574">
      <c r="C15574" s="18"/>
      <c r="D15574" s="19"/>
      <c r="E15574" s="57"/>
      <c r="H15574" s="18"/>
    </row>
    <row r="15575">
      <c r="C15575" s="18"/>
      <c r="D15575" s="19"/>
      <c r="E15575" s="57"/>
      <c r="H15575" s="18"/>
    </row>
    <row r="15576">
      <c r="C15576" s="18"/>
      <c r="D15576" s="19"/>
      <c r="E15576" s="57"/>
      <c r="H15576" s="18"/>
    </row>
    <row r="15577">
      <c r="C15577" s="18"/>
      <c r="D15577" s="19"/>
      <c r="E15577" s="57"/>
      <c r="H15577" s="18"/>
    </row>
    <row r="15578">
      <c r="C15578" s="18"/>
      <c r="D15578" s="19"/>
      <c r="E15578" s="57"/>
      <c r="H15578" s="18"/>
    </row>
    <row r="15579">
      <c r="C15579" s="18"/>
      <c r="D15579" s="19"/>
      <c r="E15579" s="57"/>
      <c r="H15579" s="18"/>
    </row>
    <row r="15580">
      <c r="C15580" s="18"/>
      <c r="D15580" s="19"/>
      <c r="E15580" s="57"/>
      <c r="H15580" s="18"/>
    </row>
    <row r="15581">
      <c r="C15581" s="18"/>
      <c r="D15581" s="19"/>
      <c r="E15581" s="57"/>
      <c r="H15581" s="18"/>
    </row>
    <row r="15582">
      <c r="C15582" s="18"/>
      <c r="D15582" s="19"/>
      <c r="E15582" s="57"/>
      <c r="H15582" s="18"/>
    </row>
    <row r="15583">
      <c r="C15583" s="18"/>
      <c r="D15583" s="19"/>
      <c r="E15583" s="57"/>
      <c r="H15583" s="18"/>
    </row>
    <row r="15584">
      <c r="C15584" s="18"/>
      <c r="D15584" s="19"/>
      <c r="E15584" s="57"/>
      <c r="H15584" s="18"/>
    </row>
    <row r="15585">
      <c r="C15585" s="18"/>
      <c r="D15585" s="19"/>
      <c r="E15585" s="57"/>
      <c r="H15585" s="18"/>
    </row>
    <row r="15586">
      <c r="C15586" s="18"/>
      <c r="D15586" s="19"/>
      <c r="E15586" s="57"/>
      <c r="H15586" s="18"/>
    </row>
    <row r="15587">
      <c r="C15587" s="18"/>
      <c r="D15587" s="19"/>
      <c r="E15587" s="57"/>
      <c r="H15587" s="18"/>
    </row>
    <row r="15588">
      <c r="C15588" s="18"/>
      <c r="D15588" s="19"/>
      <c r="E15588" s="57"/>
      <c r="H15588" s="18"/>
    </row>
    <row r="15589">
      <c r="C15589" s="18"/>
      <c r="D15589" s="19"/>
      <c r="E15589" s="57"/>
      <c r="H15589" s="18"/>
    </row>
    <row r="15590">
      <c r="C15590" s="18"/>
      <c r="D15590" s="19"/>
      <c r="E15590" s="57"/>
      <c r="H15590" s="18"/>
    </row>
    <row r="15591">
      <c r="C15591" s="18"/>
      <c r="D15591" s="19"/>
      <c r="E15591" s="57"/>
      <c r="H15591" s="18"/>
    </row>
    <row r="15592">
      <c r="C15592" s="18"/>
      <c r="D15592" s="19"/>
      <c r="E15592" s="57"/>
      <c r="H15592" s="18"/>
    </row>
    <row r="15593">
      <c r="C15593" s="18"/>
      <c r="D15593" s="19"/>
      <c r="E15593" s="57"/>
      <c r="H15593" s="18"/>
    </row>
    <row r="15594">
      <c r="C15594" s="18"/>
      <c r="D15594" s="19"/>
      <c r="E15594" s="57"/>
      <c r="H15594" s="18"/>
    </row>
    <row r="15595">
      <c r="C15595" s="18"/>
      <c r="D15595" s="19"/>
      <c r="E15595" s="57"/>
      <c r="H15595" s="18"/>
    </row>
    <row r="15596">
      <c r="C15596" s="18"/>
      <c r="D15596" s="19"/>
      <c r="E15596" s="57"/>
      <c r="H15596" s="18"/>
    </row>
    <row r="15597">
      <c r="C15597" s="18"/>
      <c r="D15597" s="19"/>
      <c r="E15597" s="57"/>
      <c r="H15597" s="18"/>
    </row>
    <row r="15598">
      <c r="C15598" s="18"/>
      <c r="D15598" s="19"/>
      <c r="E15598" s="57"/>
      <c r="H15598" s="18"/>
    </row>
    <row r="15599">
      <c r="C15599" s="18"/>
      <c r="D15599" s="19"/>
      <c r="E15599" s="57"/>
      <c r="H15599" s="18"/>
    </row>
    <row r="15600">
      <c r="C15600" s="18"/>
      <c r="D15600" s="19"/>
      <c r="E15600" s="57"/>
      <c r="H15600" s="18"/>
    </row>
    <row r="15601">
      <c r="C15601" s="18"/>
      <c r="D15601" s="19"/>
      <c r="E15601" s="57"/>
      <c r="H15601" s="18"/>
    </row>
    <row r="15602">
      <c r="C15602" s="18"/>
      <c r="D15602" s="19"/>
      <c r="E15602" s="57"/>
      <c r="H15602" s="18"/>
    </row>
    <row r="15603">
      <c r="C15603" s="18"/>
      <c r="D15603" s="19"/>
      <c r="E15603" s="57"/>
      <c r="H15603" s="18"/>
    </row>
    <row r="15604">
      <c r="C15604" s="18"/>
      <c r="D15604" s="19"/>
      <c r="E15604" s="57"/>
      <c r="H15604" s="18"/>
    </row>
    <row r="15605">
      <c r="C15605" s="18"/>
      <c r="D15605" s="19"/>
      <c r="E15605" s="57"/>
      <c r="H15605" s="18"/>
    </row>
    <row r="15606">
      <c r="C15606" s="18"/>
      <c r="D15606" s="19"/>
      <c r="E15606" s="57"/>
      <c r="H15606" s="18"/>
    </row>
    <row r="15607">
      <c r="C15607" s="18"/>
      <c r="D15607" s="19"/>
      <c r="E15607" s="57"/>
      <c r="H15607" s="18"/>
    </row>
    <row r="15608">
      <c r="C15608" s="18"/>
      <c r="D15608" s="19"/>
      <c r="E15608" s="57"/>
      <c r="H15608" s="18"/>
    </row>
    <row r="15609">
      <c r="C15609" s="18"/>
      <c r="D15609" s="19"/>
      <c r="E15609" s="57"/>
      <c r="H15609" s="18"/>
    </row>
    <row r="15610">
      <c r="C15610" s="18"/>
      <c r="D15610" s="19"/>
      <c r="E15610" s="57"/>
      <c r="H15610" s="18"/>
    </row>
    <row r="15611">
      <c r="C15611" s="18"/>
      <c r="D15611" s="19"/>
      <c r="E15611" s="57"/>
      <c r="H15611" s="18"/>
    </row>
    <row r="15612">
      <c r="C15612" s="18"/>
      <c r="D15612" s="19"/>
      <c r="E15612" s="57"/>
      <c r="H15612" s="18"/>
    </row>
    <row r="15613">
      <c r="C15613" s="18"/>
      <c r="D15613" s="19"/>
      <c r="E15613" s="57"/>
      <c r="H15613" s="18"/>
    </row>
    <row r="15614">
      <c r="C15614" s="18"/>
      <c r="D15614" s="19"/>
      <c r="E15614" s="57"/>
      <c r="H15614" s="18"/>
    </row>
    <row r="15615">
      <c r="C15615" s="18"/>
      <c r="D15615" s="19"/>
      <c r="E15615" s="57"/>
      <c r="H15615" s="18"/>
    </row>
    <row r="15616">
      <c r="C15616" s="18"/>
      <c r="D15616" s="19"/>
      <c r="E15616" s="57"/>
      <c r="H15616" s="18"/>
    </row>
    <row r="15617">
      <c r="C15617" s="18"/>
      <c r="D15617" s="19"/>
      <c r="E15617" s="57"/>
      <c r="H15617" s="18"/>
    </row>
    <row r="15618">
      <c r="C15618" s="18"/>
      <c r="D15618" s="19"/>
      <c r="E15618" s="57"/>
      <c r="H15618" s="18"/>
    </row>
    <row r="15619">
      <c r="C15619" s="18"/>
      <c r="D15619" s="19"/>
      <c r="E15619" s="57"/>
      <c r="H15619" s="18"/>
    </row>
    <row r="15620">
      <c r="C15620" s="18"/>
      <c r="D15620" s="19"/>
      <c r="E15620" s="57"/>
      <c r="H15620" s="18"/>
    </row>
    <row r="15621">
      <c r="C15621" s="18"/>
      <c r="D15621" s="19"/>
      <c r="E15621" s="57"/>
      <c r="H15621" s="18"/>
    </row>
    <row r="15622">
      <c r="C15622" s="18"/>
      <c r="D15622" s="19"/>
      <c r="E15622" s="57"/>
      <c r="H15622" s="18"/>
    </row>
    <row r="15623">
      <c r="C15623" s="18"/>
      <c r="D15623" s="19"/>
      <c r="E15623" s="57"/>
      <c r="H15623" s="18"/>
    </row>
    <row r="15624">
      <c r="C15624" s="18"/>
      <c r="D15624" s="19"/>
      <c r="E15624" s="57"/>
      <c r="H15624" s="18"/>
    </row>
    <row r="15625">
      <c r="C15625" s="18"/>
      <c r="D15625" s="19"/>
      <c r="E15625" s="57"/>
      <c r="H15625" s="18"/>
    </row>
    <row r="15626">
      <c r="C15626" s="18"/>
      <c r="D15626" s="19"/>
      <c r="E15626" s="57"/>
      <c r="H15626" s="18"/>
    </row>
    <row r="15627">
      <c r="C15627" s="18"/>
      <c r="D15627" s="19"/>
      <c r="E15627" s="57"/>
      <c r="H15627" s="18"/>
    </row>
    <row r="15628">
      <c r="C15628" s="18"/>
      <c r="D15628" s="19"/>
      <c r="E15628" s="57"/>
      <c r="H15628" s="18"/>
    </row>
    <row r="15629">
      <c r="C15629" s="18"/>
      <c r="D15629" s="19"/>
      <c r="E15629" s="57"/>
      <c r="H15629" s="18"/>
    </row>
    <row r="15630">
      <c r="C15630" s="18"/>
      <c r="D15630" s="19"/>
      <c r="E15630" s="57"/>
      <c r="H15630" s="18"/>
    </row>
    <row r="15631">
      <c r="C15631" s="18"/>
      <c r="D15631" s="19"/>
      <c r="E15631" s="57"/>
      <c r="H15631" s="18"/>
    </row>
    <row r="15632">
      <c r="C15632" s="18"/>
      <c r="D15632" s="19"/>
      <c r="E15632" s="57"/>
      <c r="H15632" s="18"/>
    </row>
    <row r="15633">
      <c r="C15633" s="18"/>
      <c r="D15633" s="19"/>
      <c r="E15633" s="57"/>
      <c r="H15633" s="18"/>
    </row>
    <row r="15634">
      <c r="C15634" s="18"/>
      <c r="D15634" s="19"/>
      <c r="E15634" s="57"/>
      <c r="H15634" s="18"/>
    </row>
    <row r="15635">
      <c r="C15635" s="18"/>
      <c r="D15635" s="19"/>
      <c r="E15635" s="57"/>
      <c r="H15635" s="18"/>
    </row>
    <row r="15636">
      <c r="C15636" s="18"/>
      <c r="D15636" s="19"/>
      <c r="E15636" s="57"/>
      <c r="H15636" s="18"/>
    </row>
    <row r="15637">
      <c r="C15637" s="18"/>
      <c r="D15637" s="19"/>
      <c r="E15637" s="57"/>
      <c r="H15637" s="18"/>
    </row>
    <row r="15638">
      <c r="C15638" s="18"/>
      <c r="D15638" s="19"/>
      <c r="E15638" s="57"/>
      <c r="H15638" s="18"/>
    </row>
    <row r="15639">
      <c r="C15639" s="18"/>
      <c r="D15639" s="19"/>
      <c r="E15639" s="57"/>
      <c r="H15639" s="18"/>
    </row>
    <row r="15640">
      <c r="C15640" s="18"/>
      <c r="D15640" s="19"/>
      <c r="E15640" s="57"/>
      <c r="H15640" s="18"/>
    </row>
    <row r="15641">
      <c r="C15641" s="18"/>
      <c r="D15641" s="19"/>
      <c r="E15641" s="57"/>
      <c r="H15641" s="18"/>
    </row>
    <row r="15642">
      <c r="C15642" s="18"/>
      <c r="D15642" s="19"/>
      <c r="E15642" s="57"/>
      <c r="H15642" s="18"/>
    </row>
    <row r="15643">
      <c r="C15643" s="18"/>
      <c r="D15643" s="19"/>
      <c r="E15643" s="57"/>
      <c r="H15643" s="18"/>
    </row>
    <row r="15644">
      <c r="C15644" s="18"/>
      <c r="D15644" s="19"/>
      <c r="E15644" s="57"/>
      <c r="H15644" s="18"/>
    </row>
    <row r="15645">
      <c r="C15645" s="18"/>
      <c r="D15645" s="19"/>
      <c r="E15645" s="57"/>
      <c r="H15645" s="18"/>
    </row>
    <row r="15646">
      <c r="C15646" s="18"/>
      <c r="D15646" s="19"/>
      <c r="E15646" s="57"/>
      <c r="H15646" s="18"/>
    </row>
    <row r="15647">
      <c r="C15647" s="18"/>
      <c r="D15647" s="19"/>
      <c r="E15647" s="57"/>
      <c r="H15647" s="18"/>
    </row>
    <row r="15648">
      <c r="C15648" s="18"/>
      <c r="D15648" s="19"/>
      <c r="E15648" s="57"/>
      <c r="H15648" s="18"/>
    </row>
    <row r="15649">
      <c r="C15649" s="18"/>
      <c r="D15649" s="19"/>
      <c r="E15649" s="57"/>
      <c r="H15649" s="18"/>
    </row>
    <row r="15650">
      <c r="C15650" s="18"/>
      <c r="D15650" s="19"/>
      <c r="E15650" s="57"/>
      <c r="H15650" s="18"/>
    </row>
    <row r="15651">
      <c r="C15651" s="18"/>
      <c r="D15651" s="19"/>
      <c r="E15651" s="57"/>
      <c r="H15651" s="18"/>
    </row>
    <row r="15652">
      <c r="C15652" s="18"/>
      <c r="D15652" s="19"/>
      <c r="E15652" s="57"/>
      <c r="H15652" s="18"/>
    </row>
    <row r="15653">
      <c r="C15653" s="18"/>
      <c r="D15653" s="19"/>
      <c r="E15653" s="57"/>
      <c r="H15653" s="18"/>
    </row>
    <row r="15654">
      <c r="C15654" s="18"/>
      <c r="D15654" s="19"/>
      <c r="E15654" s="57"/>
      <c r="H15654" s="18"/>
    </row>
    <row r="15655">
      <c r="C15655" s="18"/>
      <c r="D15655" s="19"/>
      <c r="E15655" s="57"/>
      <c r="H15655" s="18"/>
    </row>
    <row r="15656">
      <c r="C15656" s="18"/>
      <c r="D15656" s="19"/>
      <c r="E15656" s="57"/>
      <c r="H15656" s="18"/>
    </row>
    <row r="15657">
      <c r="C15657" s="18"/>
      <c r="D15657" s="19"/>
      <c r="E15657" s="57"/>
      <c r="H15657" s="18"/>
    </row>
    <row r="15658">
      <c r="C15658" s="18"/>
      <c r="D15658" s="19"/>
      <c r="E15658" s="57"/>
      <c r="H15658" s="18"/>
    </row>
    <row r="15659">
      <c r="C15659" s="18"/>
      <c r="D15659" s="19"/>
      <c r="E15659" s="57"/>
      <c r="H15659" s="18"/>
    </row>
    <row r="15660">
      <c r="C15660" s="18"/>
      <c r="D15660" s="19"/>
      <c r="E15660" s="57"/>
      <c r="H15660" s="18"/>
    </row>
    <row r="15661">
      <c r="C15661" s="18"/>
      <c r="D15661" s="19"/>
      <c r="E15661" s="57"/>
      <c r="H15661" s="18"/>
    </row>
    <row r="15662">
      <c r="C15662" s="18"/>
      <c r="D15662" s="19"/>
      <c r="E15662" s="57"/>
      <c r="H15662" s="18"/>
    </row>
    <row r="15663">
      <c r="C15663" s="18"/>
      <c r="D15663" s="19"/>
      <c r="E15663" s="57"/>
      <c r="H15663" s="18"/>
    </row>
    <row r="15664">
      <c r="C15664" s="18"/>
      <c r="D15664" s="19"/>
      <c r="E15664" s="57"/>
      <c r="H15664" s="18"/>
    </row>
    <row r="15665">
      <c r="C15665" s="18"/>
      <c r="D15665" s="19"/>
      <c r="E15665" s="57"/>
      <c r="H15665" s="18"/>
    </row>
    <row r="15666">
      <c r="C15666" s="18"/>
      <c r="D15666" s="19"/>
      <c r="E15666" s="57"/>
      <c r="H15666" s="18"/>
    </row>
    <row r="15667">
      <c r="C15667" s="18"/>
      <c r="D15667" s="19"/>
      <c r="E15667" s="57"/>
      <c r="H15667" s="18"/>
    </row>
    <row r="15668">
      <c r="C15668" s="18"/>
      <c r="D15668" s="19"/>
      <c r="E15668" s="57"/>
      <c r="H15668" s="18"/>
    </row>
    <row r="15669">
      <c r="C15669" s="18"/>
      <c r="D15669" s="19"/>
      <c r="E15669" s="57"/>
      <c r="H15669" s="18"/>
    </row>
    <row r="15670">
      <c r="C15670" s="18"/>
      <c r="D15670" s="19"/>
      <c r="E15670" s="57"/>
      <c r="H15670" s="18"/>
    </row>
    <row r="15671">
      <c r="C15671" s="18"/>
      <c r="D15671" s="19"/>
      <c r="E15671" s="57"/>
      <c r="H15671" s="18"/>
    </row>
    <row r="15672">
      <c r="C15672" s="18"/>
      <c r="D15672" s="19"/>
      <c r="E15672" s="57"/>
      <c r="H15672" s="18"/>
    </row>
    <row r="15673">
      <c r="C15673" s="18"/>
      <c r="D15673" s="19"/>
      <c r="E15673" s="57"/>
      <c r="H15673" s="18"/>
    </row>
    <row r="15674">
      <c r="C15674" s="18"/>
      <c r="D15674" s="19"/>
      <c r="E15674" s="57"/>
      <c r="H15674" s="18"/>
    </row>
    <row r="15675">
      <c r="C15675" s="18"/>
      <c r="D15675" s="19"/>
      <c r="E15675" s="57"/>
      <c r="H15675" s="18"/>
    </row>
    <row r="15676">
      <c r="C15676" s="18"/>
      <c r="D15676" s="19"/>
      <c r="E15676" s="57"/>
      <c r="H15676" s="18"/>
    </row>
    <row r="15677">
      <c r="C15677" s="18"/>
      <c r="D15677" s="19"/>
      <c r="E15677" s="57"/>
      <c r="H15677" s="18"/>
    </row>
    <row r="15678">
      <c r="C15678" s="18"/>
      <c r="D15678" s="19"/>
      <c r="E15678" s="57"/>
      <c r="H15678" s="18"/>
    </row>
    <row r="15679">
      <c r="C15679" s="18"/>
      <c r="D15679" s="19"/>
      <c r="E15679" s="57"/>
      <c r="H15679" s="18"/>
    </row>
    <row r="15680">
      <c r="C15680" s="18"/>
      <c r="D15680" s="19"/>
      <c r="E15680" s="57"/>
      <c r="H15680" s="18"/>
    </row>
    <row r="15681">
      <c r="C15681" s="18"/>
      <c r="D15681" s="19"/>
      <c r="E15681" s="57"/>
      <c r="H15681" s="18"/>
    </row>
    <row r="15682">
      <c r="C15682" s="18"/>
      <c r="D15682" s="19"/>
      <c r="E15682" s="57"/>
      <c r="H15682" s="18"/>
    </row>
    <row r="15683">
      <c r="C15683" s="18"/>
      <c r="D15683" s="19"/>
      <c r="E15683" s="57"/>
      <c r="H15683" s="18"/>
    </row>
    <row r="15684">
      <c r="C15684" s="18"/>
      <c r="D15684" s="19"/>
      <c r="E15684" s="57"/>
      <c r="H15684" s="18"/>
    </row>
    <row r="15685">
      <c r="C15685" s="18"/>
      <c r="D15685" s="19"/>
      <c r="E15685" s="57"/>
      <c r="H15685" s="18"/>
    </row>
    <row r="15686">
      <c r="C15686" s="18"/>
      <c r="D15686" s="19"/>
      <c r="E15686" s="57"/>
      <c r="H15686" s="18"/>
    </row>
    <row r="15687">
      <c r="C15687" s="18"/>
      <c r="D15687" s="19"/>
      <c r="E15687" s="57"/>
      <c r="H15687" s="18"/>
    </row>
    <row r="15688">
      <c r="C15688" s="18"/>
      <c r="D15688" s="19"/>
      <c r="E15688" s="57"/>
      <c r="H15688" s="18"/>
    </row>
    <row r="15689">
      <c r="C15689" s="18"/>
      <c r="D15689" s="19"/>
      <c r="E15689" s="57"/>
      <c r="H15689" s="18"/>
    </row>
    <row r="15690">
      <c r="C15690" s="18"/>
      <c r="D15690" s="19"/>
      <c r="E15690" s="57"/>
      <c r="H15690" s="18"/>
    </row>
    <row r="15691">
      <c r="C15691" s="18"/>
      <c r="D15691" s="19"/>
      <c r="E15691" s="57"/>
      <c r="H15691" s="18"/>
    </row>
    <row r="15692">
      <c r="C15692" s="18"/>
      <c r="D15692" s="19"/>
      <c r="E15692" s="57"/>
      <c r="H15692" s="18"/>
    </row>
    <row r="15693">
      <c r="C15693" s="18"/>
      <c r="D15693" s="19"/>
      <c r="E15693" s="57"/>
      <c r="H15693" s="18"/>
    </row>
    <row r="15694">
      <c r="C15694" s="18"/>
      <c r="D15694" s="19"/>
      <c r="E15694" s="57"/>
      <c r="H15694" s="18"/>
    </row>
    <row r="15695">
      <c r="C15695" s="18"/>
      <c r="D15695" s="19"/>
      <c r="E15695" s="57"/>
      <c r="H15695" s="18"/>
    </row>
    <row r="15696">
      <c r="C15696" s="18"/>
      <c r="D15696" s="19"/>
      <c r="E15696" s="57"/>
      <c r="H15696" s="18"/>
    </row>
    <row r="15697">
      <c r="C15697" s="18"/>
      <c r="D15697" s="19"/>
      <c r="E15697" s="57"/>
      <c r="H15697" s="18"/>
    </row>
    <row r="15698">
      <c r="C15698" s="18"/>
      <c r="D15698" s="19"/>
      <c r="E15698" s="57"/>
      <c r="H15698" s="18"/>
    </row>
    <row r="15699">
      <c r="C15699" s="18"/>
      <c r="D15699" s="19"/>
      <c r="E15699" s="57"/>
      <c r="H15699" s="18"/>
    </row>
    <row r="15700">
      <c r="C15700" s="18"/>
      <c r="D15700" s="19"/>
      <c r="E15700" s="57"/>
      <c r="H15700" s="18"/>
    </row>
    <row r="15701">
      <c r="C15701" s="18"/>
      <c r="D15701" s="19"/>
      <c r="E15701" s="57"/>
      <c r="H15701" s="18"/>
    </row>
    <row r="15702">
      <c r="C15702" s="18"/>
      <c r="D15702" s="19"/>
      <c r="E15702" s="57"/>
      <c r="H15702" s="18"/>
    </row>
    <row r="15703">
      <c r="C15703" s="18"/>
      <c r="D15703" s="19"/>
      <c r="E15703" s="57"/>
      <c r="H15703" s="18"/>
    </row>
    <row r="15704">
      <c r="C15704" s="18"/>
      <c r="D15704" s="19"/>
      <c r="E15704" s="57"/>
      <c r="H15704" s="18"/>
    </row>
    <row r="15705">
      <c r="C15705" s="18"/>
      <c r="D15705" s="19"/>
      <c r="E15705" s="57"/>
      <c r="H15705" s="18"/>
    </row>
    <row r="15706">
      <c r="C15706" s="18"/>
      <c r="D15706" s="19"/>
      <c r="E15706" s="57"/>
      <c r="H15706" s="18"/>
    </row>
    <row r="15707">
      <c r="C15707" s="18"/>
      <c r="D15707" s="19"/>
      <c r="E15707" s="57"/>
      <c r="H15707" s="18"/>
    </row>
    <row r="15708">
      <c r="C15708" s="18"/>
      <c r="D15708" s="19"/>
      <c r="E15708" s="57"/>
      <c r="H15708" s="18"/>
    </row>
    <row r="15709">
      <c r="C15709" s="18"/>
      <c r="D15709" s="19"/>
      <c r="E15709" s="57"/>
      <c r="H15709" s="18"/>
    </row>
    <row r="15710">
      <c r="C15710" s="18"/>
      <c r="D15710" s="19"/>
      <c r="E15710" s="57"/>
      <c r="H15710" s="18"/>
    </row>
    <row r="15711">
      <c r="C15711" s="18"/>
      <c r="D15711" s="19"/>
      <c r="E15711" s="57"/>
      <c r="H15711" s="18"/>
    </row>
    <row r="15712">
      <c r="C15712" s="18"/>
      <c r="D15712" s="19"/>
      <c r="E15712" s="57"/>
      <c r="H15712" s="18"/>
    </row>
    <row r="15713">
      <c r="C15713" s="18"/>
      <c r="D15713" s="19"/>
      <c r="E15713" s="57"/>
      <c r="H15713" s="18"/>
    </row>
    <row r="15714">
      <c r="C15714" s="18"/>
      <c r="D15714" s="19"/>
      <c r="E15714" s="57"/>
      <c r="H15714" s="18"/>
    </row>
    <row r="15715">
      <c r="C15715" s="18"/>
      <c r="D15715" s="19"/>
      <c r="E15715" s="57"/>
      <c r="H15715" s="18"/>
    </row>
    <row r="15716">
      <c r="C15716" s="18"/>
      <c r="D15716" s="19"/>
      <c r="E15716" s="57"/>
      <c r="H15716" s="18"/>
    </row>
    <row r="15717">
      <c r="C15717" s="18"/>
      <c r="D15717" s="19"/>
      <c r="E15717" s="57"/>
      <c r="H15717" s="18"/>
    </row>
    <row r="15718">
      <c r="C15718" s="18"/>
      <c r="D15718" s="19"/>
      <c r="E15718" s="57"/>
      <c r="H15718" s="18"/>
    </row>
    <row r="15719">
      <c r="C15719" s="18"/>
      <c r="D15719" s="19"/>
      <c r="E15719" s="57"/>
      <c r="H15719" s="18"/>
    </row>
    <row r="15720">
      <c r="C15720" s="18"/>
      <c r="D15720" s="19"/>
      <c r="E15720" s="57"/>
      <c r="H15720" s="18"/>
    </row>
    <row r="15721">
      <c r="C15721" s="18"/>
      <c r="D15721" s="19"/>
      <c r="E15721" s="57"/>
      <c r="H15721" s="18"/>
    </row>
    <row r="15722">
      <c r="C15722" s="18"/>
      <c r="D15722" s="19"/>
      <c r="E15722" s="57"/>
      <c r="H15722" s="18"/>
    </row>
    <row r="15723">
      <c r="C15723" s="18"/>
      <c r="D15723" s="19"/>
      <c r="E15723" s="57"/>
      <c r="H15723" s="18"/>
    </row>
    <row r="15724">
      <c r="C15724" s="18"/>
      <c r="D15724" s="19"/>
      <c r="E15724" s="57"/>
      <c r="H15724" s="18"/>
    </row>
    <row r="15725">
      <c r="C15725" s="18"/>
      <c r="D15725" s="19"/>
      <c r="E15725" s="57"/>
      <c r="H15725" s="18"/>
    </row>
    <row r="15726">
      <c r="C15726" s="18"/>
      <c r="D15726" s="19"/>
      <c r="E15726" s="57"/>
      <c r="H15726" s="18"/>
    </row>
    <row r="15727">
      <c r="C15727" s="18"/>
      <c r="D15727" s="19"/>
      <c r="E15727" s="57"/>
      <c r="H15727" s="18"/>
    </row>
    <row r="15728">
      <c r="C15728" s="18"/>
      <c r="D15728" s="19"/>
      <c r="E15728" s="57"/>
      <c r="H15728" s="18"/>
    </row>
    <row r="15729">
      <c r="C15729" s="18"/>
      <c r="D15729" s="19"/>
      <c r="E15729" s="57"/>
      <c r="H15729" s="18"/>
    </row>
    <row r="15730">
      <c r="C15730" s="18"/>
      <c r="D15730" s="19"/>
      <c r="E15730" s="57"/>
      <c r="H15730" s="18"/>
    </row>
    <row r="15731">
      <c r="C15731" s="18"/>
      <c r="D15731" s="19"/>
      <c r="E15731" s="57"/>
      <c r="H15731" s="18"/>
    </row>
    <row r="15732">
      <c r="C15732" s="18"/>
      <c r="D15732" s="19"/>
      <c r="E15732" s="57"/>
      <c r="H15732" s="18"/>
    </row>
    <row r="15733">
      <c r="C15733" s="18"/>
      <c r="D15733" s="19"/>
      <c r="E15733" s="57"/>
      <c r="H15733" s="18"/>
    </row>
    <row r="15734">
      <c r="C15734" s="18"/>
      <c r="D15734" s="19"/>
      <c r="E15734" s="57"/>
      <c r="H15734" s="18"/>
    </row>
    <row r="15735">
      <c r="C15735" s="18"/>
      <c r="D15735" s="19"/>
      <c r="E15735" s="57"/>
      <c r="H15735" s="18"/>
    </row>
    <row r="15736">
      <c r="C15736" s="18"/>
      <c r="D15736" s="19"/>
      <c r="E15736" s="57"/>
      <c r="H15736" s="18"/>
    </row>
    <row r="15737">
      <c r="C15737" s="18"/>
      <c r="D15737" s="19"/>
      <c r="E15737" s="57"/>
      <c r="H15737" s="18"/>
    </row>
    <row r="15738">
      <c r="C15738" s="18"/>
      <c r="D15738" s="19"/>
      <c r="E15738" s="57"/>
      <c r="H15738" s="18"/>
    </row>
    <row r="15739">
      <c r="C15739" s="18"/>
      <c r="D15739" s="19"/>
      <c r="E15739" s="57"/>
      <c r="H15739" s="18"/>
    </row>
    <row r="15740">
      <c r="C15740" s="18"/>
      <c r="D15740" s="19"/>
      <c r="E15740" s="57"/>
      <c r="H15740" s="18"/>
    </row>
    <row r="15741">
      <c r="C15741" s="18"/>
      <c r="D15741" s="19"/>
      <c r="E15741" s="57"/>
      <c r="H15741" s="18"/>
    </row>
    <row r="15742">
      <c r="C15742" s="18"/>
      <c r="D15742" s="19"/>
      <c r="E15742" s="57"/>
      <c r="H15742" s="18"/>
    </row>
    <row r="15743">
      <c r="C15743" s="18"/>
      <c r="D15743" s="19"/>
      <c r="E15743" s="57"/>
      <c r="H15743" s="18"/>
    </row>
    <row r="15744">
      <c r="C15744" s="18"/>
      <c r="D15744" s="19"/>
      <c r="E15744" s="57"/>
      <c r="H15744" s="18"/>
    </row>
    <row r="15745">
      <c r="C15745" s="18"/>
      <c r="D15745" s="19"/>
      <c r="E15745" s="57"/>
      <c r="H15745" s="18"/>
    </row>
    <row r="15746">
      <c r="C15746" s="18"/>
      <c r="D15746" s="19"/>
      <c r="E15746" s="57"/>
      <c r="H15746" s="18"/>
    </row>
    <row r="15747">
      <c r="C15747" s="18"/>
      <c r="D15747" s="19"/>
      <c r="E15747" s="57"/>
      <c r="H15747" s="18"/>
    </row>
    <row r="15748">
      <c r="C15748" s="18"/>
      <c r="D15748" s="19"/>
      <c r="E15748" s="57"/>
      <c r="H15748" s="18"/>
    </row>
    <row r="15749">
      <c r="C15749" s="18"/>
      <c r="D15749" s="19"/>
      <c r="E15749" s="57"/>
      <c r="H15749" s="18"/>
    </row>
    <row r="15750">
      <c r="C15750" s="18"/>
      <c r="D15750" s="19"/>
      <c r="E15750" s="57"/>
      <c r="H15750" s="18"/>
    </row>
    <row r="15751">
      <c r="C15751" s="18"/>
      <c r="D15751" s="19"/>
      <c r="E15751" s="57"/>
      <c r="H15751" s="18"/>
    </row>
    <row r="15752">
      <c r="C15752" s="18"/>
      <c r="D15752" s="19"/>
      <c r="E15752" s="57"/>
      <c r="H15752" s="18"/>
    </row>
    <row r="15753">
      <c r="C15753" s="18"/>
      <c r="D15753" s="19"/>
      <c r="E15753" s="57"/>
      <c r="H15753" s="18"/>
    </row>
    <row r="15754">
      <c r="C15754" s="18"/>
      <c r="D15754" s="19"/>
      <c r="E15754" s="57"/>
      <c r="H15754" s="18"/>
    </row>
    <row r="15755">
      <c r="C15755" s="18"/>
      <c r="D15755" s="19"/>
      <c r="E15755" s="57"/>
      <c r="H15755" s="18"/>
    </row>
    <row r="15756">
      <c r="C15756" s="18"/>
      <c r="D15756" s="19"/>
      <c r="E15756" s="57"/>
      <c r="H15756" s="18"/>
    </row>
    <row r="15757">
      <c r="C15757" s="18"/>
      <c r="D15757" s="19"/>
      <c r="E15757" s="57"/>
      <c r="H15757" s="18"/>
    </row>
    <row r="15758">
      <c r="C15758" s="18"/>
      <c r="D15758" s="19"/>
      <c r="E15758" s="57"/>
      <c r="H15758" s="18"/>
    </row>
    <row r="15759">
      <c r="C15759" s="18"/>
      <c r="D15759" s="19"/>
      <c r="E15759" s="57"/>
      <c r="H15759" s="18"/>
    </row>
    <row r="15760">
      <c r="C15760" s="18"/>
      <c r="D15760" s="19"/>
      <c r="E15760" s="57"/>
      <c r="H15760" s="18"/>
    </row>
    <row r="15761">
      <c r="C15761" s="18"/>
      <c r="D15761" s="19"/>
      <c r="E15761" s="57"/>
      <c r="H15761" s="18"/>
    </row>
    <row r="15762">
      <c r="C15762" s="18"/>
      <c r="D15762" s="19"/>
      <c r="E15762" s="57"/>
      <c r="H15762" s="18"/>
    </row>
    <row r="15763">
      <c r="C15763" s="18"/>
      <c r="D15763" s="19"/>
      <c r="E15763" s="57"/>
      <c r="H15763" s="18"/>
    </row>
    <row r="15764">
      <c r="C15764" s="18"/>
      <c r="D15764" s="19"/>
      <c r="E15764" s="57"/>
      <c r="H15764" s="18"/>
    </row>
    <row r="15765">
      <c r="C15765" s="18"/>
      <c r="D15765" s="19"/>
      <c r="E15765" s="57"/>
      <c r="H15765" s="18"/>
    </row>
    <row r="15766">
      <c r="C15766" s="18"/>
      <c r="D15766" s="19"/>
      <c r="E15766" s="57"/>
      <c r="H15766" s="18"/>
    </row>
    <row r="15767">
      <c r="C15767" s="18"/>
      <c r="D15767" s="19"/>
      <c r="E15767" s="57"/>
      <c r="H15767" s="18"/>
    </row>
    <row r="15768">
      <c r="C15768" s="18"/>
      <c r="D15768" s="19"/>
      <c r="E15768" s="57"/>
      <c r="H15768" s="18"/>
    </row>
    <row r="15769">
      <c r="C15769" s="18"/>
      <c r="D15769" s="19"/>
      <c r="E15769" s="57"/>
      <c r="H15769" s="18"/>
    </row>
    <row r="15770">
      <c r="C15770" s="18"/>
      <c r="D15770" s="19"/>
      <c r="E15770" s="57"/>
      <c r="H15770" s="18"/>
    </row>
    <row r="15771">
      <c r="C15771" s="18"/>
      <c r="D15771" s="19"/>
      <c r="E15771" s="57"/>
      <c r="H15771" s="18"/>
    </row>
    <row r="15772">
      <c r="C15772" s="18"/>
      <c r="D15772" s="19"/>
      <c r="E15772" s="57"/>
      <c r="H15772" s="18"/>
    </row>
    <row r="15773">
      <c r="C15773" s="18"/>
      <c r="D15773" s="19"/>
      <c r="E15773" s="57"/>
      <c r="H15773" s="18"/>
    </row>
    <row r="15774">
      <c r="C15774" s="18"/>
      <c r="D15774" s="19"/>
      <c r="E15774" s="57"/>
      <c r="H15774" s="18"/>
    </row>
    <row r="15775">
      <c r="C15775" s="18"/>
      <c r="D15775" s="19"/>
      <c r="E15775" s="57"/>
      <c r="H15775" s="18"/>
    </row>
    <row r="15776">
      <c r="C15776" s="18"/>
      <c r="D15776" s="19"/>
      <c r="E15776" s="57"/>
      <c r="H15776" s="18"/>
    </row>
    <row r="15777">
      <c r="C15777" s="18"/>
      <c r="D15777" s="19"/>
      <c r="E15777" s="57"/>
      <c r="H15777" s="18"/>
    </row>
    <row r="15778">
      <c r="C15778" s="18"/>
      <c r="D15778" s="19"/>
      <c r="E15778" s="57"/>
      <c r="H15778" s="18"/>
    </row>
    <row r="15779">
      <c r="C15779" s="18"/>
      <c r="D15779" s="19"/>
      <c r="E15779" s="57"/>
      <c r="H15779" s="18"/>
    </row>
    <row r="15780">
      <c r="C15780" s="18"/>
      <c r="D15780" s="19"/>
      <c r="E15780" s="57"/>
      <c r="H15780" s="18"/>
    </row>
    <row r="15781">
      <c r="C15781" s="18"/>
      <c r="D15781" s="19"/>
      <c r="E15781" s="57"/>
      <c r="H15781" s="18"/>
    </row>
    <row r="15782">
      <c r="C15782" s="18"/>
      <c r="D15782" s="19"/>
      <c r="E15782" s="57"/>
      <c r="H15782" s="18"/>
    </row>
    <row r="15783">
      <c r="C15783" s="18"/>
      <c r="D15783" s="19"/>
      <c r="E15783" s="57"/>
      <c r="H15783" s="18"/>
    </row>
    <row r="15784">
      <c r="C15784" s="18"/>
      <c r="D15784" s="19"/>
      <c r="E15784" s="57"/>
      <c r="H15784" s="18"/>
    </row>
    <row r="15785">
      <c r="C15785" s="18"/>
      <c r="D15785" s="19"/>
      <c r="E15785" s="57"/>
      <c r="H15785" s="18"/>
    </row>
    <row r="15786">
      <c r="C15786" s="18"/>
      <c r="D15786" s="19"/>
      <c r="E15786" s="57"/>
      <c r="H15786" s="18"/>
    </row>
    <row r="15787">
      <c r="C15787" s="18"/>
      <c r="D15787" s="19"/>
      <c r="E15787" s="57"/>
      <c r="H15787" s="18"/>
    </row>
    <row r="15788">
      <c r="C15788" s="18"/>
      <c r="D15788" s="19"/>
      <c r="E15788" s="57"/>
      <c r="H15788" s="18"/>
    </row>
    <row r="15789">
      <c r="C15789" s="18"/>
      <c r="D15789" s="19"/>
      <c r="E15789" s="57"/>
      <c r="H15789" s="18"/>
    </row>
    <row r="15790">
      <c r="C15790" s="18"/>
      <c r="D15790" s="19"/>
      <c r="E15790" s="57"/>
      <c r="H15790" s="18"/>
    </row>
    <row r="15791">
      <c r="C15791" s="18"/>
      <c r="D15791" s="19"/>
      <c r="E15791" s="57"/>
      <c r="H15791" s="18"/>
    </row>
    <row r="15792">
      <c r="C15792" s="18"/>
      <c r="D15792" s="19"/>
      <c r="E15792" s="57"/>
      <c r="H15792" s="18"/>
    </row>
    <row r="15793">
      <c r="C15793" s="18"/>
      <c r="D15793" s="19"/>
      <c r="E15793" s="57"/>
      <c r="H15793" s="18"/>
    </row>
    <row r="15794">
      <c r="C15794" s="18"/>
      <c r="D15794" s="19"/>
      <c r="E15794" s="57"/>
      <c r="H15794" s="18"/>
    </row>
    <row r="15795">
      <c r="C15795" s="18"/>
      <c r="D15795" s="19"/>
      <c r="E15795" s="57"/>
      <c r="H15795" s="18"/>
    </row>
    <row r="15796">
      <c r="C15796" s="18"/>
      <c r="D15796" s="19"/>
      <c r="E15796" s="57"/>
      <c r="H15796" s="18"/>
    </row>
    <row r="15797">
      <c r="C15797" s="18"/>
      <c r="D15797" s="19"/>
      <c r="E15797" s="57"/>
      <c r="H15797" s="18"/>
    </row>
    <row r="15798">
      <c r="C15798" s="18"/>
      <c r="D15798" s="19"/>
      <c r="E15798" s="57"/>
      <c r="H15798" s="18"/>
    </row>
    <row r="15799">
      <c r="C15799" s="18"/>
      <c r="D15799" s="19"/>
      <c r="E15799" s="57"/>
      <c r="H15799" s="18"/>
    </row>
    <row r="15800">
      <c r="C15800" s="18"/>
      <c r="D15800" s="19"/>
      <c r="E15800" s="57"/>
      <c r="H15800" s="18"/>
    </row>
    <row r="15801">
      <c r="C15801" s="18"/>
      <c r="D15801" s="19"/>
      <c r="E15801" s="57"/>
      <c r="H15801" s="18"/>
    </row>
    <row r="15802">
      <c r="C15802" s="18"/>
      <c r="D15802" s="19"/>
      <c r="E15802" s="57"/>
      <c r="H15802" s="18"/>
    </row>
    <row r="15803">
      <c r="C15803" s="18"/>
      <c r="D15803" s="19"/>
      <c r="E15803" s="57"/>
      <c r="H15803" s="18"/>
    </row>
    <row r="15804">
      <c r="C15804" s="18"/>
      <c r="D15804" s="19"/>
      <c r="E15804" s="57"/>
      <c r="H15804" s="18"/>
    </row>
    <row r="15805">
      <c r="C15805" s="18"/>
      <c r="D15805" s="19"/>
      <c r="E15805" s="57"/>
      <c r="H15805" s="18"/>
    </row>
    <row r="15806">
      <c r="C15806" s="18"/>
      <c r="D15806" s="19"/>
      <c r="E15806" s="57"/>
      <c r="H15806" s="18"/>
    </row>
    <row r="15807">
      <c r="C15807" s="18"/>
      <c r="D15807" s="19"/>
      <c r="E15807" s="57"/>
      <c r="H15807" s="18"/>
    </row>
    <row r="15808">
      <c r="C15808" s="18"/>
      <c r="D15808" s="19"/>
      <c r="E15808" s="57"/>
      <c r="H15808" s="18"/>
    </row>
    <row r="15809">
      <c r="C15809" s="18"/>
      <c r="D15809" s="19"/>
      <c r="E15809" s="57"/>
      <c r="H15809" s="18"/>
    </row>
    <row r="15810">
      <c r="C15810" s="18"/>
      <c r="D15810" s="19"/>
      <c r="E15810" s="57"/>
      <c r="H15810" s="18"/>
    </row>
    <row r="15811">
      <c r="C15811" s="18"/>
      <c r="D15811" s="19"/>
      <c r="E15811" s="57"/>
      <c r="H15811" s="18"/>
    </row>
    <row r="15812">
      <c r="C15812" s="18"/>
      <c r="D15812" s="19"/>
      <c r="E15812" s="57"/>
      <c r="H15812" s="18"/>
    </row>
    <row r="15813">
      <c r="C15813" s="18"/>
      <c r="D15813" s="19"/>
      <c r="E15813" s="57"/>
      <c r="H15813" s="18"/>
    </row>
    <row r="15814">
      <c r="C15814" s="18"/>
      <c r="D15814" s="19"/>
      <c r="E15814" s="57"/>
      <c r="H15814" s="18"/>
    </row>
    <row r="15815">
      <c r="C15815" s="18"/>
      <c r="D15815" s="19"/>
      <c r="E15815" s="57"/>
      <c r="H15815" s="18"/>
    </row>
    <row r="15816">
      <c r="C15816" s="18"/>
      <c r="D15816" s="19"/>
      <c r="E15816" s="57"/>
      <c r="H15816" s="18"/>
    </row>
    <row r="15817">
      <c r="C15817" s="18"/>
      <c r="D15817" s="19"/>
      <c r="E15817" s="57"/>
      <c r="H15817" s="18"/>
    </row>
    <row r="15818">
      <c r="C15818" s="18"/>
      <c r="D15818" s="19"/>
      <c r="E15818" s="57"/>
      <c r="H15818" s="18"/>
    </row>
    <row r="15819">
      <c r="C15819" s="18"/>
      <c r="D15819" s="19"/>
      <c r="E15819" s="57"/>
      <c r="H15819" s="18"/>
    </row>
    <row r="15820">
      <c r="C15820" s="18"/>
      <c r="D15820" s="19"/>
      <c r="E15820" s="57"/>
      <c r="H15820" s="18"/>
    </row>
    <row r="15821">
      <c r="C15821" s="18"/>
      <c r="D15821" s="19"/>
      <c r="E15821" s="57"/>
      <c r="H15821" s="18"/>
    </row>
    <row r="15822">
      <c r="C15822" s="18"/>
      <c r="D15822" s="19"/>
      <c r="E15822" s="57"/>
      <c r="H15822" s="18"/>
    </row>
    <row r="15823">
      <c r="C15823" s="18"/>
      <c r="D15823" s="19"/>
      <c r="E15823" s="57"/>
      <c r="H15823" s="18"/>
    </row>
    <row r="15824">
      <c r="C15824" s="18"/>
      <c r="D15824" s="19"/>
      <c r="E15824" s="57"/>
      <c r="H15824" s="18"/>
    </row>
    <row r="15825">
      <c r="C15825" s="18"/>
      <c r="D15825" s="19"/>
      <c r="E15825" s="57"/>
      <c r="H15825" s="18"/>
    </row>
    <row r="15826">
      <c r="C15826" s="18"/>
      <c r="D15826" s="19"/>
      <c r="E15826" s="57"/>
      <c r="H15826" s="18"/>
    </row>
    <row r="15827">
      <c r="C15827" s="18"/>
      <c r="D15827" s="19"/>
      <c r="E15827" s="57"/>
      <c r="H15827" s="18"/>
    </row>
    <row r="15828">
      <c r="C15828" s="18"/>
      <c r="D15828" s="19"/>
      <c r="E15828" s="57"/>
      <c r="H15828" s="18"/>
    </row>
    <row r="15829">
      <c r="C15829" s="18"/>
      <c r="D15829" s="19"/>
      <c r="E15829" s="57"/>
      <c r="H15829" s="18"/>
    </row>
    <row r="15830">
      <c r="C15830" s="18"/>
      <c r="D15830" s="19"/>
      <c r="E15830" s="57"/>
      <c r="H15830" s="18"/>
    </row>
    <row r="15831">
      <c r="C15831" s="18"/>
      <c r="D15831" s="19"/>
      <c r="E15831" s="57"/>
      <c r="H15831" s="18"/>
    </row>
    <row r="15832">
      <c r="C15832" s="18"/>
      <c r="D15832" s="19"/>
      <c r="E15832" s="57"/>
      <c r="H15832" s="18"/>
    </row>
    <row r="15833">
      <c r="C15833" s="18"/>
      <c r="D15833" s="19"/>
      <c r="E15833" s="57"/>
      <c r="H15833" s="18"/>
    </row>
    <row r="15834">
      <c r="C15834" s="18"/>
      <c r="D15834" s="19"/>
      <c r="E15834" s="57"/>
      <c r="H15834" s="18"/>
    </row>
    <row r="15835">
      <c r="C15835" s="18"/>
      <c r="D15835" s="19"/>
      <c r="E15835" s="57"/>
      <c r="H15835" s="18"/>
    </row>
    <row r="15836">
      <c r="C15836" s="18"/>
      <c r="D15836" s="19"/>
      <c r="E15836" s="57"/>
      <c r="H15836" s="18"/>
    </row>
    <row r="15837">
      <c r="C15837" s="18"/>
      <c r="D15837" s="19"/>
      <c r="E15837" s="57"/>
      <c r="H15837" s="18"/>
    </row>
    <row r="15838">
      <c r="C15838" s="18"/>
      <c r="D15838" s="19"/>
      <c r="E15838" s="57"/>
      <c r="H15838" s="18"/>
    </row>
    <row r="15839">
      <c r="C15839" s="18"/>
      <c r="D15839" s="19"/>
      <c r="E15839" s="57"/>
      <c r="H15839" s="18"/>
    </row>
    <row r="15840">
      <c r="C15840" s="18"/>
      <c r="D15840" s="19"/>
      <c r="E15840" s="57"/>
      <c r="H15840" s="18"/>
    </row>
    <row r="15841">
      <c r="C15841" s="18"/>
      <c r="D15841" s="19"/>
      <c r="E15841" s="57"/>
      <c r="H15841" s="18"/>
    </row>
    <row r="15842">
      <c r="C15842" s="18"/>
      <c r="D15842" s="19"/>
      <c r="E15842" s="57"/>
      <c r="H15842" s="18"/>
    </row>
    <row r="15843">
      <c r="C15843" s="18"/>
      <c r="D15843" s="19"/>
      <c r="E15843" s="57"/>
      <c r="H15843" s="18"/>
    </row>
    <row r="15844">
      <c r="C15844" s="18"/>
      <c r="D15844" s="19"/>
      <c r="E15844" s="57"/>
      <c r="H15844" s="18"/>
    </row>
    <row r="15845">
      <c r="C15845" s="18"/>
      <c r="D15845" s="19"/>
      <c r="E15845" s="57"/>
      <c r="H15845" s="18"/>
    </row>
    <row r="15846">
      <c r="C15846" s="18"/>
      <c r="D15846" s="19"/>
      <c r="E15846" s="57"/>
      <c r="H15846" s="18"/>
    </row>
    <row r="15847">
      <c r="C15847" s="18"/>
      <c r="D15847" s="19"/>
      <c r="E15847" s="57"/>
      <c r="H15847" s="18"/>
    </row>
    <row r="15848">
      <c r="C15848" s="18"/>
      <c r="D15848" s="19"/>
      <c r="E15848" s="57"/>
      <c r="H15848" s="18"/>
    </row>
    <row r="15849">
      <c r="C15849" s="18"/>
      <c r="D15849" s="19"/>
      <c r="E15849" s="57"/>
      <c r="H15849" s="18"/>
    </row>
    <row r="15850">
      <c r="C15850" s="18"/>
      <c r="D15850" s="19"/>
      <c r="E15850" s="57"/>
      <c r="H15850" s="18"/>
    </row>
    <row r="15851">
      <c r="C15851" s="18"/>
      <c r="D15851" s="19"/>
      <c r="E15851" s="57"/>
      <c r="H15851" s="18"/>
    </row>
    <row r="15852">
      <c r="C15852" s="18"/>
      <c r="D15852" s="19"/>
      <c r="E15852" s="57"/>
      <c r="H15852" s="18"/>
    </row>
    <row r="15853">
      <c r="C15853" s="18"/>
      <c r="D15853" s="19"/>
      <c r="E15853" s="57"/>
      <c r="H15853" s="18"/>
    </row>
    <row r="15854">
      <c r="C15854" s="18"/>
      <c r="D15854" s="19"/>
      <c r="E15854" s="57"/>
      <c r="H15854" s="18"/>
    </row>
    <row r="15855">
      <c r="C15855" s="18"/>
      <c r="D15855" s="19"/>
      <c r="E15855" s="57"/>
      <c r="H15855" s="18"/>
    </row>
    <row r="15856">
      <c r="C15856" s="18"/>
      <c r="D15856" s="19"/>
      <c r="E15856" s="57"/>
      <c r="H15856" s="18"/>
    </row>
    <row r="15857">
      <c r="C15857" s="18"/>
      <c r="D15857" s="19"/>
      <c r="E15857" s="57"/>
      <c r="H15857" s="18"/>
    </row>
    <row r="15858">
      <c r="C15858" s="18"/>
      <c r="D15858" s="19"/>
      <c r="E15858" s="57"/>
      <c r="H15858" s="18"/>
    </row>
    <row r="15859">
      <c r="C15859" s="18"/>
      <c r="D15859" s="19"/>
      <c r="E15859" s="57"/>
      <c r="H15859" s="18"/>
    </row>
    <row r="15860">
      <c r="C15860" s="18"/>
      <c r="D15860" s="19"/>
      <c r="E15860" s="57"/>
      <c r="H15860" s="18"/>
    </row>
    <row r="15861">
      <c r="C15861" s="18"/>
      <c r="D15861" s="19"/>
      <c r="E15861" s="57"/>
      <c r="H15861" s="18"/>
    </row>
    <row r="15862">
      <c r="C15862" s="18"/>
      <c r="D15862" s="19"/>
      <c r="E15862" s="57"/>
      <c r="H15862" s="18"/>
    </row>
    <row r="15863">
      <c r="C15863" s="18"/>
      <c r="D15863" s="19"/>
      <c r="E15863" s="57"/>
      <c r="H15863" s="18"/>
    </row>
    <row r="15864">
      <c r="C15864" s="18"/>
      <c r="D15864" s="19"/>
      <c r="E15864" s="57"/>
      <c r="H15864" s="18"/>
    </row>
    <row r="15865">
      <c r="C15865" s="18"/>
      <c r="D15865" s="19"/>
      <c r="E15865" s="57"/>
      <c r="H15865" s="18"/>
    </row>
    <row r="15866">
      <c r="C15866" s="18"/>
      <c r="D15866" s="19"/>
      <c r="E15866" s="57"/>
      <c r="H15866" s="18"/>
    </row>
    <row r="15867">
      <c r="C15867" s="18"/>
      <c r="D15867" s="19"/>
      <c r="E15867" s="57"/>
      <c r="H15867" s="18"/>
    </row>
    <row r="15868">
      <c r="C15868" s="18"/>
      <c r="D15868" s="19"/>
      <c r="E15868" s="57"/>
      <c r="H15868" s="18"/>
    </row>
    <row r="15869">
      <c r="C15869" s="18"/>
      <c r="D15869" s="19"/>
      <c r="E15869" s="57"/>
      <c r="H15869" s="18"/>
    </row>
    <row r="15870">
      <c r="C15870" s="18"/>
      <c r="D15870" s="19"/>
      <c r="E15870" s="57"/>
      <c r="H15870" s="18"/>
    </row>
    <row r="15871">
      <c r="C15871" s="18"/>
      <c r="D15871" s="19"/>
      <c r="E15871" s="57"/>
      <c r="H15871" s="18"/>
    </row>
    <row r="15872">
      <c r="C15872" s="18"/>
      <c r="D15872" s="19"/>
      <c r="E15872" s="57"/>
      <c r="H15872" s="18"/>
    </row>
    <row r="15873">
      <c r="C15873" s="18"/>
      <c r="D15873" s="19"/>
      <c r="E15873" s="57"/>
      <c r="H15873" s="18"/>
    </row>
    <row r="15874">
      <c r="C15874" s="18"/>
      <c r="D15874" s="19"/>
      <c r="E15874" s="57"/>
      <c r="H15874" s="18"/>
    </row>
    <row r="15875">
      <c r="C15875" s="18"/>
      <c r="D15875" s="19"/>
      <c r="E15875" s="57"/>
      <c r="H15875" s="18"/>
    </row>
    <row r="15876">
      <c r="C15876" s="18"/>
      <c r="D15876" s="19"/>
      <c r="E15876" s="57"/>
      <c r="H15876" s="18"/>
    </row>
    <row r="15877">
      <c r="C15877" s="18"/>
      <c r="D15877" s="19"/>
      <c r="E15877" s="57"/>
      <c r="H15877" s="18"/>
    </row>
    <row r="15878">
      <c r="C15878" s="18"/>
      <c r="D15878" s="19"/>
      <c r="E15878" s="57"/>
      <c r="H15878" s="18"/>
    </row>
    <row r="15879">
      <c r="C15879" s="18"/>
      <c r="D15879" s="19"/>
      <c r="E15879" s="57"/>
      <c r="H15879" s="18"/>
    </row>
    <row r="15880">
      <c r="C15880" s="18"/>
      <c r="D15880" s="19"/>
      <c r="E15880" s="57"/>
      <c r="H15880" s="18"/>
    </row>
    <row r="15881">
      <c r="C15881" s="18"/>
      <c r="D15881" s="19"/>
      <c r="E15881" s="57"/>
      <c r="H15881" s="18"/>
    </row>
    <row r="15882">
      <c r="C15882" s="18"/>
      <c r="D15882" s="19"/>
      <c r="E15882" s="57"/>
      <c r="H15882" s="18"/>
    </row>
    <row r="15883">
      <c r="C15883" s="18"/>
      <c r="D15883" s="19"/>
      <c r="E15883" s="57"/>
      <c r="H15883" s="18"/>
    </row>
    <row r="15884">
      <c r="C15884" s="18"/>
      <c r="D15884" s="19"/>
      <c r="E15884" s="57"/>
      <c r="H15884" s="18"/>
    </row>
    <row r="15885">
      <c r="C15885" s="18"/>
      <c r="D15885" s="19"/>
      <c r="E15885" s="57"/>
      <c r="H15885" s="18"/>
    </row>
    <row r="15886">
      <c r="C15886" s="18"/>
      <c r="D15886" s="19"/>
      <c r="E15886" s="57"/>
      <c r="H15886" s="18"/>
    </row>
    <row r="15887">
      <c r="C15887" s="18"/>
      <c r="D15887" s="19"/>
      <c r="E15887" s="57"/>
      <c r="H15887" s="18"/>
    </row>
    <row r="15888">
      <c r="C15888" s="18"/>
      <c r="D15888" s="19"/>
      <c r="E15888" s="57"/>
      <c r="H15888" s="18"/>
    </row>
    <row r="15889">
      <c r="C15889" s="18"/>
      <c r="D15889" s="19"/>
      <c r="E15889" s="57"/>
      <c r="H15889" s="18"/>
    </row>
    <row r="15890">
      <c r="C15890" s="18"/>
      <c r="D15890" s="19"/>
      <c r="E15890" s="57"/>
      <c r="H15890" s="18"/>
    </row>
    <row r="15891">
      <c r="C15891" s="18"/>
      <c r="D15891" s="19"/>
      <c r="E15891" s="57"/>
      <c r="H15891" s="18"/>
    </row>
    <row r="15892">
      <c r="C15892" s="18"/>
      <c r="D15892" s="19"/>
      <c r="E15892" s="57"/>
      <c r="H15892" s="18"/>
    </row>
    <row r="15893">
      <c r="C15893" s="18"/>
      <c r="D15893" s="19"/>
      <c r="E15893" s="57"/>
      <c r="H15893" s="18"/>
    </row>
    <row r="15894">
      <c r="C15894" s="18"/>
      <c r="D15894" s="19"/>
      <c r="E15894" s="57"/>
      <c r="H15894" s="18"/>
    </row>
    <row r="15895">
      <c r="C15895" s="18"/>
      <c r="D15895" s="19"/>
      <c r="E15895" s="57"/>
      <c r="H15895" s="18"/>
    </row>
    <row r="15896">
      <c r="C15896" s="18"/>
      <c r="D15896" s="19"/>
      <c r="E15896" s="57"/>
      <c r="H15896" s="18"/>
    </row>
    <row r="15897">
      <c r="C15897" s="18"/>
      <c r="D15897" s="19"/>
      <c r="E15897" s="57"/>
      <c r="H15897" s="18"/>
    </row>
    <row r="15898">
      <c r="C15898" s="18"/>
      <c r="D15898" s="19"/>
      <c r="E15898" s="57"/>
      <c r="H15898" s="18"/>
    </row>
    <row r="15899">
      <c r="C15899" s="18"/>
      <c r="D15899" s="19"/>
      <c r="E15899" s="57"/>
      <c r="H15899" s="18"/>
    </row>
    <row r="15900">
      <c r="C15900" s="18"/>
      <c r="D15900" s="19"/>
      <c r="E15900" s="57"/>
      <c r="H15900" s="18"/>
    </row>
    <row r="15901">
      <c r="C15901" s="18"/>
      <c r="D15901" s="19"/>
      <c r="E15901" s="57"/>
      <c r="H15901" s="18"/>
    </row>
    <row r="15902">
      <c r="C15902" s="18"/>
      <c r="D15902" s="19"/>
      <c r="E15902" s="57"/>
      <c r="H15902" s="18"/>
    </row>
    <row r="15903">
      <c r="C15903" s="18"/>
      <c r="D15903" s="19"/>
      <c r="E15903" s="57"/>
      <c r="H15903" s="18"/>
    </row>
    <row r="15904">
      <c r="C15904" s="18"/>
      <c r="D15904" s="19"/>
      <c r="E15904" s="57"/>
      <c r="H15904" s="18"/>
    </row>
    <row r="15905">
      <c r="C15905" s="18"/>
      <c r="D15905" s="19"/>
      <c r="E15905" s="57"/>
      <c r="H15905" s="18"/>
    </row>
    <row r="15906">
      <c r="C15906" s="18"/>
      <c r="D15906" s="19"/>
      <c r="E15906" s="57"/>
      <c r="H15906" s="18"/>
    </row>
    <row r="15907">
      <c r="C15907" s="18"/>
      <c r="D15907" s="19"/>
      <c r="E15907" s="57"/>
      <c r="H15907" s="18"/>
    </row>
    <row r="15908">
      <c r="C15908" s="18"/>
      <c r="D15908" s="19"/>
      <c r="E15908" s="57"/>
      <c r="H15908" s="18"/>
    </row>
    <row r="15909">
      <c r="C15909" s="18"/>
      <c r="D15909" s="19"/>
      <c r="E15909" s="57"/>
      <c r="H15909" s="18"/>
    </row>
    <row r="15910">
      <c r="C15910" s="18"/>
      <c r="D15910" s="19"/>
      <c r="E15910" s="57"/>
      <c r="H15910" s="18"/>
    </row>
    <row r="15911">
      <c r="C15911" s="18"/>
      <c r="D15911" s="19"/>
      <c r="E15911" s="57"/>
      <c r="H15911" s="18"/>
    </row>
    <row r="15912">
      <c r="C15912" s="18"/>
      <c r="D15912" s="19"/>
      <c r="E15912" s="57"/>
      <c r="H15912" s="18"/>
    </row>
    <row r="15913">
      <c r="C15913" s="18"/>
      <c r="D15913" s="19"/>
      <c r="E15913" s="57"/>
      <c r="H15913" s="18"/>
    </row>
    <row r="15914">
      <c r="C15914" s="18"/>
      <c r="D15914" s="19"/>
      <c r="E15914" s="57"/>
      <c r="H15914" s="18"/>
    </row>
    <row r="15915">
      <c r="C15915" s="18"/>
      <c r="D15915" s="19"/>
      <c r="E15915" s="57"/>
      <c r="H15915" s="18"/>
    </row>
    <row r="15916">
      <c r="C15916" s="18"/>
      <c r="D15916" s="19"/>
      <c r="E15916" s="57"/>
      <c r="H15916" s="18"/>
    </row>
    <row r="15917">
      <c r="C15917" s="18"/>
      <c r="D15917" s="19"/>
      <c r="E15917" s="57"/>
      <c r="H15917" s="18"/>
    </row>
    <row r="15918">
      <c r="C15918" s="18"/>
      <c r="D15918" s="19"/>
      <c r="E15918" s="57"/>
      <c r="H15918" s="18"/>
    </row>
    <row r="15919">
      <c r="C15919" s="18"/>
      <c r="D15919" s="19"/>
      <c r="E15919" s="57"/>
      <c r="H15919" s="18"/>
    </row>
    <row r="15920">
      <c r="C15920" s="18"/>
      <c r="D15920" s="19"/>
      <c r="E15920" s="57"/>
      <c r="H15920" s="18"/>
    </row>
    <row r="15921">
      <c r="C15921" s="18"/>
      <c r="D15921" s="19"/>
      <c r="E15921" s="57"/>
      <c r="H15921" s="18"/>
    </row>
    <row r="15922">
      <c r="C15922" s="18"/>
      <c r="D15922" s="19"/>
      <c r="E15922" s="57"/>
      <c r="H15922" s="18"/>
    </row>
    <row r="15923">
      <c r="C15923" s="18"/>
      <c r="D15923" s="19"/>
      <c r="E15923" s="57"/>
      <c r="H15923" s="18"/>
    </row>
    <row r="15924">
      <c r="C15924" s="18"/>
      <c r="D15924" s="19"/>
      <c r="E15924" s="57"/>
      <c r="H15924" s="18"/>
    </row>
    <row r="15925">
      <c r="C15925" s="18"/>
      <c r="D15925" s="19"/>
      <c r="E15925" s="57"/>
      <c r="H15925" s="18"/>
    </row>
    <row r="15926">
      <c r="C15926" s="18"/>
      <c r="D15926" s="19"/>
      <c r="E15926" s="57"/>
      <c r="H15926" s="18"/>
    </row>
    <row r="15927">
      <c r="C15927" s="18"/>
      <c r="D15927" s="19"/>
      <c r="E15927" s="57"/>
      <c r="H15927" s="18"/>
    </row>
    <row r="15928">
      <c r="C15928" s="18"/>
      <c r="D15928" s="19"/>
      <c r="E15928" s="57"/>
      <c r="H15928" s="18"/>
    </row>
    <row r="15929">
      <c r="C15929" s="18"/>
      <c r="D15929" s="19"/>
      <c r="E15929" s="57"/>
      <c r="H15929" s="18"/>
    </row>
    <row r="15930">
      <c r="C15930" s="18"/>
      <c r="D15930" s="19"/>
      <c r="E15930" s="57"/>
      <c r="H15930" s="18"/>
    </row>
    <row r="15931">
      <c r="C15931" s="18"/>
      <c r="D15931" s="19"/>
      <c r="E15931" s="57"/>
      <c r="H15931" s="18"/>
    </row>
    <row r="15932">
      <c r="C15932" s="18"/>
      <c r="D15932" s="19"/>
      <c r="E15932" s="57"/>
      <c r="H15932" s="18"/>
    </row>
    <row r="15933">
      <c r="C15933" s="18"/>
      <c r="D15933" s="19"/>
      <c r="E15933" s="57"/>
      <c r="H15933" s="18"/>
    </row>
    <row r="15934">
      <c r="C15934" s="18"/>
      <c r="D15934" s="19"/>
      <c r="E15934" s="57"/>
      <c r="H15934" s="18"/>
    </row>
    <row r="15935">
      <c r="C15935" s="18"/>
      <c r="D15935" s="19"/>
      <c r="E15935" s="57"/>
      <c r="H15935" s="18"/>
    </row>
    <row r="15936">
      <c r="C15936" s="18"/>
      <c r="D15936" s="19"/>
      <c r="E15936" s="57"/>
      <c r="H15936" s="18"/>
    </row>
    <row r="15937">
      <c r="C15937" s="18"/>
      <c r="D15937" s="19"/>
      <c r="E15937" s="57"/>
      <c r="H15937" s="18"/>
    </row>
    <row r="15938">
      <c r="C15938" s="18"/>
      <c r="D15938" s="19"/>
      <c r="E15938" s="57"/>
      <c r="H15938" s="18"/>
    </row>
    <row r="15939">
      <c r="C15939" s="18"/>
      <c r="D15939" s="19"/>
      <c r="E15939" s="57"/>
      <c r="H15939" s="18"/>
    </row>
    <row r="15940">
      <c r="C15940" s="18"/>
      <c r="D15940" s="19"/>
      <c r="E15940" s="57"/>
      <c r="H15940" s="18"/>
    </row>
    <row r="15941">
      <c r="C15941" s="18"/>
      <c r="D15941" s="19"/>
      <c r="E15941" s="57"/>
      <c r="H15941" s="18"/>
    </row>
    <row r="15942">
      <c r="C15942" s="18"/>
      <c r="D15942" s="19"/>
      <c r="E15942" s="57"/>
      <c r="H15942" s="18"/>
    </row>
    <row r="15943">
      <c r="C15943" s="18"/>
      <c r="D15943" s="19"/>
      <c r="E15943" s="57"/>
      <c r="H15943" s="18"/>
    </row>
    <row r="15944">
      <c r="C15944" s="18"/>
      <c r="D15944" s="19"/>
      <c r="E15944" s="57"/>
      <c r="H15944" s="18"/>
    </row>
    <row r="15945">
      <c r="C15945" s="18"/>
      <c r="D15945" s="19"/>
      <c r="E15945" s="57"/>
      <c r="H15945" s="18"/>
    </row>
    <row r="15946">
      <c r="C15946" s="18"/>
      <c r="D15946" s="19"/>
      <c r="E15946" s="57"/>
      <c r="H15946" s="18"/>
    </row>
    <row r="15947">
      <c r="C15947" s="18"/>
      <c r="D15947" s="19"/>
      <c r="E15947" s="57"/>
      <c r="H15947" s="18"/>
    </row>
    <row r="15948">
      <c r="C15948" s="18"/>
      <c r="D15948" s="19"/>
      <c r="E15948" s="57"/>
      <c r="H15948" s="18"/>
    </row>
    <row r="15949">
      <c r="C15949" s="18"/>
      <c r="D15949" s="19"/>
      <c r="E15949" s="57"/>
      <c r="H15949" s="18"/>
    </row>
    <row r="15950">
      <c r="C15950" s="18"/>
      <c r="D15950" s="19"/>
      <c r="E15950" s="57"/>
      <c r="H15950" s="18"/>
    </row>
    <row r="15951">
      <c r="C15951" s="18"/>
      <c r="D15951" s="19"/>
      <c r="E15951" s="57"/>
      <c r="H15951" s="18"/>
    </row>
    <row r="15952">
      <c r="C15952" s="18"/>
      <c r="D15952" s="19"/>
      <c r="E15952" s="57"/>
      <c r="H15952" s="18"/>
    </row>
    <row r="15953">
      <c r="C15953" s="18"/>
      <c r="D15953" s="19"/>
      <c r="E15953" s="57"/>
      <c r="H15953" s="18"/>
    </row>
    <row r="15954">
      <c r="C15954" s="18"/>
      <c r="D15954" s="19"/>
      <c r="E15954" s="57"/>
      <c r="H15954" s="18"/>
    </row>
    <row r="15955">
      <c r="C15955" s="18"/>
      <c r="D15955" s="19"/>
      <c r="E15955" s="57"/>
      <c r="H15955" s="18"/>
    </row>
    <row r="15956">
      <c r="C15956" s="18"/>
      <c r="D15956" s="19"/>
      <c r="E15956" s="57"/>
      <c r="H15956" s="18"/>
    </row>
    <row r="15957">
      <c r="C15957" s="18"/>
      <c r="D15957" s="19"/>
      <c r="E15957" s="57"/>
      <c r="H15957" s="18"/>
    </row>
    <row r="15958">
      <c r="C15958" s="18"/>
      <c r="D15958" s="19"/>
      <c r="E15958" s="57"/>
      <c r="H15958" s="18"/>
    </row>
    <row r="15959">
      <c r="C15959" s="18"/>
      <c r="D15959" s="19"/>
      <c r="E15959" s="57"/>
      <c r="H15959" s="18"/>
    </row>
    <row r="15960">
      <c r="C15960" s="18"/>
      <c r="D15960" s="19"/>
      <c r="E15960" s="57"/>
      <c r="H15960" s="18"/>
    </row>
    <row r="15961">
      <c r="C15961" s="18"/>
      <c r="D15961" s="19"/>
      <c r="E15961" s="57"/>
      <c r="H15961" s="18"/>
    </row>
    <row r="15962">
      <c r="C15962" s="18"/>
      <c r="D15962" s="19"/>
      <c r="E15962" s="57"/>
      <c r="H15962" s="18"/>
    </row>
    <row r="15963">
      <c r="C15963" s="18"/>
      <c r="D15963" s="19"/>
      <c r="E15963" s="57"/>
      <c r="H15963" s="18"/>
    </row>
    <row r="15964">
      <c r="C15964" s="18"/>
      <c r="D15964" s="19"/>
      <c r="E15964" s="57"/>
      <c r="H15964" s="18"/>
    </row>
    <row r="15965">
      <c r="C15965" s="18"/>
      <c r="D15965" s="19"/>
      <c r="E15965" s="57"/>
      <c r="H15965" s="18"/>
    </row>
    <row r="15966">
      <c r="C15966" s="18"/>
      <c r="D15966" s="19"/>
      <c r="E15966" s="57"/>
      <c r="H15966" s="18"/>
    </row>
    <row r="15967">
      <c r="C15967" s="18"/>
      <c r="D15967" s="19"/>
      <c r="E15967" s="57"/>
      <c r="H15967" s="18"/>
    </row>
    <row r="15968">
      <c r="C15968" s="18"/>
      <c r="D15968" s="19"/>
      <c r="E15968" s="57"/>
      <c r="H15968" s="18"/>
    </row>
    <row r="15969">
      <c r="C15969" s="18"/>
      <c r="D15969" s="19"/>
      <c r="E15969" s="57"/>
      <c r="H15969" s="18"/>
    </row>
    <row r="15970">
      <c r="C15970" s="18"/>
      <c r="D15970" s="19"/>
      <c r="E15970" s="57"/>
      <c r="H15970" s="18"/>
    </row>
    <row r="15971">
      <c r="C15971" s="18"/>
      <c r="D15971" s="19"/>
      <c r="E15971" s="57"/>
      <c r="H15971" s="18"/>
    </row>
    <row r="15972">
      <c r="C15972" s="18"/>
      <c r="D15972" s="19"/>
      <c r="E15972" s="57"/>
      <c r="H15972" s="18"/>
    </row>
    <row r="15973">
      <c r="C15973" s="18"/>
      <c r="D15973" s="19"/>
      <c r="E15973" s="57"/>
      <c r="H15973" s="18"/>
    </row>
    <row r="15974">
      <c r="C15974" s="18"/>
      <c r="D15974" s="19"/>
      <c r="E15974" s="57"/>
      <c r="H15974" s="18"/>
    </row>
    <row r="15975">
      <c r="C15975" s="18"/>
      <c r="D15975" s="19"/>
      <c r="E15975" s="57"/>
      <c r="H15975" s="18"/>
    </row>
    <row r="15976">
      <c r="C15976" s="18"/>
      <c r="D15976" s="19"/>
      <c r="E15976" s="57"/>
      <c r="H15976" s="18"/>
    </row>
    <row r="15977">
      <c r="C15977" s="18"/>
      <c r="D15977" s="19"/>
      <c r="E15977" s="57"/>
      <c r="H15977" s="18"/>
    </row>
    <row r="15978">
      <c r="C15978" s="18"/>
      <c r="D15978" s="19"/>
      <c r="E15978" s="57"/>
      <c r="H15978" s="18"/>
    </row>
    <row r="15979">
      <c r="C15979" s="18"/>
      <c r="D15979" s="19"/>
      <c r="E15979" s="57"/>
      <c r="H15979" s="18"/>
    </row>
    <row r="15980">
      <c r="C15980" s="18"/>
      <c r="D15980" s="19"/>
      <c r="E15980" s="57"/>
      <c r="H15980" s="18"/>
    </row>
    <row r="15981">
      <c r="C15981" s="18"/>
      <c r="D15981" s="19"/>
      <c r="E15981" s="57"/>
      <c r="H15981" s="18"/>
    </row>
    <row r="15982">
      <c r="C15982" s="18"/>
      <c r="D15982" s="19"/>
      <c r="E15982" s="57"/>
      <c r="H15982" s="18"/>
    </row>
    <row r="15983">
      <c r="C15983" s="18"/>
      <c r="D15983" s="19"/>
      <c r="E15983" s="57"/>
      <c r="H15983" s="18"/>
    </row>
    <row r="15984">
      <c r="C15984" s="18"/>
      <c r="D15984" s="19"/>
      <c r="E15984" s="57"/>
      <c r="H15984" s="18"/>
    </row>
    <row r="15985">
      <c r="C15985" s="18"/>
      <c r="D15985" s="19"/>
      <c r="E15985" s="57"/>
      <c r="H15985" s="18"/>
    </row>
    <row r="15986">
      <c r="C15986" s="18"/>
      <c r="D15986" s="19"/>
      <c r="E15986" s="57"/>
      <c r="H15986" s="18"/>
    </row>
    <row r="15987">
      <c r="C15987" s="18"/>
      <c r="D15987" s="19"/>
      <c r="E15987" s="57"/>
      <c r="H15987" s="18"/>
    </row>
    <row r="15988">
      <c r="C15988" s="18"/>
      <c r="D15988" s="19"/>
      <c r="E15988" s="57"/>
      <c r="H15988" s="18"/>
    </row>
    <row r="15989">
      <c r="C15989" s="18"/>
      <c r="D15989" s="19"/>
      <c r="E15989" s="57"/>
      <c r="H15989" s="18"/>
    </row>
    <row r="15990">
      <c r="C15990" s="18"/>
      <c r="D15990" s="19"/>
      <c r="E15990" s="57"/>
      <c r="H15990" s="18"/>
    </row>
    <row r="15991">
      <c r="C15991" s="18"/>
      <c r="D15991" s="19"/>
      <c r="E15991" s="57"/>
      <c r="H15991" s="18"/>
    </row>
    <row r="15992">
      <c r="C15992" s="18"/>
      <c r="D15992" s="19"/>
      <c r="E15992" s="57"/>
      <c r="H15992" s="18"/>
    </row>
    <row r="15993">
      <c r="C15993" s="18"/>
      <c r="D15993" s="19"/>
      <c r="E15993" s="57"/>
      <c r="H15993" s="18"/>
    </row>
    <row r="15994">
      <c r="C15994" s="18"/>
      <c r="D15994" s="19"/>
      <c r="E15994" s="57"/>
      <c r="H15994" s="18"/>
    </row>
    <row r="15995">
      <c r="C15995" s="18"/>
      <c r="D15995" s="19"/>
      <c r="E15995" s="57"/>
      <c r="H15995" s="18"/>
    </row>
    <row r="15996">
      <c r="C15996" s="18"/>
      <c r="D15996" s="19"/>
      <c r="E15996" s="57"/>
      <c r="H15996" s="18"/>
    </row>
    <row r="15997">
      <c r="C15997" s="18"/>
      <c r="D15997" s="19"/>
      <c r="E15997" s="57"/>
      <c r="H15997" s="18"/>
    </row>
    <row r="15998">
      <c r="C15998" s="18"/>
      <c r="D15998" s="19"/>
      <c r="E15998" s="57"/>
      <c r="H15998" s="18"/>
    </row>
    <row r="15999">
      <c r="C15999" s="18"/>
      <c r="D15999" s="19"/>
      <c r="E15999" s="57"/>
      <c r="H15999" s="18"/>
    </row>
    <row r="16000">
      <c r="C16000" s="18"/>
      <c r="D16000" s="19"/>
      <c r="E16000" s="57"/>
      <c r="H16000" s="18"/>
    </row>
    <row r="16001">
      <c r="C16001" s="18"/>
      <c r="D16001" s="19"/>
      <c r="E16001" s="57"/>
      <c r="H16001" s="18"/>
    </row>
    <row r="16002">
      <c r="C16002" s="18"/>
      <c r="D16002" s="19"/>
      <c r="E16002" s="57"/>
      <c r="H16002" s="18"/>
    </row>
    <row r="16003">
      <c r="C16003" s="18"/>
      <c r="D16003" s="19"/>
      <c r="E16003" s="57"/>
      <c r="H16003" s="18"/>
    </row>
    <row r="16004">
      <c r="C16004" s="18"/>
      <c r="D16004" s="19"/>
      <c r="E16004" s="57"/>
      <c r="H16004" s="18"/>
    </row>
    <row r="16005">
      <c r="C16005" s="18"/>
      <c r="D16005" s="19"/>
      <c r="E16005" s="57"/>
      <c r="H16005" s="18"/>
    </row>
    <row r="16006">
      <c r="C16006" s="18"/>
      <c r="D16006" s="19"/>
      <c r="E16006" s="57"/>
      <c r="H16006" s="18"/>
    </row>
    <row r="16007">
      <c r="C16007" s="18"/>
      <c r="D16007" s="19"/>
      <c r="E16007" s="57"/>
      <c r="H16007" s="18"/>
    </row>
    <row r="16008">
      <c r="C16008" s="18"/>
      <c r="D16008" s="19"/>
      <c r="E16008" s="57"/>
      <c r="H16008" s="18"/>
    </row>
    <row r="16009">
      <c r="C16009" s="18"/>
      <c r="D16009" s="19"/>
      <c r="E16009" s="57"/>
      <c r="H16009" s="18"/>
    </row>
    <row r="16010">
      <c r="C16010" s="18"/>
      <c r="D16010" s="19"/>
      <c r="E16010" s="57"/>
      <c r="H16010" s="18"/>
    </row>
    <row r="16011">
      <c r="C16011" s="18"/>
      <c r="D16011" s="19"/>
      <c r="E16011" s="57"/>
      <c r="H16011" s="18"/>
    </row>
    <row r="16012">
      <c r="C16012" s="18"/>
      <c r="D16012" s="19"/>
      <c r="E16012" s="57"/>
      <c r="H16012" s="18"/>
    </row>
    <row r="16013">
      <c r="C16013" s="18"/>
      <c r="D16013" s="19"/>
      <c r="E16013" s="57"/>
      <c r="H16013" s="18"/>
    </row>
    <row r="16014">
      <c r="C16014" s="18"/>
      <c r="D16014" s="19"/>
      <c r="E16014" s="57"/>
      <c r="H16014" s="18"/>
    </row>
    <row r="16015">
      <c r="C16015" s="18"/>
      <c r="D16015" s="19"/>
      <c r="E16015" s="57"/>
      <c r="H16015" s="18"/>
    </row>
    <row r="16016">
      <c r="C16016" s="18"/>
      <c r="D16016" s="19"/>
      <c r="E16016" s="57"/>
      <c r="H16016" s="18"/>
    </row>
    <row r="16017">
      <c r="C16017" s="18"/>
      <c r="D16017" s="19"/>
      <c r="E16017" s="57"/>
      <c r="H16017" s="18"/>
    </row>
    <row r="16018">
      <c r="C16018" s="18"/>
      <c r="D16018" s="19"/>
      <c r="E16018" s="57"/>
      <c r="H16018" s="18"/>
    </row>
    <row r="16019">
      <c r="C16019" s="18"/>
      <c r="D16019" s="19"/>
      <c r="E16019" s="57"/>
      <c r="H16019" s="18"/>
    </row>
    <row r="16020">
      <c r="C16020" s="18"/>
      <c r="D16020" s="19"/>
      <c r="E16020" s="57"/>
      <c r="H16020" s="18"/>
    </row>
    <row r="16021">
      <c r="C16021" s="18"/>
      <c r="D16021" s="19"/>
      <c r="E16021" s="57"/>
      <c r="H16021" s="18"/>
    </row>
    <row r="16022">
      <c r="C16022" s="18"/>
      <c r="D16022" s="19"/>
      <c r="E16022" s="57"/>
      <c r="H16022" s="18"/>
    </row>
    <row r="16023">
      <c r="C16023" s="18"/>
      <c r="D16023" s="19"/>
      <c r="E16023" s="57"/>
      <c r="H16023" s="18"/>
    </row>
    <row r="16024">
      <c r="C16024" s="18"/>
      <c r="D16024" s="19"/>
      <c r="E16024" s="57"/>
      <c r="H16024" s="18"/>
    </row>
    <row r="16025">
      <c r="C16025" s="18"/>
      <c r="D16025" s="19"/>
      <c r="E16025" s="57"/>
      <c r="H16025" s="18"/>
    </row>
    <row r="16026">
      <c r="C16026" s="18"/>
      <c r="D16026" s="19"/>
      <c r="E16026" s="57"/>
      <c r="H16026" s="18"/>
    </row>
    <row r="16027">
      <c r="C16027" s="18"/>
      <c r="D16027" s="19"/>
      <c r="E16027" s="57"/>
      <c r="H16027" s="18"/>
    </row>
    <row r="16028">
      <c r="C16028" s="18"/>
      <c r="D16028" s="19"/>
      <c r="E16028" s="57"/>
      <c r="H16028" s="18"/>
    </row>
    <row r="16029">
      <c r="C16029" s="18"/>
      <c r="D16029" s="19"/>
      <c r="E16029" s="57"/>
      <c r="H16029" s="18"/>
    </row>
    <row r="16030">
      <c r="C16030" s="18"/>
      <c r="D16030" s="19"/>
      <c r="E16030" s="57"/>
      <c r="H16030" s="18"/>
    </row>
    <row r="16031">
      <c r="C16031" s="18"/>
      <c r="D16031" s="19"/>
      <c r="E16031" s="57"/>
      <c r="H16031" s="18"/>
    </row>
    <row r="16032">
      <c r="C16032" s="18"/>
      <c r="D16032" s="19"/>
      <c r="E16032" s="57"/>
      <c r="H16032" s="18"/>
    </row>
    <row r="16033">
      <c r="C16033" s="18"/>
      <c r="D16033" s="19"/>
      <c r="E16033" s="57"/>
      <c r="H16033" s="18"/>
    </row>
    <row r="16034">
      <c r="C16034" s="18"/>
      <c r="D16034" s="19"/>
      <c r="E16034" s="57"/>
      <c r="H16034" s="18"/>
    </row>
    <row r="16035">
      <c r="C16035" s="18"/>
      <c r="D16035" s="19"/>
      <c r="E16035" s="57"/>
      <c r="H16035" s="18"/>
    </row>
    <row r="16036">
      <c r="C16036" s="18"/>
      <c r="D16036" s="19"/>
      <c r="E16036" s="57"/>
      <c r="H16036" s="18"/>
    </row>
    <row r="16037">
      <c r="C16037" s="18"/>
      <c r="D16037" s="19"/>
      <c r="E16037" s="57"/>
      <c r="H16037" s="18"/>
    </row>
    <row r="16038">
      <c r="C16038" s="18"/>
      <c r="D16038" s="19"/>
      <c r="E16038" s="57"/>
      <c r="H16038" s="18"/>
    </row>
    <row r="16039">
      <c r="C16039" s="18"/>
      <c r="D16039" s="19"/>
      <c r="E16039" s="57"/>
      <c r="H16039" s="18"/>
    </row>
    <row r="16040">
      <c r="C16040" s="18"/>
      <c r="D16040" s="19"/>
      <c r="E16040" s="57"/>
      <c r="H16040" s="18"/>
    </row>
    <row r="16041">
      <c r="C16041" s="18"/>
      <c r="D16041" s="19"/>
      <c r="E16041" s="57"/>
      <c r="H16041" s="18"/>
    </row>
    <row r="16042">
      <c r="C16042" s="18"/>
      <c r="D16042" s="19"/>
      <c r="E16042" s="57"/>
      <c r="H16042" s="18"/>
    </row>
    <row r="16043">
      <c r="C16043" s="18"/>
      <c r="D16043" s="19"/>
      <c r="E16043" s="57"/>
      <c r="H16043" s="18"/>
    </row>
    <row r="16044">
      <c r="C16044" s="18"/>
      <c r="D16044" s="19"/>
      <c r="E16044" s="57"/>
      <c r="H16044" s="18"/>
    </row>
    <row r="16045">
      <c r="C16045" s="18"/>
      <c r="D16045" s="19"/>
      <c r="E16045" s="57"/>
      <c r="H16045" s="18"/>
    </row>
    <row r="16046">
      <c r="C16046" s="18"/>
      <c r="D16046" s="19"/>
      <c r="E16046" s="57"/>
      <c r="H16046" s="18"/>
    </row>
    <row r="16047">
      <c r="C16047" s="18"/>
      <c r="D16047" s="19"/>
      <c r="E16047" s="57"/>
      <c r="H16047" s="18"/>
    </row>
    <row r="16048">
      <c r="C16048" s="18"/>
      <c r="D16048" s="19"/>
      <c r="E16048" s="57"/>
      <c r="H16048" s="18"/>
    </row>
    <row r="16049">
      <c r="C16049" s="18"/>
      <c r="D16049" s="19"/>
      <c r="E16049" s="57"/>
      <c r="H16049" s="18"/>
    </row>
    <row r="16050">
      <c r="C16050" s="18"/>
      <c r="D16050" s="19"/>
      <c r="E16050" s="57"/>
      <c r="H16050" s="18"/>
    </row>
    <row r="16051">
      <c r="C16051" s="18"/>
      <c r="D16051" s="19"/>
      <c r="E16051" s="57"/>
      <c r="H16051" s="18"/>
    </row>
    <row r="16052">
      <c r="C16052" s="18"/>
      <c r="D16052" s="19"/>
      <c r="E16052" s="57"/>
      <c r="H16052" s="18"/>
    </row>
    <row r="16053">
      <c r="C16053" s="18"/>
      <c r="D16053" s="19"/>
      <c r="E16053" s="57"/>
      <c r="H16053" s="18"/>
    </row>
    <row r="16054">
      <c r="C16054" s="18"/>
      <c r="D16054" s="19"/>
      <c r="E16054" s="57"/>
      <c r="H16054" s="18"/>
    </row>
    <row r="16055">
      <c r="C16055" s="18"/>
      <c r="D16055" s="19"/>
      <c r="E16055" s="57"/>
      <c r="H16055" s="18"/>
    </row>
    <row r="16056">
      <c r="C16056" s="18"/>
      <c r="D16056" s="19"/>
      <c r="E16056" s="57"/>
      <c r="H16056" s="18"/>
    </row>
    <row r="16057">
      <c r="C16057" s="18"/>
      <c r="D16057" s="19"/>
      <c r="E16057" s="57"/>
      <c r="H16057" s="18"/>
    </row>
    <row r="16058">
      <c r="C16058" s="18"/>
      <c r="D16058" s="19"/>
      <c r="E16058" s="57"/>
      <c r="H16058" s="18"/>
    </row>
    <row r="16059">
      <c r="C16059" s="18"/>
      <c r="D16059" s="19"/>
      <c r="E16059" s="57"/>
      <c r="H16059" s="18"/>
    </row>
    <row r="16060">
      <c r="C16060" s="18"/>
      <c r="D16060" s="19"/>
      <c r="E16060" s="57"/>
      <c r="H16060" s="18"/>
    </row>
    <row r="16061">
      <c r="C16061" s="18"/>
      <c r="D16061" s="19"/>
      <c r="E16061" s="57"/>
      <c r="H16061" s="18"/>
    </row>
    <row r="16062">
      <c r="C16062" s="18"/>
      <c r="D16062" s="19"/>
      <c r="E16062" s="57"/>
      <c r="H16062" s="18"/>
    </row>
    <row r="16063">
      <c r="C16063" s="18"/>
      <c r="D16063" s="19"/>
      <c r="E16063" s="57"/>
      <c r="H16063" s="18"/>
    </row>
    <row r="16064">
      <c r="C16064" s="18"/>
      <c r="D16064" s="19"/>
      <c r="E16064" s="57"/>
      <c r="H16064" s="18"/>
    </row>
    <row r="16065">
      <c r="C16065" s="18"/>
      <c r="D16065" s="19"/>
      <c r="E16065" s="57"/>
      <c r="H16065" s="18"/>
    </row>
    <row r="16066">
      <c r="C16066" s="18"/>
      <c r="D16066" s="19"/>
      <c r="E16066" s="57"/>
      <c r="H16066" s="18"/>
    </row>
    <row r="16067">
      <c r="C16067" s="18"/>
      <c r="D16067" s="19"/>
      <c r="E16067" s="57"/>
      <c r="H16067" s="18"/>
    </row>
    <row r="16068">
      <c r="C16068" s="18"/>
      <c r="D16068" s="19"/>
      <c r="E16068" s="57"/>
      <c r="H16068" s="18"/>
    </row>
    <row r="16069">
      <c r="C16069" s="18"/>
      <c r="D16069" s="19"/>
      <c r="E16069" s="57"/>
      <c r="H16069" s="18"/>
    </row>
    <row r="16070">
      <c r="C16070" s="18"/>
      <c r="D16070" s="19"/>
      <c r="E16070" s="57"/>
      <c r="H16070" s="18"/>
    </row>
    <row r="16071">
      <c r="C16071" s="18"/>
      <c r="D16071" s="19"/>
      <c r="E16071" s="57"/>
      <c r="H16071" s="18"/>
    </row>
    <row r="16072">
      <c r="C16072" s="18"/>
      <c r="D16072" s="19"/>
      <c r="E16072" s="57"/>
      <c r="H16072" s="18"/>
    </row>
    <row r="16073">
      <c r="C16073" s="18"/>
      <c r="D16073" s="19"/>
      <c r="E16073" s="57"/>
      <c r="H16073" s="18"/>
    </row>
    <row r="16074">
      <c r="C16074" s="18"/>
      <c r="D16074" s="19"/>
      <c r="E16074" s="57"/>
      <c r="H16074" s="18"/>
    </row>
    <row r="16075">
      <c r="C16075" s="18"/>
      <c r="D16075" s="19"/>
      <c r="E16075" s="57"/>
      <c r="H16075" s="18"/>
    </row>
    <row r="16076">
      <c r="C16076" s="18"/>
      <c r="D16076" s="19"/>
      <c r="E16076" s="57"/>
      <c r="H16076" s="18"/>
    </row>
    <row r="16077">
      <c r="C16077" s="18"/>
      <c r="D16077" s="19"/>
      <c r="E16077" s="57"/>
      <c r="H16077" s="18"/>
    </row>
    <row r="16078">
      <c r="C16078" s="18"/>
      <c r="D16078" s="19"/>
      <c r="E16078" s="57"/>
      <c r="H16078" s="18"/>
    </row>
    <row r="16079">
      <c r="C16079" s="18"/>
      <c r="D16079" s="19"/>
      <c r="E16079" s="57"/>
      <c r="H16079" s="18"/>
    </row>
    <row r="16080">
      <c r="C16080" s="18"/>
      <c r="D16080" s="19"/>
      <c r="E16080" s="57"/>
      <c r="H16080" s="18"/>
    </row>
    <row r="16081">
      <c r="C16081" s="18"/>
      <c r="D16081" s="19"/>
      <c r="E16081" s="57"/>
      <c r="H16081" s="18"/>
    </row>
    <row r="16082">
      <c r="C16082" s="18"/>
      <c r="D16082" s="19"/>
      <c r="E16082" s="57"/>
      <c r="H16082" s="18"/>
    </row>
    <row r="16083">
      <c r="C16083" s="18"/>
      <c r="D16083" s="19"/>
      <c r="E16083" s="57"/>
      <c r="H16083" s="18"/>
    </row>
    <row r="16084">
      <c r="C16084" s="18"/>
      <c r="D16084" s="19"/>
      <c r="E16084" s="57"/>
      <c r="H16084" s="18"/>
    </row>
    <row r="16085">
      <c r="C16085" s="18"/>
      <c r="D16085" s="19"/>
      <c r="E16085" s="57"/>
      <c r="H16085" s="18"/>
    </row>
    <row r="16086">
      <c r="C16086" s="18"/>
      <c r="D16086" s="19"/>
      <c r="E16086" s="57"/>
      <c r="H16086" s="18"/>
    </row>
    <row r="16087">
      <c r="C16087" s="18"/>
      <c r="D16087" s="19"/>
      <c r="E16087" s="57"/>
      <c r="H16087" s="18"/>
    </row>
    <row r="16088">
      <c r="C16088" s="18"/>
      <c r="D16088" s="19"/>
      <c r="E16088" s="57"/>
      <c r="H16088" s="18"/>
    </row>
    <row r="16089">
      <c r="C16089" s="18"/>
      <c r="D16089" s="19"/>
      <c r="E16089" s="57"/>
      <c r="H16089" s="18"/>
    </row>
    <row r="16090">
      <c r="C16090" s="18"/>
      <c r="D16090" s="19"/>
      <c r="E16090" s="57"/>
      <c r="H16090" s="18"/>
    </row>
    <row r="16091">
      <c r="C16091" s="18"/>
      <c r="D16091" s="19"/>
      <c r="E16091" s="57"/>
      <c r="H16091" s="18"/>
    </row>
    <row r="16092">
      <c r="C16092" s="18"/>
      <c r="D16092" s="19"/>
      <c r="E16092" s="57"/>
      <c r="H16092" s="18"/>
    </row>
    <row r="16093">
      <c r="C16093" s="18"/>
      <c r="D16093" s="19"/>
      <c r="E16093" s="57"/>
      <c r="H16093" s="18"/>
    </row>
    <row r="16094">
      <c r="C16094" s="18"/>
      <c r="D16094" s="19"/>
      <c r="E16094" s="57"/>
      <c r="H16094" s="18"/>
    </row>
    <row r="16095">
      <c r="C16095" s="18"/>
      <c r="D16095" s="19"/>
      <c r="E16095" s="57"/>
      <c r="H16095" s="18"/>
    </row>
    <row r="16096">
      <c r="C16096" s="18"/>
      <c r="D16096" s="19"/>
      <c r="E16096" s="57"/>
      <c r="H16096" s="18"/>
    </row>
    <row r="16097">
      <c r="C16097" s="18"/>
      <c r="D16097" s="19"/>
      <c r="E16097" s="57"/>
      <c r="H16097" s="18"/>
    </row>
    <row r="16098">
      <c r="C16098" s="18"/>
      <c r="D16098" s="19"/>
      <c r="E16098" s="57"/>
      <c r="H16098" s="18"/>
    </row>
    <row r="16099">
      <c r="C16099" s="18"/>
      <c r="D16099" s="19"/>
      <c r="E16099" s="57"/>
      <c r="H16099" s="18"/>
    </row>
    <row r="16100">
      <c r="C16100" s="18"/>
      <c r="D16100" s="19"/>
      <c r="E16100" s="57"/>
      <c r="H16100" s="18"/>
    </row>
    <row r="16101">
      <c r="C16101" s="18"/>
      <c r="D16101" s="19"/>
      <c r="E16101" s="57"/>
      <c r="H16101" s="18"/>
    </row>
    <row r="16102">
      <c r="C16102" s="18"/>
      <c r="D16102" s="19"/>
      <c r="E16102" s="57"/>
      <c r="H16102" s="18"/>
    </row>
    <row r="16103">
      <c r="C16103" s="18"/>
      <c r="D16103" s="19"/>
      <c r="E16103" s="57"/>
      <c r="H16103" s="18"/>
    </row>
    <row r="16104">
      <c r="C16104" s="18"/>
      <c r="D16104" s="19"/>
      <c r="E16104" s="57"/>
      <c r="H16104" s="18"/>
    </row>
    <row r="16105">
      <c r="C16105" s="18"/>
      <c r="D16105" s="19"/>
      <c r="E16105" s="57"/>
      <c r="H16105" s="18"/>
    </row>
    <row r="16106">
      <c r="C16106" s="18"/>
      <c r="D16106" s="19"/>
      <c r="E16106" s="57"/>
      <c r="H16106" s="18"/>
    </row>
    <row r="16107">
      <c r="C16107" s="18"/>
      <c r="D16107" s="19"/>
      <c r="E16107" s="57"/>
      <c r="H16107" s="18"/>
    </row>
    <row r="16108">
      <c r="C16108" s="18"/>
      <c r="D16108" s="19"/>
      <c r="E16108" s="57"/>
      <c r="H16108" s="18"/>
    </row>
    <row r="16109">
      <c r="C16109" s="18"/>
      <c r="D16109" s="19"/>
      <c r="E16109" s="57"/>
      <c r="H16109" s="18"/>
    </row>
    <row r="16110">
      <c r="C16110" s="18"/>
      <c r="D16110" s="19"/>
      <c r="E16110" s="57"/>
      <c r="H16110" s="18"/>
    </row>
    <row r="16111">
      <c r="C16111" s="18"/>
      <c r="D16111" s="19"/>
      <c r="E16111" s="57"/>
      <c r="H16111" s="18"/>
    </row>
    <row r="16112">
      <c r="C16112" s="18"/>
      <c r="D16112" s="19"/>
      <c r="E16112" s="57"/>
      <c r="H16112" s="18"/>
    </row>
    <row r="16113">
      <c r="C16113" s="18"/>
      <c r="D16113" s="19"/>
      <c r="E16113" s="57"/>
      <c r="H16113" s="18"/>
    </row>
    <row r="16114">
      <c r="C16114" s="18"/>
      <c r="D16114" s="19"/>
      <c r="E16114" s="57"/>
      <c r="H16114" s="18"/>
    </row>
    <row r="16115">
      <c r="C16115" s="18"/>
      <c r="D16115" s="19"/>
      <c r="E16115" s="57"/>
      <c r="H16115" s="18"/>
    </row>
    <row r="16116">
      <c r="C16116" s="18"/>
      <c r="D16116" s="19"/>
      <c r="E16116" s="57"/>
      <c r="H16116" s="18"/>
    </row>
    <row r="16117">
      <c r="C16117" s="18"/>
      <c r="D16117" s="19"/>
      <c r="E16117" s="57"/>
      <c r="H16117" s="18"/>
    </row>
    <row r="16118">
      <c r="C16118" s="18"/>
      <c r="D16118" s="19"/>
      <c r="E16118" s="57"/>
      <c r="H16118" s="18"/>
    </row>
    <row r="16119">
      <c r="C16119" s="18"/>
      <c r="D16119" s="19"/>
      <c r="E16119" s="57"/>
      <c r="H16119" s="18"/>
    </row>
    <row r="16120">
      <c r="C16120" s="18"/>
      <c r="D16120" s="19"/>
      <c r="E16120" s="57"/>
      <c r="H16120" s="18"/>
    </row>
    <row r="16121">
      <c r="C16121" s="18"/>
      <c r="D16121" s="19"/>
      <c r="E16121" s="57"/>
      <c r="H16121" s="18"/>
    </row>
    <row r="16122">
      <c r="C16122" s="18"/>
      <c r="D16122" s="19"/>
      <c r="E16122" s="57"/>
      <c r="H16122" s="18"/>
    </row>
    <row r="16123">
      <c r="C16123" s="18"/>
      <c r="D16123" s="19"/>
      <c r="E16123" s="57"/>
      <c r="H16123" s="18"/>
    </row>
    <row r="16124">
      <c r="C16124" s="18"/>
      <c r="D16124" s="19"/>
      <c r="E16124" s="57"/>
      <c r="H16124" s="18"/>
    </row>
    <row r="16125">
      <c r="C16125" s="18"/>
      <c r="D16125" s="19"/>
      <c r="E16125" s="57"/>
      <c r="H16125" s="18"/>
    </row>
    <row r="16126">
      <c r="C16126" s="18"/>
      <c r="D16126" s="19"/>
      <c r="E16126" s="57"/>
      <c r="H16126" s="18"/>
    </row>
    <row r="16127">
      <c r="C16127" s="18"/>
      <c r="D16127" s="19"/>
      <c r="E16127" s="57"/>
      <c r="H16127" s="18"/>
    </row>
    <row r="16128">
      <c r="C16128" s="18"/>
      <c r="D16128" s="19"/>
      <c r="E16128" s="57"/>
      <c r="H16128" s="18"/>
    </row>
    <row r="16129">
      <c r="C16129" s="18"/>
      <c r="D16129" s="19"/>
      <c r="E16129" s="57"/>
      <c r="H16129" s="18"/>
    </row>
    <row r="16130">
      <c r="C16130" s="18"/>
      <c r="D16130" s="19"/>
      <c r="E16130" s="57"/>
      <c r="H16130" s="18"/>
    </row>
    <row r="16131">
      <c r="C16131" s="18"/>
      <c r="D16131" s="19"/>
      <c r="E16131" s="57"/>
      <c r="H16131" s="18"/>
    </row>
    <row r="16132">
      <c r="C16132" s="18"/>
      <c r="D16132" s="19"/>
      <c r="E16132" s="57"/>
      <c r="H16132" s="18"/>
    </row>
    <row r="16133">
      <c r="C16133" s="18"/>
      <c r="D16133" s="19"/>
      <c r="E16133" s="57"/>
      <c r="H16133" s="18"/>
    </row>
    <row r="16134">
      <c r="C16134" s="18"/>
      <c r="D16134" s="19"/>
      <c r="E16134" s="57"/>
      <c r="H16134" s="18"/>
    </row>
    <row r="16135">
      <c r="C16135" s="18"/>
      <c r="D16135" s="19"/>
      <c r="E16135" s="57"/>
      <c r="H16135" s="18"/>
    </row>
    <row r="16136">
      <c r="C16136" s="18"/>
      <c r="D16136" s="19"/>
      <c r="E16136" s="57"/>
      <c r="H16136" s="18"/>
    </row>
    <row r="16137">
      <c r="C16137" s="18"/>
      <c r="D16137" s="19"/>
      <c r="E16137" s="57"/>
      <c r="H16137" s="18"/>
    </row>
    <row r="16138">
      <c r="C16138" s="18"/>
      <c r="D16138" s="19"/>
      <c r="E16138" s="57"/>
      <c r="H16138" s="18"/>
    </row>
    <row r="16139">
      <c r="C16139" s="18"/>
      <c r="D16139" s="19"/>
      <c r="E16139" s="57"/>
      <c r="H16139" s="18"/>
    </row>
    <row r="16140">
      <c r="C16140" s="18"/>
      <c r="D16140" s="19"/>
      <c r="E16140" s="57"/>
      <c r="H16140" s="18"/>
    </row>
    <row r="16141">
      <c r="C16141" s="18"/>
      <c r="D16141" s="19"/>
      <c r="E16141" s="57"/>
      <c r="H16141" s="18"/>
    </row>
    <row r="16142">
      <c r="C16142" s="18"/>
      <c r="D16142" s="19"/>
      <c r="E16142" s="57"/>
      <c r="H16142" s="18"/>
    </row>
    <row r="16143">
      <c r="C16143" s="18"/>
      <c r="D16143" s="19"/>
      <c r="E16143" s="57"/>
      <c r="H16143" s="18"/>
    </row>
    <row r="16144">
      <c r="C16144" s="18"/>
      <c r="D16144" s="19"/>
      <c r="E16144" s="57"/>
      <c r="H16144" s="18"/>
    </row>
    <row r="16145">
      <c r="C16145" s="18"/>
      <c r="D16145" s="19"/>
      <c r="E16145" s="57"/>
      <c r="H16145" s="18"/>
    </row>
    <row r="16146">
      <c r="C16146" s="18"/>
      <c r="D16146" s="19"/>
      <c r="E16146" s="57"/>
      <c r="H16146" s="18"/>
    </row>
    <row r="16147">
      <c r="C16147" s="18"/>
      <c r="D16147" s="19"/>
      <c r="E16147" s="57"/>
      <c r="H16147" s="18"/>
    </row>
    <row r="16148">
      <c r="C16148" s="18"/>
      <c r="D16148" s="19"/>
      <c r="E16148" s="57"/>
      <c r="H16148" s="18"/>
    </row>
    <row r="16149">
      <c r="C16149" s="18"/>
      <c r="D16149" s="19"/>
      <c r="E16149" s="57"/>
      <c r="H16149" s="18"/>
    </row>
    <row r="16150">
      <c r="C16150" s="18"/>
      <c r="D16150" s="19"/>
      <c r="E16150" s="57"/>
      <c r="H16150" s="18"/>
    </row>
    <row r="16151">
      <c r="C16151" s="18"/>
      <c r="D16151" s="19"/>
      <c r="E16151" s="57"/>
      <c r="H16151" s="18"/>
    </row>
    <row r="16152">
      <c r="C16152" s="18"/>
      <c r="D16152" s="19"/>
      <c r="E16152" s="57"/>
      <c r="H16152" s="18"/>
    </row>
    <row r="16153">
      <c r="C16153" s="18"/>
      <c r="D16153" s="19"/>
      <c r="E16153" s="57"/>
      <c r="H16153" s="18"/>
    </row>
    <row r="16154">
      <c r="C16154" s="18"/>
      <c r="D16154" s="19"/>
      <c r="E16154" s="57"/>
      <c r="H16154" s="18"/>
    </row>
    <row r="16155">
      <c r="C16155" s="18"/>
      <c r="D16155" s="19"/>
      <c r="E16155" s="57"/>
      <c r="H16155" s="18"/>
    </row>
    <row r="16156">
      <c r="C16156" s="18"/>
      <c r="D16156" s="19"/>
      <c r="E16156" s="57"/>
      <c r="H16156" s="18"/>
    </row>
    <row r="16157">
      <c r="C16157" s="18"/>
      <c r="D16157" s="19"/>
      <c r="E16157" s="57"/>
      <c r="H16157" s="18"/>
    </row>
    <row r="16158">
      <c r="C16158" s="18"/>
      <c r="D16158" s="19"/>
      <c r="E16158" s="57"/>
      <c r="H16158" s="18"/>
    </row>
    <row r="16159">
      <c r="C16159" s="18"/>
      <c r="D16159" s="19"/>
      <c r="E16159" s="57"/>
      <c r="H16159" s="18"/>
    </row>
    <row r="16160">
      <c r="C16160" s="18"/>
      <c r="D16160" s="19"/>
      <c r="E16160" s="57"/>
      <c r="H16160" s="18"/>
    </row>
    <row r="16161">
      <c r="C16161" s="18"/>
      <c r="D16161" s="19"/>
      <c r="E16161" s="57"/>
      <c r="H16161" s="18"/>
    </row>
    <row r="16162">
      <c r="C16162" s="18"/>
      <c r="D16162" s="19"/>
      <c r="E16162" s="57"/>
      <c r="H16162" s="18"/>
    </row>
    <row r="16163">
      <c r="C16163" s="18"/>
      <c r="D16163" s="19"/>
      <c r="E16163" s="57"/>
      <c r="H16163" s="18"/>
    </row>
    <row r="16164">
      <c r="C16164" s="18"/>
      <c r="D16164" s="19"/>
      <c r="E16164" s="57"/>
      <c r="H16164" s="18"/>
    </row>
    <row r="16165">
      <c r="C16165" s="18"/>
      <c r="D16165" s="19"/>
      <c r="E16165" s="57"/>
      <c r="H16165" s="18"/>
    </row>
    <row r="16166">
      <c r="C16166" s="18"/>
      <c r="D16166" s="19"/>
      <c r="E16166" s="57"/>
      <c r="H16166" s="18"/>
    </row>
    <row r="16167">
      <c r="C16167" s="18"/>
      <c r="D16167" s="19"/>
      <c r="E16167" s="57"/>
      <c r="H16167" s="18"/>
    </row>
    <row r="16168">
      <c r="C16168" s="18"/>
      <c r="D16168" s="19"/>
      <c r="E16168" s="57"/>
      <c r="H16168" s="18"/>
    </row>
    <row r="16169">
      <c r="C16169" s="18"/>
      <c r="D16169" s="19"/>
      <c r="E16169" s="57"/>
      <c r="H16169" s="18"/>
    </row>
    <row r="16170">
      <c r="C16170" s="18"/>
      <c r="D16170" s="19"/>
      <c r="E16170" s="57"/>
      <c r="H16170" s="18"/>
    </row>
    <row r="16171">
      <c r="C16171" s="18"/>
      <c r="D16171" s="19"/>
      <c r="E16171" s="57"/>
      <c r="H16171" s="18"/>
    </row>
    <row r="16172">
      <c r="C16172" s="18"/>
      <c r="D16172" s="19"/>
      <c r="E16172" s="57"/>
      <c r="H16172" s="18"/>
    </row>
    <row r="16173">
      <c r="C16173" s="18"/>
      <c r="D16173" s="19"/>
      <c r="E16173" s="57"/>
      <c r="H16173" s="18"/>
    </row>
    <row r="16174">
      <c r="C16174" s="18"/>
      <c r="D16174" s="19"/>
      <c r="E16174" s="57"/>
      <c r="H16174" s="18"/>
    </row>
    <row r="16175">
      <c r="C16175" s="18"/>
      <c r="D16175" s="19"/>
      <c r="E16175" s="57"/>
      <c r="H16175" s="18"/>
    </row>
    <row r="16176">
      <c r="C16176" s="18"/>
      <c r="D16176" s="19"/>
      <c r="E16176" s="57"/>
      <c r="H16176" s="18"/>
    </row>
    <row r="16177">
      <c r="C16177" s="18"/>
      <c r="D16177" s="19"/>
      <c r="E16177" s="57"/>
      <c r="H16177" s="18"/>
    </row>
    <row r="16178">
      <c r="C16178" s="18"/>
      <c r="D16178" s="19"/>
      <c r="E16178" s="57"/>
      <c r="H16178" s="18"/>
    </row>
    <row r="16179">
      <c r="C16179" s="18"/>
      <c r="D16179" s="19"/>
      <c r="E16179" s="57"/>
      <c r="H16179" s="18"/>
    </row>
    <row r="16180">
      <c r="C16180" s="18"/>
      <c r="D16180" s="19"/>
      <c r="E16180" s="57"/>
      <c r="H16180" s="18"/>
    </row>
    <row r="16181">
      <c r="C16181" s="18"/>
      <c r="D16181" s="19"/>
      <c r="E16181" s="57"/>
      <c r="H16181" s="18"/>
    </row>
    <row r="16182">
      <c r="C16182" s="18"/>
      <c r="D16182" s="19"/>
      <c r="E16182" s="57"/>
      <c r="H16182" s="18"/>
    </row>
    <row r="16183">
      <c r="C16183" s="18"/>
      <c r="D16183" s="19"/>
      <c r="E16183" s="57"/>
      <c r="H16183" s="18"/>
    </row>
    <row r="16184">
      <c r="C16184" s="18"/>
      <c r="D16184" s="19"/>
      <c r="E16184" s="57"/>
      <c r="H16184" s="18"/>
    </row>
    <row r="16185">
      <c r="C16185" s="18"/>
      <c r="D16185" s="19"/>
      <c r="E16185" s="57"/>
      <c r="H16185" s="18"/>
    </row>
    <row r="16186">
      <c r="C16186" s="18"/>
      <c r="D16186" s="19"/>
      <c r="E16186" s="57"/>
      <c r="H16186" s="18"/>
    </row>
    <row r="16187">
      <c r="C16187" s="18"/>
      <c r="D16187" s="19"/>
      <c r="E16187" s="57"/>
      <c r="H16187" s="18"/>
    </row>
    <row r="16188">
      <c r="C16188" s="18"/>
      <c r="D16188" s="19"/>
      <c r="E16188" s="57"/>
      <c r="H16188" s="18"/>
    </row>
    <row r="16189">
      <c r="C16189" s="18"/>
      <c r="D16189" s="19"/>
      <c r="E16189" s="57"/>
      <c r="H16189" s="18"/>
    </row>
    <row r="16190">
      <c r="C16190" s="18"/>
      <c r="D16190" s="19"/>
      <c r="E16190" s="57"/>
      <c r="H16190" s="18"/>
    </row>
    <row r="16191">
      <c r="C16191" s="18"/>
      <c r="D16191" s="19"/>
      <c r="E16191" s="57"/>
      <c r="H16191" s="18"/>
    </row>
    <row r="16192">
      <c r="C16192" s="18"/>
      <c r="D16192" s="19"/>
      <c r="E16192" s="57"/>
      <c r="H16192" s="18"/>
    </row>
    <row r="16193">
      <c r="C16193" s="18"/>
      <c r="D16193" s="19"/>
      <c r="E16193" s="57"/>
      <c r="H16193" s="18"/>
    </row>
    <row r="16194">
      <c r="C16194" s="18"/>
      <c r="D16194" s="19"/>
      <c r="E16194" s="57"/>
      <c r="H16194" s="18"/>
    </row>
    <row r="16195">
      <c r="C16195" s="18"/>
      <c r="D16195" s="19"/>
      <c r="E16195" s="57"/>
      <c r="H16195" s="18"/>
    </row>
    <row r="16196">
      <c r="C16196" s="18"/>
      <c r="D16196" s="19"/>
      <c r="E16196" s="57"/>
      <c r="H16196" s="18"/>
    </row>
    <row r="16197">
      <c r="C16197" s="18"/>
      <c r="D16197" s="19"/>
      <c r="E16197" s="57"/>
      <c r="H16197" s="18"/>
    </row>
    <row r="16198">
      <c r="C16198" s="18"/>
      <c r="D16198" s="19"/>
      <c r="E16198" s="57"/>
      <c r="H16198" s="18"/>
    </row>
    <row r="16199">
      <c r="C16199" s="18"/>
      <c r="D16199" s="19"/>
      <c r="E16199" s="57"/>
      <c r="H16199" s="18"/>
    </row>
    <row r="16200">
      <c r="C16200" s="18"/>
      <c r="D16200" s="19"/>
      <c r="E16200" s="57"/>
      <c r="H16200" s="18"/>
    </row>
    <row r="16201">
      <c r="C16201" s="18"/>
      <c r="D16201" s="19"/>
      <c r="E16201" s="57"/>
      <c r="H16201" s="18"/>
    </row>
    <row r="16202">
      <c r="C16202" s="18"/>
      <c r="D16202" s="19"/>
      <c r="E16202" s="57"/>
      <c r="H16202" s="18"/>
    </row>
    <row r="16203">
      <c r="C16203" s="18"/>
      <c r="D16203" s="19"/>
      <c r="E16203" s="57"/>
      <c r="H16203" s="18"/>
    </row>
    <row r="16204">
      <c r="C16204" s="18"/>
      <c r="D16204" s="19"/>
      <c r="E16204" s="57"/>
      <c r="H16204" s="18"/>
    </row>
    <row r="16205">
      <c r="C16205" s="18"/>
      <c r="D16205" s="19"/>
      <c r="E16205" s="57"/>
      <c r="H16205" s="18"/>
    </row>
    <row r="16206">
      <c r="C16206" s="18"/>
      <c r="D16206" s="19"/>
      <c r="E16206" s="57"/>
      <c r="H16206" s="18"/>
    </row>
    <row r="16207">
      <c r="C16207" s="18"/>
      <c r="D16207" s="19"/>
      <c r="E16207" s="57"/>
      <c r="H16207" s="18"/>
    </row>
    <row r="16208">
      <c r="C16208" s="18"/>
      <c r="D16208" s="19"/>
      <c r="E16208" s="57"/>
      <c r="H16208" s="18"/>
    </row>
    <row r="16209">
      <c r="C16209" s="18"/>
      <c r="D16209" s="19"/>
      <c r="E16209" s="57"/>
      <c r="H16209" s="18"/>
    </row>
    <row r="16210">
      <c r="C16210" s="18"/>
      <c r="D16210" s="19"/>
      <c r="E16210" s="57"/>
      <c r="H16210" s="18"/>
    </row>
    <row r="16211">
      <c r="C16211" s="18"/>
      <c r="D16211" s="19"/>
      <c r="E16211" s="57"/>
      <c r="H16211" s="18"/>
    </row>
    <row r="16212">
      <c r="C16212" s="18"/>
      <c r="D16212" s="19"/>
      <c r="E16212" s="57"/>
      <c r="H16212" s="18"/>
    </row>
    <row r="16213">
      <c r="C16213" s="18"/>
      <c r="D16213" s="19"/>
      <c r="E16213" s="57"/>
      <c r="H16213" s="18"/>
    </row>
    <row r="16214">
      <c r="C16214" s="18"/>
      <c r="D16214" s="19"/>
      <c r="E16214" s="57"/>
      <c r="H16214" s="18"/>
    </row>
    <row r="16215">
      <c r="C16215" s="18"/>
      <c r="D16215" s="19"/>
      <c r="E16215" s="57"/>
      <c r="H16215" s="18"/>
    </row>
    <row r="16216">
      <c r="C16216" s="18"/>
      <c r="D16216" s="19"/>
      <c r="E16216" s="57"/>
      <c r="H16216" s="18"/>
    </row>
    <row r="16217">
      <c r="C16217" s="18"/>
      <c r="D16217" s="19"/>
      <c r="E16217" s="57"/>
      <c r="H16217" s="18"/>
    </row>
    <row r="16218">
      <c r="C16218" s="18"/>
      <c r="D16218" s="19"/>
      <c r="E16218" s="57"/>
      <c r="H16218" s="18"/>
    </row>
    <row r="16219">
      <c r="C16219" s="18"/>
      <c r="D16219" s="19"/>
      <c r="E16219" s="57"/>
      <c r="H16219" s="18"/>
    </row>
    <row r="16220">
      <c r="C16220" s="18"/>
      <c r="D16220" s="19"/>
      <c r="E16220" s="57"/>
      <c r="H16220" s="18"/>
    </row>
    <row r="16221">
      <c r="C16221" s="18"/>
      <c r="D16221" s="19"/>
      <c r="E16221" s="57"/>
      <c r="H16221" s="18"/>
    </row>
    <row r="16222">
      <c r="C16222" s="18"/>
      <c r="D16222" s="19"/>
      <c r="E16222" s="57"/>
      <c r="H16222" s="18"/>
    </row>
    <row r="16223">
      <c r="C16223" s="18"/>
      <c r="D16223" s="19"/>
      <c r="E16223" s="57"/>
      <c r="H16223" s="18"/>
    </row>
    <row r="16224">
      <c r="C16224" s="18"/>
      <c r="D16224" s="19"/>
      <c r="E16224" s="57"/>
      <c r="H16224" s="18"/>
    </row>
    <row r="16225">
      <c r="C16225" s="18"/>
      <c r="D16225" s="19"/>
      <c r="E16225" s="57"/>
      <c r="H16225" s="18"/>
    </row>
    <row r="16226">
      <c r="C16226" s="18"/>
      <c r="D16226" s="19"/>
      <c r="E16226" s="57"/>
      <c r="H16226" s="18"/>
    </row>
    <row r="16227">
      <c r="C16227" s="18"/>
      <c r="D16227" s="19"/>
      <c r="E16227" s="57"/>
      <c r="H16227" s="18"/>
    </row>
    <row r="16228">
      <c r="C16228" s="18"/>
      <c r="D16228" s="19"/>
      <c r="E16228" s="57"/>
      <c r="H16228" s="18"/>
    </row>
    <row r="16229">
      <c r="C16229" s="18"/>
      <c r="D16229" s="19"/>
      <c r="E16229" s="57"/>
      <c r="H16229" s="18"/>
    </row>
    <row r="16230">
      <c r="C16230" s="18"/>
      <c r="D16230" s="19"/>
      <c r="E16230" s="57"/>
      <c r="H16230" s="18"/>
    </row>
    <row r="16231">
      <c r="C16231" s="18"/>
      <c r="D16231" s="19"/>
      <c r="E16231" s="57"/>
      <c r="H16231" s="18"/>
    </row>
    <row r="16232">
      <c r="C16232" s="18"/>
      <c r="D16232" s="19"/>
      <c r="E16232" s="57"/>
      <c r="H16232" s="18"/>
    </row>
    <row r="16233">
      <c r="C16233" s="18"/>
      <c r="D16233" s="19"/>
      <c r="E16233" s="57"/>
      <c r="H16233" s="18"/>
    </row>
    <row r="16234">
      <c r="C16234" s="18"/>
      <c r="D16234" s="19"/>
      <c r="E16234" s="57"/>
      <c r="H16234" s="18"/>
    </row>
    <row r="16235">
      <c r="C16235" s="18"/>
      <c r="D16235" s="19"/>
      <c r="E16235" s="57"/>
      <c r="H16235" s="18"/>
    </row>
    <row r="16236">
      <c r="C16236" s="18"/>
      <c r="D16236" s="19"/>
      <c r="E16236" s="57"/>
      <c r="H16236" s="18"/>
    </row>
    <row r="16237">
      <c r="C16237" s="18"/>
      <c r="D16237" s="19"/>
      <c r="E16237" s="57"/>
      <c r="H16237" s="18"/>
    </row>
    <row r="16238">
      <c r="C16238" s="18"/>
      <c r="D16238" s="19"/>
      <c r="E16238" s="57"/>
      <c r="H16238" s="18"/>
    </row>
    <row r="16239">
      <c r="C16239" s="18"/>
      <c r="D16239" s="19"/>
      <c r="E16239" s="57"/>
      <c r="H16239" s="18"/>
    </row>
    <row r="16240">
      <c r="C16240" s="18"/>
      <c r="D16240" s="19"/>
      <c r="E16240" s="57"/>
      <c r="H16240" s="18"/>
    </row>
    <row r="16241">
      <c r="C16241" s="18"/>
      <c r="D16241" s="19"/>
      <c r="E16241" s="57"/>
      <c r="H16241" s="18"/>
    </row>
    <row r="16242">
      <c r="C16242" s="18"/>
      <c r="D16242" s="19"/>
      <c r="E16242" s="57"/>
      <c r="H16242" s="18"/>
    </row>
    <row r="16243">
      <c r="C16243" s="18"/>
      <c r="D16243" s="19"/>
      <c r="E16243" s="57"/>
      <c r="H16243" s="18"/>
    </row>
    <row r="16244">
      <c r="C16244" s="18"/>
      <c r="D16244" s="19"/>
      <c r="E16244" s="57"/>
      <c r="H16244" s="18"/>
    </row>
    <row r="16245">
      <c r="C16245" s="18"/>
      <c r="D16245" s="19"/>
      <c r="E16245" s="57"/>
      <c r="H16245" s="18"/>
    </row>
    <row r="16246">
      <c r="C16246" s="18"/>
      <c r="D16246" s="19"/>
      <c r="E16246" s="57"/>
      <c r="H16246" s="18"/>
    </row>
    <row r="16247">
      <c r="C16247" s="18"/>
      <c r="D16247" s="19"/>
      <c r="E16247" s="57"/>
      <c r="H16247" s="18"/>
    </row>
    <row r="16248">
      <c r="C16248" s="18"/>
      <c r="D16248" s="19"/>
      <c r="E16248" s="57"/>
      <c r="H16248" s="18"/>
    </row>
    <row r="16249">
      <c r="C16249" s="18"/>
      <c r="D16249" s="19"/>
      <c r="E16249" s="57"/>
      <c r="H16249" s="18"/>
    </row>
    <row r="16250">
      <c r="C16250" s="18"/>
      <c r="D16250" s="19"/>
      <c r="E16250" s="57"/>
      <c r="H16250" s="18"/>
    </row>
    <row r="16251">
      <c r="C16251" s="18"/>
      <c r="D16251" s="19"/>
      <c r="E16251" s="57"/>
      <c r="H16251" s="18"/>
    </row>
    <row r="16252">
      <c r="C16252" s="18"/>
      <c r="D16252" s="19"/>
      <c r="E16252" s="57"/>
      <c r="H16252" s="18"/>
    </row>
    <row r="16253">
      <c r="C16253" s="18"/>
      <c r="D16253" s="19"/>
      <c r="E16253" s="57"/>
      <c r="H16253" s="18"/>
    </row>
    <row r="16254">
      <c r="C16254" s="18"/>
      <c r="D16254" s="19"/>
      <c r="E16254" s="57"/>
      <c r="H16254" s="18"/>
    </row>
    <row r="16255">
      <c r="C16255" s="18"/>
      <c r="D16255" s="19"/>
      <c r="E16255" s="57"/>
      <c r="H16255" s="18"/>
    </row>
    <row r="16256">
      <c r="C16256" s="18"/>
      <c r="D16256" s="19"/>
      <c r="E16256" s="57"/>
      <c r="H16256" s="18"/>
    </row>
    <row r="16257">
      <c r="C16257" s="18"/>
      <c r="D16257" s="19"/>
      <c r="E16257" s="57"/>
      <c r="H16257" s="18"/>
    </row>
    <row r="16258">
      <c r="C16258" s="18"/>
      <c r="D16258" s="19"/>
      <c r="E16258" s="57"/>
      <c r="H16258" s="18"/>
    </row>
    <row r="16259">
      <c r="C16259" s="18"/>
      <c r="D16259" s="19"/>
      <c r="E16259" s="57"/>
      <c r="H16259" s="18"/>
    </row>
    <row r="16260">
      <c r="C16260" s="18"/>
      <c r="D16260" s="19"/>
      <c r="E16260" s="57"/>
      <c r="H16260" s="18"/>
    </row>
    <row r="16261">
      <c r="C16261" s="18"/>
      <c r="D16261" s="19"/>
      <c r="E16261" s="57"/>
      <c r="H16261" s="18"/>
    </row>
    <row r="16262">
      <c r="C16262" s="18"/>
      <c r="D16262" s="19"/>
      <c r="E16262" s="57"/>
      <c r="H16262" s="18"/>
    </row>
    <row r="16263">
      <c r="C16263" s="18"/>
      <c r="D16263" s="19"/>
      <c r="E16263" s="57"/>
      <c r="H16263" s="18"/>
    </row>
    <row r="16264">
      <c r="C16264" s="18"/>
      <c r="D16264" s="19"/>
      <c r="E16264" s="57"/>
      <c r="H16264" s="18"/>
    </row>
    <row r="16265">
      <c r="C16265" s="18"/>
      <c r="D16265" s="19"/>
      <c r="E16265" s="57"/>
      <c r="H16265" s="18"/>
    </row>
    <row r="16266">
      <c r="C16266" s="18"/>
      <c r="D16266" s="19"/>
      <c r="E16266" s="57"/>
      <c r="H16266" s="18"/>
    </row>
    <row r="16267">
      <c r="C16267" s="18"/>
      <c r="D16267" s="19"/>
      <c r="E16267" s="57"/>
      <c r="H16267" s="18"/>
    </row>
    <row r="16268">
      <c r="C16268" s="18"/>
      <c r="D16268" s="19"/>
      <c r="E16268" s="57"/>
      <c r="H16268" s="18"/>
    </row>
    <row r="16269">
      <c r="C16269" s="18"/>
      <c r="D16269" s="19"/>
      <c r="E16269" s="57"/>
      <c r="H16269" s="18"/>
    </row>
    <row r="16270">
      <c r="C16270" s="18"/>
      <c r="D16270" s="19"/>
      <c r="E16270" s="57"/>
      <c r="H16270" s="18"/>
    </row>
    <row r="16271">
      <c r="C16271" s="18"/>
      <c r="D16271" s="19"/>
      <c r="E16271" s="57"/>
      <c r="H16271" s="18"/>
    </row>
    <row r="16272">
      <c r="C16272" s="18"/>
      <c r="D16272" s="19"/>
      <c r="E16272" s="57"/>
      <c r="H16272" s="18"/>
    </row>
    <row r="16273">
      <c r="C16273" s="18"/>
      <c r="D16273" s="19"/>
      <c r="E16273" s="57"/>
      <c r="H16273" s="18"/>
    </row>
    <row r="16274">
      <c r="C16274" s="18"/>
      <c r="D16274" s="19"/>
      <c r="E16274" s="57"/>
      <c r="H16274" s="18"/>
    </row>
    <row r="16275">
      <c r="C16275" s="18"/>
      <c r="D16275" s="19"/>
      <c r="E16275" s="57"/>
      <c r="H16275" s="18"/>
    </row>
    <row r="16276">
      <c r="C16276" s="18"/>
      <c r="D16276" s="19"/>
      <c r="E16276" s="57"/>
      <c r="H16276" s="18"/>
    </row>
    <row r="16277">
      <c r="C16277" s="18"/>
      <c r="D16277" s="19"/>
      <c r="E16277" s="57"/>
      <c r="H16277" s="18"/>
    </row>
    <row r="16278">
      <c r="C16278" s="18"/>
      <c r="D16278" s="19"/>
      <c r="E16278" s="57"/>
      <c r="H16278" s="18"/>
    </row>
    <row r="16279">
      <c r="C16279" s="18"/>
      <c r="D16279" s="19"/>
      <c r="E16279" s="57"/>
      <c r="H16279" s="18"/>
    </row>
    <row r="16280">
      <c r="C16280" s="18"/>
      <c r="D16280" s="19"/>
      <c r="E16280" s="57"/>
      <c r="H16280" s="18"/>
    </row>
    <row r="16281">
      <c r="C16281" s="18"/>
      <c r="D16281" s="19"/>
      <c r="E16281" s="57"/>
      <c r="H16281" s="18"/>
    </row>
    <row r="16282">
      <c r="C16282" s="18"/>
      <c r="D16282" s="19"/>
      <c r="E16282" s="57"/>
      <c r="H16282" s="18"/>
    </row>
    <row r="16283">
      <c r="C16283" s="18"/>
      <c r="D16283" s="19"/>
      <c r="E16283" s="57"/>
      <c r="H16283" s="18"/>
    </row>
    <row r="16284">
      <c r="C16284" s="18"/>
      <c r="D16284" s="19"/>
      <c r="E16284" s="57"/>
      <c r="H16284" s="18"/>
    </row>
    <row r="16285">
      <c r="C16285" s="18"/>
      <c r="D16285" s="19"/>
      <c r="E16285" s="57"/>
      <c r="H16285" s="18"/>
    </row>
    <row r="16286">
      <c r="C16286" s="18"/>
      <c r="D16286" s="19"/>
      <c r="E16286" s="57"/>
      <c r="H16286" s="18"/>
    </row>
    <row r="16287">
      <c r="C16287" s="18"/>
      <c r="D16287" s="19"/>
      <c r="E16287" s="57"/>
      <c r="H16287" s="18"/>
    </row>
    <row r="16288">
      <c r="C16288" s="18"/>
      <c r="D16288" s="19"/>
      <c r="E16288" s="57"/>
      <c r="H16288" s="18"/>
    </row>
    <row r="16289">
      <c r="C16289" s="18"/>
      <c r="D16289" s="19"/>
      <c r="E16289" s="57"/>
      <c r="H16289" s="18"/>
    </row>
    <row r="16290">
      <c r="C16290" s="18"/>
      <c r="D16290" s="19"/>
      <c r="E16290" s="57"/>
      <c r="H16290" s="18"/>
    </row>
    <row r="16291">
      <c r="C16291" s="18"/>
      <c r="D16291" s="19"/>
      <c r="E16291" s="57"/>
      <c r="H16291" s="18"/>
    </row>
    <row r="16292">
      <c r="C16292" s="18"/>
      <c r="D16292" s="19"/>
      <c r="E16292" s="57"/>
      <c r="H16292" s="18"/>
    </row>
    <row r="16293">
      <c r="C16293" s="18"/>
      <c r="D16293" s="19"/>
      <c r="E16293" s="57"/>
      <c r="H16293" s="18"/>
    </row>
    <row r="16294">
      <c r="C16294" s="18"/>
      <c r="D16294" s="19"/>
      <c r="E16294" s="57"/>
      <c r="H16294" s="18"/>
    </row>
    <row r="16295">
      <c r="C16295" s="18"/>
      <c r="D16295" s="19"/>
      <c r="E16295" s="57"/>
      <c r="H16295" s="18"/>
    </row>
    <row r="16296">
      <c r="C16296" s="18"/>
      <c r="D16296" s="19"/>
      <c r="E16296" s="57"/>
      <c r="H16296" s="18"/>
    </row>
    <row r="16297">
      <c r="C16297" s="18"/>
      <c r="D16297" s="19"/>
      <c r="E16297" s="57"/>
      <c r="H16297" s="18"/>
    </row>
    <row r="16298">
      <c r="C16298" s="18"/>
      <c r="D16298" s="19"/>
      <c r="E16298" s="57"/>
      <c r="H16298" s="18"/>
    </row>
    <row r="16299">
      <c r="C16299" s="18"/>
      <c r="D16299" s="19"/>
      <c r="E16299" s="57"/>
      <c r="H16299" s="18"/>
    </row>
    <row r="16300">
      <c r="C16300" s="18"/>
      <c r="D16300" s="19"/>
      <c r="E16300" s="57"/>
      <c r="H16300" s="18"/>
    </row>
    <row r="16301">
      <c r="C16301" s="18"/>
      <c r="D16301" s="19"/>
      <c r="E16301" s="57"/>
      <c r="H16301" s="18"/>
    </row>
    <row r="16302">
      <c r="C16302" s="18"/>
      <c r="D16302" s="19"/>
      <c r="E16302" s="57"/>
      <c r="H16302" s="18"/>
    </row>
    <row r="16303">
      <c r="C16303" s="18"/>
      <c r="D16303" s="19"/>
      <c r="E16303" s="57"/>
      <c r="H16303" s="18"/>
    </row>
    <row r="16304">
      <c r="C16304" s="18"/>
      <c r="D16304" s="19"/>
      <c r="E16304" s="57"/>
      <c r="H16304" s="18"/>
    </row>
    <row r="16305">
      <c r="C16305" s="18"/>
      <c r="D16305" s="19"/>
      <c r="E16305" s="57"/>
      <c r="H16305" s="18"/>
    </row>
    <row r="16306">
      <c r="C16306" s="18"/>
      <c r="D16306" s="19"/>
      <c r="E16306" s="57"/>
      <c r="H16306" s="18"/>
    </row>
    <row r="16307">
      <c r="C16307" s="18"/>
      <c r="D16307" s="19"/>
      <c r="E16307" s="57"/>
      <c r="H16307" s="18"/>
    </row>
    <row r="16308">
      <c r="C16308" s="18"/>
      <c r="D16308" s="19"/>
      <c r="E16308" s="57"/>
      <c r="H16308" s="18"/>
    </row>
    <row r="16309">
      <c r="C16309" s="18"/>
      <c r="D16309" s="19"/>
      <c r="E16309" s="57"/>
      <c r="H16309" s="18"/>
    </row>
    <row r="16310">
      <c r="C16310" s="18"/>
      <c r="D16310" s="19"/>
      <c r="E16310" s="57"/>
      <c r="H16310" s="18"/>
    </row>
    <row r="16311">
      <c r="C16311" s="18"/>
      <c r="D16311" s="19"/>
      <c r="E16311" s="57"/>
      <c r="H16311" s="18"/>
    </row>
    <row r="16312">
      <c r="C16312" s="18"/>
      <c r="D16312" s="19"/>
      <c r="E16312" s="57"/>
      <c r="H16312" s="18"/>
    </row>
    <row r="16313">
      <c r="C16313" s="18"/>
      <c r="D16313" s="19"/>
      <c r="E16313" s="57"/>
      <c r="H16313" s="18"/>
    </row>
    <row r="16314">
      <c r="C16314" s="18"/>
      <c r="D16314" s="19"/>
      <c r="E16314" s="57"/>
      <c r="H16314" s="18"/>
    </row>
    <row r="16315">
      <c r="C16315" s="18"/>
      <c r="D16315" s="19"/>
      <c r="E16315" s="57"/>
      <c r="H16315" s="18"/>
    </row>
    <row r="16316">
      <c r="C16316" s="18"/>
      <c r="D16316" s="19"/>
      <c r="E16316" s="57"/>
      <c r="H16316" s="18"/>
    </row>
    <row r="16317">
      <c r="C16317" s="18"/>
      <c r="D16317" s="19"/>
      <c r="E16317" s="57"/>
      <c r="H16317" s="18"/>
    </row>
    <row r="16318">
      <c r="C16318" s="18"/>
      <c r="D16318" s="19"/>
      <c r="E16318" s="57"/>
      <c r="H16318" s="18"/>
    </row>
    <row r="16319">
      <c r="C16319" s="18"/>
      <c r="D16319" s="19"/>
      <c r="E16319" s="57"/>
      <c r="H16319" s="18"/>
    </row>
    <row r="16320">
      <c r="C16320" s="18"/>
      <c r="D16320" s="19"/>
      <c r="E16320" s="57"/>
      <c r="H16320" s="18"/>
    </row>
    <row r="16321">
      <c r="C16321" s="18"/>
      <c r="D16321" s="19"/>
      <c r="E16321" s="57"/>
      <c r="H16321" s="18"/>
    </row>
    <row r="16322">
      <c r="C16322" s="18"/>
      <c r="D16322" s="19"/>
      <c r="E16322" s="57"/>
      <c r="H16322" s="18"/>
    </row>
    <row r="16323">
      <c r="C16323" s="18"/>
      <c r="D16323" s="19"/>
      <c r="E16323" s="57"/>
      <c r="H16323" s="18"/>
    </row>
    <row r="16324">
      <c r="C16324" s="18"/>
      <c r="D16324" s="19"/>
      <c r="E16324" s="57"/>
      <c r="H16324" s="18"/>
    </row>
    <row r="16325">
      <c r="C16325" s="18"/>
      <c r="D16325" s="19"/>
      <c r="E16325" s="57"/>
      <c r="H16325" s="18"/>
    </row>
    <row r="16326">
      <c r="C16326" s="18"/>
      <c r="D16326" s="19"/>
      <c r="E16326" s="57"/>
      <c r="H16326" s="18"/>
    </row>
    <row r="16327">
      <c r="C16327" s="18"/>
      <c r="D16327" s="19"/>
      <c r="E16327" s="57"/>
      <c r="H16327" s="18"/>
    </row>
    <row r="16328">
      <c r="C16328" s="18"/>
      <c r="D16328" s="19"/>
      <c r="E16328" s="57"/>
      <c r="H16328" s="18"/>
    </row>
    <row r="16329">
      <c r="C16329" s="18"/>
      <c r="D16329" s="19"/>
      <c r="E16329" s="57"/>
      <c r="H16329" s="18"/>
    </row>
    <row r="16330">
      <c r="C16330" s="18"/>
      <c r="D16330" s="19"/>
      <c r="E16330" s="57"/>
      <c r="H16330" s="18"/>
    </row>
    <row r="16331">
      <c r="C16331" s="18"/>
      <c r="D16331" s="19"/>
      <c r="E16331" s="57"/>
      <c r="H16331" s="18"/>
    </row>
    <row r="16332">
      <c r="C16332" s="18"/>
      <c r="D16332" s="19"/>
      <c r="E16332" s="57"/>
      <c r="H16332" s="18"/>
    </row>
    <row r="16333">
      <c r="C16333" s="18"/>
      <c r="D16333" s="19"/>
      <c r="E16333" s="57"/>
      <c r="H16333" s="18"/>
    </row>
    <row r="16334">
      <c r="C16334" s="18"/>
      <c r="D16334" s="19"/>
      <c r="E16334" s="57"/>
      <c r="H16334" s="18"/>
    </row>
    <row r="16335">
      <c r="C16335" s="18"/>
      <c r="D16335" s="19"/>
      <c r="E16335" s="57"/>
      <c r="H16335" s="18"/>
    </row>
    <row r="16336">
      <c r="C16336" s="18"/>
      <c r="D16336" s="19"/>
      <c r="E16336" s="57"/>
      <c r="H16336" s="18"/>
    </row>
    <row r="16337">
      <c r="C16337" s="18"/>
      <c r="D16337" s="19"/>
      <c r="E16337" s="57"/>
      <c r="H16337" s="18"/>
    </row>
    <row r="16338">
      <c r="C16338" s="18"/>
      <c r="D16338" s="19"/>
      <c r="E16338" s="57"/>
      <c r="H16338" s="18"/>
    </row>
    <row r="16339">
      <c r="C16339" s="18"/>
      <c r="D16339" s="19"/>
      <c r="E16339" s="57"/>
      <c r="H16339" s="18"/>
    </row>
    <row r="16340">
      <c r="C16340" s="18"/>
      <c r="D16340" s="19"/>
      <c r="E16340" s="57"/>
      <c r="H16340" s="18"/>
    </row>
    <row r="16341">
      <c r="C16341" s="18"/>
      <c r="D16341" s="19"/>
      <c r="E16341" s="57"/>
      <c r="H16341" s="18"/>
    </row>
    <row r="16342">
      <c r="C16342" s="18"/>
      <c r="D16342" s="19"/>
      <c r="E16342" s="57"/>
      <c r="H16342" s="18"/>
    </row>
    <row r="16343">
      <c r="C16343" s="18"/>
      <c r="D16343" s="19"/>
      <c r="E16343" s="57"/>
      <c r="H16343" s="18"/>
    </row>
    <row r="16344">
      <c r="C16344" s="18"/>
      <c r="D16344" s="19"/>
      <c r="E16344" s="57"/>
      <c r="H16344" s="18"/>
    </row>
    <row r="16345">
      <c r="C16345" s="18"/>
      <c r="D16345" s="19"/>
      <c r="E16345" s="57"/>
      <c r="H16345" s="18"/>
    </row>
    <row r="16346">
      <c r="C16346" s="18"/>
      <c r="D16346" s="19"/>
      <c r="E16346" s="57"/>
      <c r="H16346" s="18"/>
    </row>
    <row r="16347">
      <c r="C16347" s="18"/>
      <c r="D16347" s="19"/>
      <c r="E16347" s="57"/>
      <c r="H16347" s="18"/>
    </row>
    <row r="16348">
      <c r="C16348" s="18"/>
      <c r="D16348" s="19"/>
      <c r="E16348" s="57"/>
      <c r="H16348" s="18"/>
    </row>
    <row r="16349">
      <c r="C16349" s="18"/>
      <c r="D16349" s="19"/>
      <c r="E16349" s="57"/>
      <c r="H16349" s="18"/>
    </row>
    <row r="16350">
      <c r="C16350" s="18"/>
      <c r="D16350" s="19"/>
      <c r="E16350" s="57"/>
      <c r="H16350" s="18"/>
    </row>
    <row r="16351">
      <c r="C16351" s="18"/>
      <c r="D16351" s="19"/>
      <c r="E16351" s="57"/>
      <c r="H16351" s="18"/>
    </row>
    <row r="16352">
      <c r="C16352" s="18"/>
      <c r="D16352" s="19"/>
      <c r="E16352" s="57"/>
      <c r="H16352" s="18"/>
    </row>
    <row r="16353">
      <c r="C16353" s="18"/>
      <c r="D16353" s="19"/>
      <c r="E16353" s="57"/>
      <c r="H16353" s="18"/>
    </row>
    <row r="16354">
      <c r="C16354" s="18"/>
      <c r="D16354" s="19"/>
      <c r="E16354" s="57"/>
      <c r="H16354" s="18"/>
    </row>
    <row r="16355">
      <c r="C16355" s="18"/>
      <c r="D16355" s="19"/>
      <c r="E16355" s="57"/>
      <c r="H16355" s="18"/>
    </row>
    <row r="16356">
      <c r="C16356" s="18"/>
      <c r="D16356" s="19"/>
      <c r="E16356" s="57"/>
      <c r="H16356" s="18"/>
    </row>
    <row r="16357">
      <c r="C16357" s="18"/>
      <c r="D16357" s="19"/>
      <c r="E16357" s="57"/>
      <c r="H16357" s="18"/>
    </row>
    <row r="16358">
      <c r="C16358" s="18"/>
      <c r="D16358" s="19"/>
      <c r="E16358" s="57"/>
      <c r="H16358" s="18"/>
    </row>
    <row r="16359">
      <c r="C16359" s="18"/>
      <c r="D16359" s="19"/>
      <c r="E16359" s="57"/>
      <c r="H16359" s="18"/>
    </row>
    <row r="16360">
      <c r="C16360" s="18"/>
      <c r="D16360" s="19"/>
      <c r="E16360" s="57"/>
      <c r="H16360" s="18"/>
    </row>
    <row r="16361">
      <c r="C16361" s="18"/>
      <c r="D16361" s="19"/>
      <c r="E16361" s="57"/>
      <c r="H16361" s="18"/>
    </row>
    <row r="16362">
      <c r="C16362" s="18"/>
      <c r="D16362" s="19"/>
      <c r="E16362" s="57"/>
      <c r="H16362" s="18"/>
    </row>
    <row r="16363">
      <c r="C16363" s="18"/>
      <c r="D16363" s="19"/>
      <c r="E16363" s="57"/>
      <c r="H16363" s="18"/>
    </row>
    <row r="16364">
      <c r="C16364" s="18"/>
      <c r="D16364" s="19"/>
      <c r="E16364" s="57"/>
      <c r="H16364" s="18"/>
    </row>
    <row r="16365">
      <c r="C16365" s="18"/>
      <c r="D16365" s="19"/>
      <c r="E16365" s="57"/>
      <c r="H16365" s="18"/>
    </row>
    <row r="16366">
      <c r="C16366" s="18"/>
      <c r="D16366" s="19"/>
      <c r="E16366" s="57"/>
      <c r="H16366" s="18"/>
    </row>
    <row r="16367">
      <c r="C16367" s="18"/>
      <c r="D16367" s="19"/>
      <c r="E16367" s="57"/>
      <c r="H16367" s="18"/>
    </row>
    <row r="16368">
      <c r="C16368" s="18"/>
      <c r="D16368" s="19"/>
      <c r="E16368" s="57"/>
      <c r="H16368" s="18"/>
    </row>
    <row r="16369">
      <c r="C16369" s="18"/>
      <c r="D16369" s="19"/>
      <c r="E16369" s="57"/>
      <c r="H16369" s="18"/>
    </row>
    <row r="16370">
      <c r="C16370" s="18"/>
      <c r="D16370" s="19"/>
      <c r="E16370" s="57"/>
      <c r="H16370" s="18"/>
    </row>
    <row r="16371">
      <c r="C16371" s="18"/>
      <c r="D16371" s="19"/>
      <c r="E16371" s="57"/>
      <c r="H16371" s="18"/>
    </row>
    <row r="16372">
      <c r="C16372" s="18"/>
      <c r="D16372" s="19"/>
      <c r="E16372" s="57"/>
      <c r="H16372" s="18"/>
    </row>
    <row r="16373">
      <c r="C16373" s="18"/>
      <c r="D16373" s="19"/>
      <c r="E16373" s="57"/>
      <c r="H16373" s="18"/>
    </row>
    <row r="16374">
      <c r="C16374" s="18"/>
      <c r="D16374" s="19"/>
      <c r="E16374" s="57"/>
      <c r="H16374" s="18"/>
    </row>
    <row r="16375">
      <c r="C16375" s="18"/>
      <c r="D16375" s="19"/>
      <c r="E16375" s="57"/>
      <c r="H16375" s="18"/>
    </row>
    <row r="16376">
      <c r="C16376" s="18"/>
      <c r="D16376" s="19"/>
      <c r="E16376" s="57"/>
      <c r="H16376" s="18"/>
    </row>
    <row r="16377">
      <c r="C16377" s="18"/>
      <c r="D16377" s="19"/>
      <c r="E16377" s="57"/>
      <c r="H16377" s="18"/>
    </row>
    <row r="16378">
      <c r="C16378" s="18"/>
      <c r="D16378" s="19"/>
      <c r="E16378" s="57"/>
      <c r="H16378" s="18"/>
    </row>
    <row r="16379">
      <c r="C16379" s="18"/>
      <c r="D16379" s="19"/>
      <c r="E16379" s="57"/>
      <c r="H16379" s="18"/>
    </row>
    <row r="16380">
      <c r="C16380" s="18"/>
      <c r="D16380" s="19"/>
      <c r="E16380" s="57"/>
      <c r="H16380" s="18"/>
    </row>
    <row r="16381">
      <c r="C16381" s="18"/>
      <c r="D16381" s="19"/>
      <c r="E16381" s="57"/>
      <c r="H16381" s="18"/>
    </row>
    <row r="16382">
      <c r="C16382" s="18"/>
      <c r="D16382" s="19"/>
      <c r="E16382" s="57"/>
      <c r="H16382" s="18"/>
    </row>
    <row r="16383">
      <c r="C16383" s="18"/>
      <c r="D16383" s="19"/>
      <c r="E16383" s="57"/>
      <c r="H16383" s="18"/>
    </row>
    <row r="16384">
      <c r="C16384" s="18"/>
      <c r="D16384" s="19"/>
      <c r="E16384" s="57"/>
      <c r="H16384" s="18"/>
    </row>
    <row r="16385">
      <c r="C16385" s="18"/>
      <c r="D16385" s="19"/>
      <c r="E16385" s="57"/>
      <c r="H16385" s="18"/>
    </row>
    <row r="16386">
      <c r="C16386" s="18"/>
      <c r="D16386" s="19"/>
      <c r="E16386" s="57"/>
      <c r="H16386" s="18"/>
    </row>
    <row r="16387">
      <c r="C16387" s="18"/>
      <c r="D16387" s="19"/>
      <c r="E16387" s="57"/>
      <c r="H16387" s="18"/>
    </row>
    <row r="16388">
      <c r="C16388" s="18"/>
      <c r="D16388" s="19"/>
      <c r="E16388" s="57"/>
      <c r="H16388" s="18"/>
    </row>
    <row r="16389">
      <c r="C16389" s="18"/>
      <c r="D16389" s="19"/>
      <c r="E16389" s="57"/>
      <c r="H16389" s="18"/>
    </row>
    <row r="16390">
      <c r="C16390" s="18"/>
      <c r="D16390" s="19"/>
      <c r="E16390" s="57"/>
      <c r="H16390" s="18"/>
    </row>
    <row r="16391">
      <c r="C16391" s="18"/>
      <c r="D16391" s="19"/>
      <c r="E16391" s="57"/>
      <c r="H16391" s="18"/>
    </row>
    <row r="16392">
      <c r="C16392" s="18"/>
      <c r="D16392" s="19"/>
      <c r="E16392" s="57"/>
      <c r="H16392" s="18"/>
    </row>
    <row r="16393">
      <c r="C16393" s="18"/>
      <c r="D16393" s="19"/>
      <c r="E16393" s="57"/>
      <c r="H16393" s="18"/>
    </row>
    <row r="16394">
      <c r="C16394" s="18"/>
      <c r="D16394" s="19"/>
      <c r="E16394" s="57"/>
      <c r="H16394" s="18"/>
    </row>
    <row r="16395">
      <c r="C16395" s="18"/>
      <c r="D16395" s="19"/>
      <c r="E16395" s="57"/>
      <c r="H16395" s="18"/>
    </row>
    <row r="16396">
      <c r="C16396" s="18"/>
      <c r="D16396" s="19"/>
      <c r="E16396" s="57"/>
      <c r="H16396" s="18"/>
    </row>
    <row r="16397">
      <c r="C16397" s="18"/>
      <c r="D16397" s="19"/>
      <c r="E16397" s="57"/>
      <c r="H16397" s="18"/>
    </row>
    <row r="16398">
      <c r="C16398" s="18"/>
      <c r="D16398" s="19"/>
      <c r="E16398" s="57"/>
      <c r="H16398" s="18"/>
    </row>
    <row r="16399">
      <c r="C16399" s="18"/>
      <c r="D16399" s="19"/>
      <c r="E16399" s="57"/>
      <c r="H16399" s="18"/>
    </row>
    <row r="16400">
      <c r="C16400" s="18"/>
      <c r="D16400" s="19"/>
      <c r="E16400" s="57"/>
      <c r="H16400" s="18"/>
    </row>
    <row r="16401">
      <c r="C16401" s="18"/>
      <c r="D16401" s="19"/>
      <c r="E16401" s="57"/>
      <c r="H16401" s="18"/>
    </row>
    <row r="16402">
      <c r="C16402" s="18"/>
      <c r="D16402" s="19"/>
      <c r="E16402" s="57"/>
      <c r="H16402" s="18"/>
    </row>
    <row r="16403">
      <c r="C16403" s="18"/>
      <c r="D16403" s="19"/>
      <c r="E16403" s="57"/>
      <c r="H16403" s="18"/>
    </row>
    <row r="16404">
      <c r="C16404" s="18"/>
      <c r="D16404" s="19"/>
      <c r="E16404" s="57"/>
      <c r="H16404" s="18"/>
    </row>
    <row r="16405">
      <c r="C16405" s="18"/>
      <c r="D16405" s="19"/>
      <c r="E16405" s="57"/>
      <c r="H16405" s="18"/>
    </row>
    <row r="16406">
      <c r="C16406" s="18"/>
      <c r="D16406" s="19"/>
      <c r="E16406" s="57"/>
      <c r="H16406" s="18"/>
    </row>
    <row r="16407">
      <c r="C16407" s="18"/>
      <c r="D16407" s="19"/>
      <c r="E16407" s="57"/>
      <c r="H16407" s="18"/>
    </row>
    <row r="16408">
      <c r="C16408" s="18"/>
      <c r="D16408" s="19"/>
      <c r="E16408" s="57"/>
      <c r="H16408" s="18"/>
    </row>
    <row r="16409">
      <c r="C16409" s="18"/>
      <c r="D16409" s="19"/>
      <c r="E16409" s="57"/>
      <c r="H16409" s="18"/>
    </row>
    <row r="16410">
      <c r="C16410" s="18"/>
      <c r="D16410" s="19"/>
      <c r="E16410" s="57"/>
      <c r="H16410" s="18"/>
    </row>
    <row r="16411">
      <c r="C16411" s="18"/>
      <c r="D16411" s="19"/>
      <c r="E16411" s="57"/>
      <c r="H16411" s="18"/>
    </row>
    <row r="16412">
      <c r="C16412" s="18"/>
      <c r="D16412" s="19"/>
      <c r="E16412" s="57"/>
      <c r="H16412" s="18"/>
    </row>
    <row r="16413">
      <c r="C16413" s="18"/>
      <c r="D16413" s="19"/>
      <c r="E16413" s="57"/>
      <c r="H16413" s="18"/>
    </row>
    <row r="16414">
      <c r="C16414" s="18"/>
      <c r="D16414" s="19"/>
      <c r="E16414" s="57"/>
      <c r="H16414" s="18"/>
    </row>
    <row r="16415">
      <c r="C16415" s="18"/>
      <c r="D16415" s="19"/>
      <c r="E16415" s="57"/>
      <c r="H16415" s="18"/>
    </row>
    <row r="16416">
      <c r="C16416" s="18"/>
      <c r="D16416" s="19"/>
      <c r="E16416" s="57"/>
      <c r="H16416" s="18"/>
    </row>
    <row r="16417">
      <c r="C16417" s="18"/>
      <c r="D16417" s="19"/>
      <c r="E16417" s="57"/>
      <c r="H16417" s="18"/>
    </row>
    <row r="16418">
      <c r="C16418" s="18"/>
      <c r="D16418" s="19"/>
      <c r="E16418" s="57"/>
      <c r="H16418" s="18"/>
    </row>
    <row r="16419">
      <c r="C16419" s="18"/>
      <c r="D16419" s="19"/>
      <c r="E16419" s="57"/>
      <c r="H16419" s="18"/>
    </row>
    <row r="16420">
      <c r="C16420" s="18"/>
      <c r="D16420" s="19"/>
      <c r="E16420" s="57"/>
      <c r="H16420" s="18"/>
    </row>
    <row r="16421">
      <c r="C16421" s="18"/>
      <c r="D16421" s="19"/>
      <c r="E16421" s="57"/>
      <c r="H16421" s="18"/>
    </row>
    <row r="16422">
      <c r="C16422" s="18"/>
      <c r="D16422" s="19"/>
      <c r="E16422" s="57"/>
      <c r="H16422" s="18"/>
    </row>
    <row r="16423">
      <c r="C16423" s="18"/>
      <c r="D16423" s="19"/>
      <c r="E16423" s="57"/>
      <c r="H16423" s="18"/>
    </row>
    <row r="16424">
      <c r="C16424" s="18"/>
      <c r="D16424" s="19"/>
      <c r="E16424" s="57"/>
      <c r="H16424" s="18"/>
    </row>
    <row r="16425">
      <c r="C16425" s="18"/>
      <c r="D16425" s="19"/>
      <c r="E16425" s="57"/>
      <c r="H16425" s="18"/>
    </row>
    <row r="16426">
      <c r="C16426" s="18"/>
      <c r="D16426" s="19"/>
      <c r="E16426" s="57"/>
      <c r="H16426" s="18"/>
    </row>
    <row r="16427">
      <c r="C16427" s="18"/>
      <c r="D16427" s="19"/>
      <c r="E16427" s="57"/>
      <c r="H16427" s="18"/>
    </row>
    <row r="16428">
      <c r="C16428" s="18"/>
      <c r="D16428" s="19"/>
      <c r="E16428" s="57"/>
      <c r="H16428" s="18"/>
    </row>
    <row r="16429">
      <c r="C16429" s="18"/>
      <c r="D16429" s="19"/>
      <c r="E16429" s="57"/>
      <c r="H16429" s="18"/>
    </row>
    <row r="16430">
      <c r="C16430" s="18"/>
      <c r="D16430" s="19"/>
      <c r="E16430" s="57"/>
      <c r="H16430" s="18"/>
    </row>
    <row r="16431">
      <c r="C16431" s="18"/>
      <c r="D16431" s="19"/>
      <c r="E16431" s="57"/>
      <c r="H16431" s="18"/>
    </row>
    <row r="16432">
      <c r="C16432" s="18"/>
      <c r="D16432" s="19"/>
      <c r="E16432" s="57"/>
      <c r="H16432" s="18"/>
    </row>
    <row r="16433">
      <c r="C16433" s="18"/>
      <c r="D16433" s="19"/>
      <c r="E16433" s="57"/>
      <c r="H16433" s="18"/>
    </row>
    <row r="16434">
      <c r="C16434" s="18"/>
      <c r="D16434" s="19"/>
      <c r="E16434" s="57"/>
      <c r="H16434" s="18"/>
    </row>
    <row r="16435">
      <c r="C16435" s="18"/>
      <c r="D16435" s="19"/>
      <c r="E16435" s="57"/>
      <c r="H16435" s="18"/>
    </row>
    <row r="16436">
      <c r="C16436" s="18"/>
      <c r="D16436" s="19"/>
      <c r="E16436" s="57"/>
      <c r="H16436" s="18"/>
    </row>
    <row r="16437">
      <c r="C16437" s="18"/>
      <c r="D16437" s="19"/>
      <c r="E16437" s="57"/>
      <c r="H16437" s="18"/>
    </row>
    <row r="16438">
      <c r="C16438" s="18"/>
      <c r="D16438" s="19"/>
      <c r="E16438" s="57"/>
      <c r="H16438" s="18"/>
    </row>
    <row r="16439">
      <c r="C16439" s="18"/>
      <c r="D16439" s="19"/>
      <c r="E16439" s="57"/>
      <c r="H16439" s="18"/>
    </row>
    <row r="16440">
      <c r="C16440" s="18"/>
      <c r="D16440" s="19"/>
      <c r="E16440" s="57"/>
      <c r="H16440" s="18"/>
    </row>
    <row r="16441">
      <c r="C16441" s="18"/>
      <c r="D16441" s="19"/>
      <c r="E16441" s="57"/>
      <c r="H16441" s="18"/>
    </row>
    <row r="16442">
      <c r="C16442" s="18"/>
      <c r="D16442" s="19"/>
      <c r="E16442" s="57"/>
      <c r="H16442" s="18"/>
    </row>
    <row r="16443">
      <c r="C16443" s="18"/>
      <c r="D16443" s="19"/>
      <c r="E16443" s="57"/>
      <c r="H16443" s="18"/>
    </row>
    <row r="16444">
      <c r="C16444" s="18"/>
      <c r="D16444" s="19"/>
      <c r="E16444" s="57"/>
      <c r="H16444" s="18"/>
    </row>
    <row r="16445">
      <c r="C16445" s="18"/>
      <c r="D16445" s="19"/>
      <c r="E16445" s="57"/>
      <c r="H16445" s="18"/>
    </row>
    <row r="16446">
      <c r="C16446" s="18"/>
      <c r="D16446" s="19"/>
      <c r="E16446" s="57"/>
      <c r="H16446" s="18"/>
    </row>
    <row r="16447">
      <c r="C16447" s="18"/>
      <c r="D16447" s="19"/>
      <c r="E16447" s="57"/>
      <c r="H16447" s="18"/>
    </row>
    <row r="16448">
      <c r="C16448" s="18"/>
      <c r="D16448" s="19"/>
      <c r="E16448" s="57"/>
      <c r="H16448" s="18"/>
    </row>
    <row r="16449">
      <c r="C16449" s="18"/>
      <c r="D16449" s="19"/>
      <c r="E16449" s="57"/>
      <c r="H16449" s="18"/>
    </row>
    <row r="16450">
      <c r="C16450" s="18"/>
      <c r="D16450" s="19"/>
      <c r="E16450" s="57"/>
      <c r="H16450" s="18"/>
    </row>
    <row r="16451">
      <c r="C16451" s="18"/>
      <c r="D16451" s="19"/>
      <c r="E16451" s="57"/>
      <c r="H16451" s="18"/>
    </row>
    <row r="16452">
      <c r="C16452" s="18"/>
      <c r="D16452" s="19"/>
      <c r="E16452" s="57"/>
      <c r="H16452" s="18"/>
    </row>
    <row r="16453">
      <c r="C16453" s="18"/>
      <c r="D16453" s="19"/>
      <c r="E16453" s="57"/>
      <c r="H16453" s="18"/>
    </row>
    <row r="16454">
      <c r="C16454" s="18"/>
      <c r="D16454" s="19"/>
      <c r="E16454" s="57"/>
      <c r="H16454" s="18"/>
    </row>
    <row r="16455">
      <c r="C16455" s="18"/>
      <c r="D16455" s="19"/>
      <c r="E16455" s="57"/>
      <c r="H16455" s="18"/>
    </row>
    <row r="16456">
      <c r="C16456" s="18"/>
      <c r="D16456" s="19"/>
      <c r="E16456" s="57"/>
      <c r="H16456" s="18"/>
    </row>
    <row r="16457">
      <c r="C16457" s="18"/>
      <c r="D16457" s="19"/>
      <c r="E16457" s="57"/>
      <c r="H16457" s="18"/>
    </row>
    <row r="16458">
      <c r="C16458" s="18"/>
      <c r="D16458" s="19"/>
      <c r="E16458" s="57"/>
      <c r="H16458" s="18"/>
    </row>
    <row r="16459">
      <c r="C16459" s="18"/>
      <c r="D16459" s="19"/>
      <c r="E16459" s="57"/>
      <c r="H16459" s="18"/>
    </row>
    <row r="16460">
      <c r="C16460" s="18"/>
      <c r="D16460" s="19"/>
      <c r="E16460" s="57"/>
      <c r="H16460" s="18"/>
    </row>
    <row r="16461">
      <c r="C16461" s="18"/>
      <c r="D16461" s="19"/>
      <c r="E16461" s="57"/>
      <c r="H16461" s="18"/>
    </row>
    <row r="16462">
      <c r="C16462" s="18"/>
      <c r="D16462" s="19"/>
      <c r="E16462" s="57"/>
      <c r="H16462" s="18"/>
    </row>
    <row r="16463">
      <c r="C16463" s="18"/>
      <c r="D16463" s="19"/>
      <c r="E16463" s="57"/>
      <c r="H16463" s="18"/>
    </row>
    <row r="16464">
      <c r="C16464" s="18"/>
      <c r="D16464" s="19"/>
      <c r="E16464" s="57"/>
      <c r="H16464" s="18"/>
    </row>
    <row r="16465">
      <c r="C16465" s="18"/>
      <c r="D16465" s="19"/>
      <c r="E16465" s="57"/>
      <c r="H16465" s="18"/>
    </row>
    <row r="16466">
      <c r="C16466" s="18"/>
      <c r="D16466" s="19"/>
      <c r="E16466" s="57"/>
      <c r="H16466" s="18"/>
    </row>
    <row r="16467">
      <c r="C16467" s="18"/>
      <c r="D16467" s="19"/>
      <c r="E16467" s="57"/>
      <c r="H16467" s="18"/>
    </row>
    <row r="16468">
      <c r="C16468" s="18"/>
      <c r="D16468" s="19"/>
      <c r="E16468" s="57"/>
      <c r="H16468" s="18"/>
    </row>
    <row r="16469">
      <c r="C16469" s="18"/>
      <c r="D16469" s="19"/>
      <c r="E16469" s="57"/>
      <c r="H16469" s="18"/>
    </row>
    <row r="16470">
      <c r="C16470" s="18"/>
      <c r="D16470" s="19"/>
      <c r="E16470" s="57"/>
      <c r="H16470" s="18"/>
    </row>
    <row r="16471">
      <c r="C16471" s="18"/>
      <c r="D16471" s="19"/>
      <c r="E16471" s="57"/>
      <c r="H16471" s="18"/>
    </row>
    <row r="16472">
      <c r="C16472" s="18"/>
      <c r="D16472" s="19"/>
      <c r="E16472" s="57"/>
      <c r="H16472" s="18"/>
    </row>
    <row r="16473">
      <c r="C16473" s="18"/>
      <c r="D16473" s="19"/>
      <c r="E16473" s="57"/>
      <c r="H16473" s="18"/>
    </row>
    <row r="16474">
      <c r="C16474" s="18"/>
      <c r="D16474" s="19"/>
      <c r="E16474" s="57"/>
      <c r="H16474" s="18"/>
    </row>
    <row r="16475">
      <c r="C16475" s="18"/>
      <c r="D16475" s="19"/>
      <c r="E16475" s="57"/>
      <c r="H16475" s="18"/>
    </row>
    <row r="16476">
      <c r="C16476" s="18"/>
      <c r="D16476" s="19"/>
      <c r="E16476" s="57"/>
      <c r="H16476" s="18"/>
    </row>
    <row r="16477">
      <c r="C16477" s="18"/>
      <c r="D16477" s="19"/>
      <c r="E16477" s="57"/>
      <c r="H16477" s="18"/>
    </row>
    <row r="16478">
      <c r="C16478" s="18"/>
      <c r="D16478" s="19"/>
      <c r="E16478" s="57"/>
      <c r="H16478" s="18"/>
    </row>
    <row r="16479">
      <c r="C16479" s="18"/>
      <c r="D16479" s="19"/>
      <c r="E16479" s="57"/>
      <c r="H16479" s="18"/>
    </row>
    <row r="16480">
      <c r="C16480" s="18"/>
      <c r="D16480" s="19"/>
      <c r="E16480" s="57"/>
      <c r="H16480" s="18"/>
    </row>
    <row r="16481">
      <c r="C16481" s="18"/>
      <c r="D16481" s="19"/>
      <c r="E16481" s="57"/>
      <c r="H16481" s="18"/>
    </row>
    <row r="16482">
      <c r="C16482" s="18"/>
      <c r="D16482" s="19"/>
      <c r="E16482" s="57"/>
      <c r="H16482" s="18"/>
    </row>
    <row r="16483">
      <c r="C16483" s="18"/>
      <c r="D16483" s="19"/>
      <c r="E16483" s="57"/>
      <c r="H16483" s="18"/>
    </row>
    <row r="16484">
      <c r="C16484" s="18"/>
      <c r="D16484" s="19"/>
      <c r="E16484" s="57"/>
      <c r="H16484" s="18"/>
    </row>
    <row r="16485">
      <c r="C16485" s="18"/>
      <c r="D16485" s="19"/>
      <c r="E16485" s="57"/>
      <c r="H16485" s="18"/>
    </row>
    <row r="16486">
      <c r="C16486" s="18"/>
      <c r="D16486" s="19"/>
      <c r="E16486" s="57"/>
      <c r="H16486" s="18"/>
    </row>
    <row r="16487">
      <c r="C16487" s="18"/>
      <c r="D16487" s="19"/>
      <c r="E16487" s="57"/>
      <c r="H16487" s="18"/>
    </row>
    <row r="16488">
      <c r="C16488" s="18"/>
      <c r="D16488" s="19"/>
      <c r="E16488" s="57"/>
      <c r="H16488" s="18"/>
    </row>
    <row r="16489">
      <c r="C16489" s="18"/>
      <c r="D16489" s="19"/>
      <c r="E16489" s="57"/>
      <c r="H16489" s="18"/>
    </row>
    <row r="16490">
      <c r="C16490" s="18"/>
      <c r="D16490" s="19"/>
      <c r="E16490" s="57"/>
      <c r="H16490" s="18"/>
    </row>
    <row r="16491">
      <c r="C16491" s="18"/>
      <c r="D16491" s="19"/>
      <c r="E16491" s="57"/>
      <c r="H16491" s="18"/>
    </row>
    <row r="16492">
      <c r="C16492" s="18"/>
      <c r="D16492" s="19"/>
      <c r="E16492" s="57"/>
      <c r="H16492" s="18"/>
    </row>
    <row r="16493">
      <c r="C16493" s="18"/>
      <c r="D16493" s="19"/>
      <c r="E16493" s="57"/>
      <c r="H16493" s="18"/>
    </row>
    <row r="16494">
      <c r="C16494" s="18"/>
      <c r="D16494" s="19"/>
      <c r="E16494" s="57"/>
      <c r="H16494" s="18"/>
    </row>
    <row r="16495">
      <c r="C16495" s="18"/>
      <c r="D16495" s="19"/>
      <c r="E16495" s="57"/>
      <c r="H16495" s="18"/>
    </row>
    <row r="16496">
      <c r="C16496" s="18"/>
      <c r="D16496" s="19"/>
      <c r="E16496" s="57"/>
      <c r="H16496" s="18"/>
    </row>
    <row r="16497">
      <c r="C16497" s="18"/>
      <c r="D16497" s="19"/>
      <c r="E16497" s="57"/>
      <c r="H16497" s="18"/>
    </row>
    <row r="16498">
      <c r="C16498" s="18"/>
      <c r="D16498" s="19"/>
      <c r="E16498" s="57"/>
      <c r="H16498" s="18"/>
    </row>
    <row r="16499">
      <c r="C16499" s="18"/>
      <c r="D16499" s="19"/>
      <c r="E16499" s="57"/>
      <c r="H16499" s="18"/>
    </row>
    <row r="16500">
      <c r="C16500" s="18"/>
      <c r="D16500" s="19"/>
      <c r="E16500" s="57"/>
      <c r="H16500" s="18"/>
    </row>
    <row r="16501">
      <c r="C16501" s="18"/>
      <c r="D16501" s="19"/>
      <c r="E16501" s="57"/>
      <c r="H16501" s="18"/>
    </row>
    <row r="16502">
      <c r="C16502" s="18"/>
      <c r="D16502" s="19"/>
      <c r="E16502" s="57"/>
      <c r="H16502" s="18"/>
    </row>
    <row r="16503">
      <c r="C16503" s="18"/>
      <c r="D16503" s="19"/>
      <c r="E16503" s="57"/>
      <c r="H16503" s="18"/>
    </row>
    <row r="16504">
      <c r="C16504" s="18"/>
      <c r="D16504" s="19"/>
      <c r="E16504" s="57"/>
      <c r="H16504" s="18"/>
    </row>
    <row r="16505">
      <c r="C16505" s="18"/>
      <c r="D16505" s="19"/>
      <c r="E16505" s="57"/>
      <c r="H16505" s="18"/>
    </row>
    <row r="16506">
      <c r="C16506" s="18"/>
      <c r="D16506" s="19"/>
      <c r="E16506" s="57"/>
      <c r="H16506" s="18"/>
    </row>
    <row r="16507">
      <c r="C16507" s="18"/>
      <c r="D16507" s="19"/>
      <c r="E16507" s="57"/>
      <c r="H16507" s="18"/>
    </row>
    <row r="16508">
      <c r="C16508" s="18"/>
      <c r="D16508" s="19"/>
      <c r="E16508" s="57"/>
      <c r="H16508" s="18"/>
    </row>
    <row r="16509">
      <c r="C16509" s="18"/>
      <c r="D16509" s="19"/>
      <c r="E16509" s="57"/>
      <c r="H16509" s="18"/>
    </row>
    <row r="16510">
      <c r="C16510" s="18"/>
      <c r="D16510" s="19"/>
      <c r="E16510" s="57"/>
      <c r="H16510" s="18"/>
    </row>
    <row r="16511">
      <c r="C16511" s="18"/>
      <c r="D16511" s="19"/>
      <c r="E16511" s="57"/>
      <c r="H16511" s="18"/>
    </row>
    <row r="16512">
      <c r="C16512" s="18"/>
      <c r="D16512" s="19"/>
      <c r="E16512" s="57"/>
      <c r="H16512" s="18"/>
    </row>
    <row r="16513">
      <c r="C16513" s="18"/>
      <c r="D16513" s="19"/>
      <c r="E16513" s="57"/>
      <c r="H16513" s="18"/>
    </row>
    <row r="16514">
      <c r="C16514" s="18"/>
      <c r="D16514" s="19"/>
      <c r="E16514" s="57"/>
      <c r="H16514" s="18"/>
    </row>
    <row r="16515">
      <c r="C16515" s="18"/>
      <c r="D16515" s="19"/>
      <c r="E16515" s="57"/>
      <c r="H16515" s="18"/>
    </row>
    <row r="16516">
      <c r="C16516" s="18"/>
      <c r="D16516" s="19"/>
      <c r="E16516" s="57"/>
      <c r="H16516" s="18"/>
    </row>
    <row r="16517">
      <c r="C16517" s="18"/>
      <c r="D16517" s="19"/>
      <c r="E16517" s="57"/>
      <c r="H16517" s="18"/>
    </row>
    <row r="16518">
      <c r="C16518" s="18"/>
      <c r="D16518" s="19"/>
      <c r="E16518" s="57"/>
      <c r="H16518" s="18"/>
    </row>
    <row r="16519">
      <c r="C16519" s="18"/>
      <c r="D16519" s="19"/>
      <c r="E16519" s="57"/>
      <c r="H16519" s="18"/>
    </row>
    <row r="16520">
      <c r="C16520" s="18"/>
      <c r="D16520" s="19"/>
      <c r="E16520" s="57"/>
      <c r="H16520" s="18"/>
    </row>
    <row r="16521">
      <c r="C16521" s="18"/>
      <c r="D16521" s="19"/>
      <c r="E16521" s="57"/>
      <c r="H16521" s="18"/>
    </row>
    <row r="16522">
      <c r="C16522" s="18"/>
      <c r="D16522" s="19"/>
      <c r="E16522" s="57"/>
      <c r="H16522" s="18"/>
    </row>
    <row r="16523">
      <c r="C16523" s="18"/>
      <c r="D16523" s="19"/>
      <c r="E16523" s="57"/>
      <c r="H16523" s="18"/>
    </row>
    <row r="16524">
      <c r="C16524" s="18"/>
      <c r="D16524" s="19"/>
      <c r="E16524" s="57"/>
      <c r="H16524" s="18"/>
    </row>
    <row r="16525">
      <c r="C16525" s="18"/>
      <c r="D16525" s="19"/>
      <c r="E16525" s="57"/>
      <c r="H16525" s="18"/>
    </row>
    <row r="16526">
      <c r="C16526" s="18"/>
      <c r="D16526" s="19"/>
      <c r="E16526" s="57"/>
      <c r="H16526" s="18"/>
    </row>
    <row r="16527">
      <c r="C16527" s="18"/>
      <c r="D16527" s="19"/>
      <c r="E16527" s="57"/>
      <c r="H16527" s="18"/>
    </row>
    <row r="16528">
      <c r="C16528" s="18"/>
      <c r="D16528" s="19"/>
      <c r="E16528" s="57"/>
      <c r="H16528" s="18"/>
    </row>
    <row r="16529">
      <c r="C16529" s="18"/>
      <c r="D16529" s="19"/>
      <c r="E16529" s="57"/>
      <c r="H16529" s="18"/>
    </row>
    <row r="16530">
      <c r="C16530" s="18"/>
      <c r="D16530" s="19"/>
      <c r="E16530" s="57"/>
      <c r="H16530" s="18"/>
    </row>
    <row r="16531">
      <c r="C16531" s="18"/>
      <c r="D16531" s="19"/>
      <c r="E16531" s="57"/>
      <c r="H16531" s="18"/>
    </row>
    <row r="16532">
      <c r="C16532" s="18"/>
      <c r="D16532" s="19"/>
      <c r="E16532" s="57"/>
      <c r="H16532" s="18"/>
    </row>
    <row r="16533">
      <c r="C16533" s="18"/>
      <c r="D16533" s="19"/>
      <c r="E16533" s="57"/>
      <c r="H16533" s="18"/>
    </row>
    <row r="16534">
      <c r="C16534" s="18"/>
      <c r="D16534" s="19"/>
      <c r="E16534" s="57"/>
      <c r="H16534" s="18"/>
    </row>
    <row r="16535">
      <c r="C16535" s="18"/>
      <c r="D16535" s="19"/>
      <c r="E16535" s="57"/>
      <c r="H16535" s="18"/>
    </row>
    <row r="16536">
      <c r="C16536" s="18"/>
      <c r="D16536" s="19"/>
      <c r="E16536" s="57"/>
      <c r="H16536" s="18"/>
    </row>
    <row r="16537">
      <c r="C16537" s="18"/>
      <c r="D16537" s="19"/>
      <c r="E16537" s="57"/>
      <c r="H16537" s="18"/>
    </row>
    <row r="16538">
      <c r="C16538" s="18"/>
      <c r="D16538" s="19"/>
      <c r="E16538" s="57"/>
      <c r="H16538" s="18"/>
    </row>
    <row r="16539">
      <c r="C16539" s="18"/>
      <c r="D16539" s="19"/>
      <c r="E16539" s="57"/>
      <c r="H16539" s="18"/>
    </row>
    <row r="16540">
      <c r="C16540" s="18"/>
      <c r="D16540" s="19"/>
      <c r="E16540" s="57"/>
      <c r="H16540" s="18"/>
    </row>
    <row r="16541">
      <c r="C16541" s="18"/>
      <c r="D16541" s="19"/>
      <c r="E16541" s="57"/>
      <c r="H16541" s="18"/>
    </row>
    <row r="16542">
      <c r="C16542" s="18"/>
      <c r="D16542" s="19"/>
      <c r="E16542" s="57"/>
      <c r="H16542" s="18"/>
    </row>
    <row r="16543">
      <c r="C16543" s="18"/>
      <c r="D16543" s="19"/>
      <c r="E16543" s="57"/>
      <c r="H16543" s="18"/>
    </row>
    <row r="16544">
      <c r="C16544" s="18"/>
      <c r="D16544" s="19"/>
      <c r="E16544" s="57"/>
      <c r="H16544" s="18"/>
    </row>
    <row r="16545">
      <c r="C16545" s="18"/>
      <c r="D16545" s="19"/>
      <c r="E16545" s="57"/>
      <c r="H16545" s="18"/>
    </row>
    <row r="16546">
      <c r="C16546" s="18"/>
      <c r="D16546" s="19"/>
      <c r="E16546" s="57"/>
      <c r="H16546" s="18"/>
    </row>
    <row r="16547">
      <c r="C16547" s="18"/>
      <c r="D16547" s="19"/>
      <c r="E16547" s="57"/>
      <c r="H16547" s="18"/>
    </row>
    <row r="16548">
      <c r="C16548" s="18"/>
      <c r="D16548" s="19"/>
      <c r="E16548" s="57"/>
      <c r="H16548" s="18"/>
    </row>
    <row r="16549">
      <c r="C16549" s="18"/>
      <c r="D16549" s="19"/>
      <c r="E16549" s="57"/>
      <c r="H16549" s="18"/>
    </row>
    <row r="16550">
      <c r="C16550" s="18"/>
      <c r="D16550" s="19"/>
      <c r="E16550" s="57"/>
      <c r="H16550" s="18"/>
    </row>
    <row r="16551">
      <c r="C16551" s="18"/>
      <c r="D16551" s="19"/>
      <c r="E16551" s="57"/>
      <c r="H16551" s="18"/>
    </row>
    <row r="16552">
      <c r="C16552" s="18"/>
      <c r="D16552" s="19"/>
      <c r="E16552" s="57"/>
      <c r="H16552" s="18"/>
    </row>
    <row r="16553">
      <c r="C16553" s="18"/>
      <c r="D16553" s="19"/>
      <c r="E16553" s="57"/>
      <c r="H16553" s="18"/>
    </row>
    <row r="16554">
      <c r="C16554" s="18"/>
      <c r="D16554" s="19"/>
      <c r="E16554" s="57"/>
      <c r="H16554" s="18"/>
    </row>
    <row r="16555">
      <c r="C16555" s="18"/>
      <c r="D16555" s="19"/>
      <c r="E16555" s="57"/>
      <c r="H16555" s="18"/>
    </row>
    <row r="16556">
      <c r="C16556" s="18"/>
      <c r="D16556" s="19"/>
      <c r="E16556" s="57"/>
      <c r="H16556" s="18"/>
    </row>
    <row r="16557">
      <c r="C16557" s="18"/>
      <c r="D16557" s="19"/>
      <c r="E16557" s="57"/>
      <c r="H16557" s="18"/>
    </row>
    <row r="16558">
      <c r="C16558" s="18"/>
      <c r="D16558" s="19"/>
      <c r="E16558" s="57"/>
      <c r="H16558" s="18"/>
    </row>
    <row r="16559">
      <c r="C16559" s="18"/>
      <c r="D16559" s="19"/>
      <c r="E16559" s="57"/>
      <c r="H16559" s="18"/>
    </row>
    <row r="16560">
      <c r="C16560" s="18"/>
      <c r="D16560" s="19"/>
      <c r="E16560" s="57"/>
      <c r="H16560" s="18"/>
    </row>
    <row r="16561">
      <c r="C16561" s="18"/>
      <c r="D16561" s="19"/>
      <c r="E16561" s="57"/>
      <c r="H16561" s="18"/>
    </row>
    <row r="16562">
      <c r="C16562" s="18"/>
      <c r="D16562" s="19"/>
      <c r="E16562" s="57"/>
      <c r="H16562" s="18"/>
    </row>
    <row r="16563">
      <c r="C16563" s="18"/>
      <c r="D16563" s="19"/>
      <c r="E16563" s="57"/>
      <c r="H16563" s="18"/>
    </row>
    <row r="16564">
      <c r="C16564" s="18"/>
      <c r="D16564" s="19"/>
      <c r="E16564" s="57"/>
      <c r="H16564" s="18"/>
    </row>
    <row r="16565">
      <c r="C16565" s="18"/>
      <c r="D16565" s="19"/>
      <c r="E16565" s="57"/>
      <c r="H16565" s="18"/>
    </row>
    <row r="16566">
      <c r="C16566" s="18"/>
      <c r="D16566" s="19"/>
      <c r="E16566" s="57"/>
      <c r="H16566" s="18"/>
    </row>
    <row r="16567">
      <c r="C16567" s="18"/>
      <c r="D16567" s="19"/>
      <c r="E16567" s="57"/>
      <c r="H16567" s="18"/>
    </row>
    <row r="16568">
      <c r="C16568" s="18"/>
      <c r="D16568" s="19"/>
      <c r="E16568" s="57"/>
      <c r="H16568" s="18"/>
    </row>
    <row r="16569">
      <c r="C16569" s="18"/>
      <c r="D16569" s="19"/>
      <c r="E16569" s="57"/>
      <c r="H16569" s="18"/>
    </row>
    <row r="16570">
      <c r="C16570" s="18"/>
      <c r="D16570" s="19"/>
      <c r="E16570" s="57"/>
      <c r="H16570" s="18"/>
    </row>
    <row r="16571">
      <c r="C16571" s="18"/>
      <c r="D16571" s="19"/>
      <c r="E16571" s="57"/>
      <c r="H16571" s="18"/>
    </row>
    <row r="16572">
      <c r="C16572" s="18"/>
      <c r="D16572" s="19"/>
      <c r="E16572" s="57"/>
      <c r="H16572" s="18"/>
    </row>
    <row r="16573">
      <c r="C16573" s="18"/>
      <c r="D16573" s="19"/>
      <c r="E16573" s="57"/>
      <c r="H16573" s="18"/>
    </row>
    <row r="16574">
      <c r="C16574" s="18"/>
      <c r="D16574" s="19"/>
      <c r="E16574" s="57"/>
      <c r="H16574" s="18"/>
    </row>
    <row r="16575">
      <c r="C16575" s="18"/>
      <c r="D16575" s="19"/>
      <c r="E16575" s="57"/>
      <c r="H16575" s="18"/>
    </row>
    <row r="16576">
      <c r="C16576" s="18"/>
      <c r="D16576" s="19"/>
      <c r="E16576" s="57"/>
      <c r="H16576" s="18"/>
    </row>
    <row r="16577">
      <c r="C16577" s="18"/>
      <c r="D16577" s="19"/>
      <c r="E16577" s="57"/>
      <c r="H16577" s="18"/>
    </row>
    <row r="16578">
      <c r="C16578" s="18"/>
      <c r="D16578" s="19"/>
      <c r="E16578" s="57"/>
      <c r="H16578" s="18"/>
    </row>
    <row r="16579">
      <c r="C16579" s="18"/>
      <c r="D16579" s="19"/>
      <c r="E16579" s="57"/>
      <c r="H16579" s="18"/>
    </row>
    <row r="16580">
      <c r="C16580" s="18"/>
      <c r="D16580" s="19"/>
      <c r="E16580" s="57"/>
      <c r="H16580" s="18"/>
    </row>
    <row r="16581">
      <c r="C16581" s="18"/>
      <c r="D16581" s="19"/>
      <c r="E16581" s="57"/>
      <c r="H16581" s="18"/>
    </row>
    <row r="16582">
      <c r="C16582" s="18"/>
      <c r="D16582" s="19"/>
      <c r="E16582" s="57"/>
      <c r="H16582" s="18"/>
    </row>
    <row r="16583">
      <c r="C16583" s="18"/>
      <c r="D16583" s="19"/>
      <c r="E16583" s="57"/>
      <c r="H16583" s="18"/>
    </row>
    <row r="16584">
      <c r="C16584" s="18"/>
      <c r="D16584" s="19"/>
      <c r="E16584" s="57"/>
      <c r="H16584" s="18"/>
    </row>
    <row r="16585">
      <c r="C16585" s="18"/>
      <c r="D16585" s="19"/>
      <c r="E16585" s="57"/>
      <c r="H16585" s="18"/>
    </row>
    <row r="16586">
      <c r="C16586" s="18"/>
      <c r="D16586" s="19"/>
      <c r="E16586" s="57"/>
      <c r="H16586" s="18"/>
    </row>
    <row r="16587">
      <c r="C16587" s="18"/>
      <c r="D16587" s="19"/>
      <c r="E16587" s="57"/>
      <c r="H16587" s="18"/>
    </row>
    <row r="16588">
      <c r="C16588" s="18"/>
      <c r="D16588" s="19"/>
      <c r="E16588" s="57"/>
      <c r="H16588" s="18"/>
    </row>
    <row r="16589">
      <c r="C16589" s="18"/>
      <c r="D16589" s="19"/>
      <c r="E16589" s="57"/>
      <c r="H16589" s="18"/>
    </row>
    <row r="16590">
      <c r="C16590" s="18"/>
      <c r="D16590" s="19"/>
      <c r="E16590" s="57"/>
      <c r="H16590" s="18"/>
    </row>
    <row r="16591">
      <c r="C16591" s="18"/>
      <c r="D16591" s="19"/>
      <c r="E16591" s="57"/>
      <c r="H16591" s="18"/>
    </row>
    <row r="16592">
      <c r="C16592" s="18"/>
      <c r="D16592" s="19"/>
      <c r="E16592" s="57"/>
      <c r="H16592" s="18"/>
    </row>
    <row r="16593">
      <c r="C16593" s="18"/>
      <c r="D16593" s="19"/>
      <c r="E16593" s="57"/>
      <c r="H16593" s="18"/>
    </row>
    <row r="16594">
      <c r="C16594" s="18"/>
      <c r="D16594" s="19"/>
      <c r="E16594" s="57"/>
      <c r="H16594" s="18"/>
    </row>
    <row r="16595">
      <c r="C16595" s="18"/>
      <c r="D16595" s="19"/>
      <c r="E16595" s="57"/>
      <c r="H16595" s="18"/>
    </row>
    <row r="16596">
      <c r="C16596" s="18"/>
      <c r="D16596" s="19"/>
      <c r="E16596" s="57"/>
      <c r="H16596" s="18"/>
    </row>
    <row r="16597">
      <c r="C16597" s="18"/>
      <c r="D16597" s="19"/>
      <c r="E16597" s="57"/>
      <c r="H16597" s="18"/>
    </row>
    <row r="16598">
      <c r="C16598" s="18"/>
      <c r="D16598" s="19"/>
      <c r="E16598" s="57"/>
      <c r="H16598" s="18"/>
    </row>
    <row r="16599">
      <c r="C16599" s="18"/>
      <c r="D16599" s="19"/>
      <c r="E16599" s="57"/>
      <c r="H16599" s="18"/>
    </row>
    <row r="16600">
      <c r="C16600" s="18"/>
      <c r="D16600" s="19"/>
      <c r="E16600" s="57"/>
      <c r="H16600" s="18"/>
    </row>
    <row r="16601">
      <c r="C16601" s="18"/>
      <c r="D16601" s="19"/>
      <c r="E16601" s="57"/>
      <c r="H16601" s="18"/>
    </row>
    <row r="16602">
      <c r="C16602" s="18"/>
      <c r="D16602" s="19"/>
      <c r="E16602" s="57"/>
      <c r="H16602" s="18"/>
    </row>
    <row r="16603">
      <c r="C16603" s="18"/>
      <c r="D16603" s="19"/>
      <c r="E16603" s="57"/>
      <c r="H16603" s="18"/>
    </row>
    <row r="16604">
      <c r="C16604" s="18"/>
      <c r="D16604" s="19"/>
      <c r="E16604" s="57"/>
      <c r="H16604" s="18"/>
    </row>
    <row r="16605">
      <c r="C16605" s="18"/>
      <c r="D16605" s="19"/>
      <c r="E16605" s="57"/>
      <c r="H16605" s="18"/>
    </row>
    <row r="16606">
      <c r="C16606" s="18"/>
      <c r="D16606" s="19"/>
      <c r="E16606" s="57"/>
      <c r="H16606" s="18"/>
    </row>
    <row r="16607">
      <c r="C16607" s="18"/>
      <c r="D16607" s="19"/>
      <c r="E16607" s="57"/>
      <c r="H16607" s="18"/>
    </row>
    <row r="16608">
      <c r="C16608" s="18"/>
      <c r="D16608" s="19"/>
      <c r="E16608" s="57"/>
      <c r="H16608" s="18"/>
    </row>
    <row r="16609">
      <c r="C16609" s="18"/>
      <c r="D16609" s="19"/>
      <c r="E16609" s="57"/>
      <c r="H16609" s="18"/>
    </row>
    <row r="16610">
      <c r="C16610" s="18"/>
      <c r="D16610" s="19"/>
      <c r="E16610" s="57"/>
      <c r="H16610" s="18"/>
    </row>
    <row r="16611">
      <c r="C16611" s="18"/>
      <c r="D16611" s="19"/>
      <c r="E16611" s="57"/>
      <c r="H16611" s="18"/>
    </row>
    <row r="16612">
      <c r="C16612" s="18"/>
      <c r="D16612" s="19"/>
      <c r="E16612" s="57"/>
      <c r="H16612" s="18"/>
    </row>
    <row r="16613">
      <c r="C16613" s="18"/>
      <c r="D16613" s="19"/>
      <c r="E16613" s="57"/>
      <c r="H16613" s="18"/>
    </row>
    <row r="16614">
      <c r="C16614" s="18"/>
      <c r="D16614" s="19"/>
      <c r="E16614" s="57"/>
      <c r="H16614" s="18"/>
    </row>
    <row r="16615">
      <c r="C16615" s="18"/>
      <c r="D16615" s="19"/>
      <c r="E16615" s="57"/>
      <c r="H16615" s="18"/>
    </row>
    <row r="16616">
      <c r="C16616" s="18"/>
      <c r="D16616" s="19"/>
      <c r="E16616" s="57"/>
      <c r="H16616" s="18"/>
    </row>
    <row r="16617">
      <c r="C16617" s="18"/>
      <c r="D16617" s="19"/>
      <c r="E16617" s="57"/>
      <c r="H16617" s="18"/>
    </row>
    <row r="16618">
      <c r="C16618" s="18"/>
      <c r="D16618" s="19"/>
      <c r="E16618" s="57"/>
      <c r="H16618" s="18"/>
    </row>
    <row r="16619">
      <c r="C16619" s="18"/>
      <c r="D16619" s="19"/>
      <c r="E16619" s="57"/>
      <c r="H16619" s="18"/>
    </row>
    <row r="16620">
      <c r="C16620" s="18"/>
      <c r="D16620" s="19"/>
      <c r="E16620" s="57"/>
      <c r="H16620" s="18"/>
    </row>
    <row r="16621">
      <c r="C16621" s="18"/>
      <c r="D16621" s="19"/>
      <c r="E16621" s="57"/>
      <c r="H16621" s="18"/>
    </row>
    <row r="16622">
      <c r="C16622" s="18"/>
      <c r="D16622" s="19"/>
      <c r="E16622" s="57"/>
      <c r="H16622" s="18"/>
    </row>
    <row r="16623">
      <c r="C16623" s="18"/>
      <c r="D16623" s="19"/>
      <c r="E16623" s="57"/>
      <c r="H16623" s="18"/>
    </row>
    <row r="16624">
      <c r="C16624" s="18"/>
      <c r="D16624" s="19"/>
      <c r="E16624" s="57"/>
      <c r="H16624" s="18"/>
    </row>
    <row r="16625">
      <c r="C16625" s="18"/>
      <c r="D16625" s="19"/>
      <c r="E16625" s="57"/>
      <c r="H16625" s="18"/>
    </row>
    <row r="16626">
      <c r="C16626" s="18"/>
      <c r="D16626" s="19"/>
      <c r="E16626" s="57"/>
      <c r="H16626" s="18"/>
    </row>
    <row r="16627">
      <c r="C16627" s="18"/>
      <c r="D16627" s="19"/>
      <c r="E16627" s="57"/>
      <c r="H16627" s="18"/>
    </row>
    <row r="16628">
      <c r="C16628" s="18"/>
      <c r="D16628" s="19"/>
      <c r="E16628" s="57"/>
      <c r="H16628" s="18"/>
    </row>
    <row r="16629">
      <c r="C16629" s="18"/>
      <c r="D16629" s="19"/>
      <c r="E16629" s="57"/>
      <c r="H16629" s="18"/>
    </row>
    <row r="16630">
      <c r="C16630" s="18"/>
      <c r="D16630" s="19"/>
      <c r="E16630" s="57"/>
      <c r="H16630" s="18"/>
    </row>
    <row r="16631">
      <c r="C16631" s="18"/>
      <c r="D16631" s="19"/>
      <c r="E16631" s="57"/>
      <c r="H16631" s="18"/>
    </row>
    <row r="16632">
      <c r="C16632" s="18"/>
      <c r="D16632" s="19"/>
      <c r="E16632" s="57"/>
      <c r="H16632" s="18"/>
    </row>
    <row r="16633">
      <c r="C16633" s="18"/>
      <c r="D16633" s="19"/>
      <c r="E16633" s="57"/>
      <c r="H16633" s="18"/>
    </row>
    <row r="16634">
      <c r="C16634" s="18"/>
      <c r="D16634" s="19"/>
      <c r="E16634" s="57"/>
      <c r="H16634" s="18"/>
    </row>
    <row r="16635">
      <c r="C16635" s="18"/>
      <c r="D16635" s="19"/>
      <c r="E16635" s="57"/>
      <c r="H16635" s="18"/>
    </row>
    <row r="16636">
      <c r="C16636" s="18"/>
      <c r="D16636" s="19"/>
      <c r="E16636" s="57"/>
      <c r="H16636" s="18"/>
    </row>
    <row r="16637">
      <c r="C16637" s="18"/>
      <c r="D16637" s="19"/>
      <c r="E16637" s="57"/>
      <c r="H16637" s="18"/>
    </row>
    <row r="16638">
      <c r="C16638" s="18"/>
      <c r="D16638" s="19"/>
      <c r="E16638" s="57"/>
      <c r="H16638" s="18"/>
    </row>
    <row r="16639">
      <c r="C16639" s="18"/>
      <c r="D16639" s="19"/>
      <c r="E16639" s="57"/>
      <c r="H16639" s="18"/>
    </row>
    <row r="16640">
      <c r="C16640" s="18"/>
      <c r="D16640" s="19"/>
      <c r="E16640" s="57"/>
      <c r="H16640" s="18"/>
    </row>
    <row r="16641">
      <c r="C16641" s="18"/>
      <c r="D16641" s="19"/>
      <c r="E16641" s="57"/>
      <c r="H16641" s="18"/>
    </row>
    <row r="16642">
      <c r="C16642" s="18"/>
      <c r="D16642" s="19"/>
      <c r="E16642" s="57"/>
      <c r="H16642" s="18"/>
    </row>
    <row r="16643">
      <c r="C16643" s="18"/>
      <c r="D16643" s="19"/>
      <c r="E16643" s="57"/>
      <c r="H16643" s="18"/>
    </row>
    <row r="16644">
      <c r="C16644" s="18"/>
      <c r="D16644" s="19"/>
      <c r="E16644" s="57"/>
      <c r="H16644" s="18"/>
    </row>
    <row r="16645">
      <c r="C16645" s="18"/>
      <c r="D16645" s="19"/>
      <c r="E16645" s="57"/>
      <c r="H16645" s="18"/>
    </row>
    <row r="16646">
      <c r="C16646" s="18"/>
      <c r="D16646" s="19"/>
      <c r="E16646" s="57"/>
      <c r="H16646" s="18"/>
    </row>
    <row r="16647">
      <c r="C16647" s="18"/>
      <c r="D16647" s="19"/>
      <c r="E16647" s="57"/>
      <c r="H16647" s="18"/>
    </row>
    <row r="16648">
      <c r="C16648" s="18"/>
      <c r="D16648" s="19"/>
      <c r="E16648" s="57"/>
      <c r="H16648" s="18"/>
    </row>
    <row r="16649">
      <c r="C16649" s="18"/>
      <c r="D16649" s="19"/>
      <c r="E16649" s="57"/>
      <c r="H16649" s="18"/>
    </row>
    <row r="16650">
      <c r="C16650" s="18"/>
      <c r="D16650" s="19"/>
      <c r="E16650" s="57"/>
      <c r="H16650" s="18"/>
    </row>
    <row r="16651">
      <c r="C16651" s="18"/>
      <c r="D16651" s="19"/>
      <c r="E16651" s="57"/>
      <c r="H16651" s="18"/>
    </row>
    <row r="16652">
      <c r="C16652" s="18"/>
      <c r="D16652" s="19"/>
      <c r="E16652" s="57"/>
      <c r="H16652" s="18"/>
    </row>
    <row r="16653">
      <c r="C16653" s="18"/>
      <c r="D16653" s="19"/>
      <c r="E16653" s="57"/>
      <c r="H16653" s="18"/>
    </row>
    <row r="16654">
      <c r="C16654" s="18"/>
      <c r="D16654" s="19"/>
      <c r="E16654" s="57"/>
      <c r="H16654" s="18"/>
    </row>
    <row r="16655">
      <c r="C16655" s="18"/>
      <c r="D16655" s="19"/>
      <c r="E16655" s="57"/>
      <c r="H16655" s="18"/>
    </row>
    <row r="16656">
      <c r="C16656" s="18"/>
      <c r="D16656" s="19"/>
      <c r="E16656" s="57"/>
      <c r="H16656" s="18"/>
    </row>
    <row r="16657">
      <c r="C16657" s="18"/>
      <c r="D16657" s="19"/>
      <c r="E16657" s="57"/>
      <c r="H16657" s="18"/>
    </row>
    <row r="16658">
      <c r="C16658" s="18"/>
      <c r="D16658" s="19"/>
      <c r="E16658" s="57"/>
      <c r="H16658" s="18"/>
    </row>
    <row r="16659">
      <c r="C16659" s="18"/>
      <c r="D16659" s="19"/>
      <c r="E16659" s="57"/>
      <c r="H16659" s="18"/>
    </row>
    <row r="16660">
      <c r="C16660" s="18"/>
      <c r="D16660" s="19"/>
      <c r="E16660" s="57"/>
      <c r="H16660" s="18"/>
    </row>
    <row r="16661">
      <c r="C16661" s="18"/>
      <c r="D16661" s="19"/>
      <c r="E16661" s="57"/>
      <c r="H16661" s="18"/>
    </row>
    <row r="16662">
      <c r="C16662" s="18"/>
      <c r="D16662" s="19"/>
      <c r="E16662" s="57"/>
      <c r="H16662" s="18"/>
    </row>
    <row r="16663">
      <c r="C16663" s="18"/>
      <c r="D16663" s="19"/>
      <c r="E16663" s="57"/>
      <c r="H16663" s="18"/>
    </row>
    <row r="16664">
      <c r="C16664" s="18"/>
      <c r="D16664" s="19"/>
      <c r="E16664" s="57"/>
      <c r="H16664" s="18"/>
    </row>
    <row r="16665">
      <c r="C16665" s="18"/>
      <c r="D16665" s="19"/>
      <c r="E16665" s="57"/>
      <c r="H16665" s="18"/>
    </row>
    <row r="16666">
      <c r="C16666" s="18"/>
      <c r="D16666" s="19"/>
      <c r="E16666" s="57"/>
      <c r="H16666" s="18"/>
    </row>
    <row r="16667">
      <c r="C16667" s="18"/>
      <c r="D16667" s="19"/>
      <c r="E16667" s="57"/>
      <c r="H16667" s="18"/>
    </row>
    <row r="16668">
      <c r="C16668" s="18"/>
      <c r="D16668" s="19"/>
      <c r="E16668" s="57"/>
      <c r="H16668" s="18"/>
    </row>
    <row r="16669">
      <c r="C16669" s="18"/>
      <c r="D16669" s="19"/>
      <c r="E16669" s="57"/>
      <c r="H16669" s="18"/>
    </row>
    <row r="16670">
      <c r="C16670" s="18"/>
      <c r="D16670" s="19"/>
      <c r="E16670" s="57"/>
      <c r="H16670" s="18"/>
    </row>
    <row r="16671">
      <c r="C16671" s="18"/>
      <c r="D16671" s="19"/>
      <c r="E16671" s="57"/>
      <c r="H16671" s="18"/>
    </row>
    <row r="16672">
      <c r="C16672" s="18"/>
      <c r="D16672" s="19"/>
      <c r="E16672" s="57"/>
      <c r="H16672" s="18"/>
    </row>
    <row r="16673">
      <c r="C16673" s="18"/>
      <c r="D16673" s="19"/>
      <c r="E16673" s="57"/>
      <c r="H16673" s="18"/>
    </row>
    <row r="16674">
      <c r="C16674" s="18"/>
      <c r="D16674" s="19"/>
      <c r="E16674" s="57"/>
      <c r="H16674" s="18"/>
    </row>
    <row r="16675">
      <c r="C16675" s="18"/>
      <c r="D16675" s="19"/>
      <c r="E16675" s="57"/>
      <c r="H16675" s="18"/>
    </row>
    <row r="16676">
      <c r="C16676" s="18"/>
      <c r="D16676" s="19"/>
      <c r="E16676" s="57"/>
      <c r="H16676" s="18"/>
    </row>
    <row r="16677">
      <c r="C16677" s="18"/>
      <c r="D16677" s="19"/>
      <c r="E16677" s="57"/>
      <c r="H16677" s="18"/>
    </row>
    <row r="16678">
      <c r="C16678" s="18"/>
      <c r="D16678" s="19"/>
      <c r="E16678" s="57"/>
      <c r="H16678" s="18"/>
    </row>
    <row r="16679">
      <c r="C16679" s="18"/>
      <c r="D16679" s="19"/>
      <c r="E16679" s="57"/>
      <c r="H16679" s="18"/>
    </row>
    <row r="16680">
      <c r="C16680" s="18"/>
      <c r="D16680" s="19"/>
      <c r="E16680" s="57"/>
      <c r="H16680" s="18"/>
    </row>
    <row r="16681">
      <c r="C16681" s="18"/>
      <c r="D16681" s="19"/>
      <c r="E16681" s="57"/>
      <c r="H16681" s="18"/>
    </row>
    <row r="16682">
      <c r="C16682" s="18"/>
      <c r="D16682" s="19"/>
      <c r="E16682" s="57"/>
      <c r="H16682" s="18"/>
    </row>
    <row r="16683">
      <c r="C16683" s="18"/>
      <c r="D16683" s="19"/>
      <c r="E16683" s="57"/>
      <c r="H16683" s="18"/>
    </row>
    <row r="16684">
      <c r="C16684" s="18"/>
      <c r="D16684" s="19"/>
      <c r="E16684" s="57"/>
      <c r="H16684" s="18"/>
    </row>
    <row r="16685">
      <c r="C16685" s="18"/>
      <c r="D16685" s="19"/>
      <c r="E16685" s="57"/>
      <c r="H16685" s="18"/>
    </row>
    <row r="16686">
      <c r="C16686" s="18"/>
      <c r="D16686" s="19"/>
      <c r="E16686" s="57"/>
      <c r="H16686" s="18"/>
    </row>
    <row r="16687">
      <c r="C16687" s="18"/>
      <c r="D16687" s="19"/>
      <c r="E16687" s="57"/>
      <c r="H16687" s="18"/>
    </row>
    <row r="16688">
      <c r="C16688" s="18"/>
      <c r="D16688" s="19"/>
      <c r="E16688" s="57"/>
      <c r="H16688" s="18"/>
    </row>
    <row r="16689">
      <c r="C16689" s="18"/>
      <c r="D16689" s="19"/>
      <c r="E16689" s="57"/>
      <c r="H16689" s="18"/>
    </row>
    <row r="16690">
      <c r="C16690" s="18"/>
      <c r="D16690" s="19"/>
      <c r="E16690" s="57"/>
      <c r="H16690" s="18"/>
    </row>
    <row r="16691">
      <c r="C16691" s="18"/>
      <c r="D16691" s="19"/>
      <c r="E16691" s="57"/>
      <c r="H16691" s="18"/>
    </row>
    <row r="16692">
      <c r="C16692" s="18"/>
      <c r="D16692" s="19"/>
      <c r="E16692" s="57"/>
      <c r="H16692" s="18"/>
    </row>
    <row r="16693">
      <c r="C16693" s="18"/>
      <c r="D16693" s="19"/>
      <c r="E16693" s="57"/>
      <c r="H16693" s="18"/>
    </row>
    <row r="16694">
      <c r="C16694" s="18"/>
      <c r="D16694" s="19"/>
      <c r="E16694" s="57"/>
      <c r="H16694" s="18"/>
    </row>
    <row r="16695">
      <c r="C16695" s="18"/>
      <c r="D16695" s="19"/>
      <c r="E16695" s="57"/>
      <c r="H16695" s="18"/>
    </row>
    <row r="16696">
      <c r="C16696" s="18"/>
      <c r="D16696" s="19"/>
      <c r="E16696" s="57"/>
      <c r="H16696" s="18"/>
    </row>
    <row r="16697">
      <c r="C16697" s="18"/>
      <c r="D16697" s="19"/>
      <c r="E16697" s="57"/>
      <c r="H16697" s="18"/>
    </row>
    <row r="16698">
      <c r="C16698" s="18"/>
      <c r="D16698" s="19"/>
      <c r="E16698" s="57"/>
      <c r="H16698" s="18"/>
    </row>
    <row r="16699">
      <c r="C16699" s="18"/>
      <c r="D16699" s="19"/>
      <c r="E16699" s="57"/>
      <c r="H16699" s="18"/>
    </row>
    <row r="16700">
      <c r="C16700" s="18"/>
      <c r="D16700" s="19"/>
      <c r="E16700" s="57"/>
      <c r="H16700" s="18"/>
    </row>
    <row r="16701">
      <c r="C16701" s="18"/>
      <c r="D16701" s="19"/>
      <c r="E16701" s="57"/>
      <c r="H16701" s="18"/>
    </row>
    <row r="16702">
      <c r="C16702" s="18"/>
      <c r="D16702" s="19"/>
      <c r="E16702" s="57"/>
      <c r="H16702" s="18"/>
    </row>
    <row r="16703">
      <c r="C16703" s="18"/>
      <c r="D16703" s="19"/>
      <c r="E16703" s="57"/>
      <c r="H16703" s="18"/>
    </row>
    <row r="16704">
      <c r="C16704" s="18"/>
      <c r="D16704" s="19"/>
      <c r="E16704" s="57"/>
      <c r="H16704" s="18"/>
    </row>
    <row r="16705">
      <c r="C16705" s="18"/>
      <c r="D16705" s="19"/>
      <c r="E16705" s="57"/>
      <c r="H16705" s="18"/>
    </row>
    <row r="16706">
      <c r="C16706" s="18"/>
      <c r="D16706" s="19"/>
      <c r="E16706" s="57"/>
      <c r="H16706" s="18"/>
    </row>
    <row r="16707">
      <c r="C16707" s="18"/>
      <c r="D16707" s="19"/>
      <c r="E16707" s="57"/>
      <c r="H16707" s="18"/>
    </row>
    <row r="16708">
      <c r="C16708" s="18"/>
      <c r="D16708" s="19"/>
      <c r="E16708" s="57"/>
      <c r="H16708" s="18"/>
    </row>
    <row r="16709">
      <c r="C16709" s="18"/>
      <c r="D16709" s="19"/>
      <c r="E16709" s="57"/>
      <c r="H16709" s="18"/>
    </row>
    <row r="16710">
      <c r="C16710" s="18"/>
      <c r="D16710" s="19"/>
      <c r="E16710" s="57"/>
      <c r="H16710" s="18"/>
    </row>
    <row r="16711">
      <c r="C16711" s="18"/>
      <c r="D16711" s="19"/>
      <c r="E16711" s="57"/>
      <c r="H16711" s="18"/>
    </row>
    <row r="16712">
      <c r="C16712" s="18"/>
      <c r="D16712" s="19"/>
      <c r="E16712" s="57"/>
      <c r="H16712" s="18"/>
    </row>
    <row r="16713">
      <c r="C16713" s="18"/>
      <c r="D16713" s="19"/>
      <c r="E16713" s="57"/>
      <c r="H16713" s="18"/>
    </row>
    <row r="16714">
      <c r="C16714" s="18"/>
      <c r="D16714" s="19"/>
      <c r="E16714" s="57"/>
      <c r="H16714" s="18"/>
    </row>
    <row r="16715">
      <c r="C16715" s="18"/>
      <c r="D16715" s="19"/>
      <c r="E16715" s="57"/>
      <c r="H16715" s="18"/>
    </row>
    <row r="16716">
      <c r="C16716" s="18"/>
      <c r="D16716" s="19"/>
      <c r="E16716" s="57"/>
      <c r="H16716" s="18"/>
    </row>
    <row r="16717">
      <c r="C16717" s="18"/>
      <c r="D16717" s="19"/>
      <c r="E16717" s="57"/>
      <c r="H16717" s="18"/>
    </row>
    <row r="16718">
      <c r="C16718" s="18"/>
      <c r="D16718" s="19"/>
      <c r="E16718" s="57"/>
      <c r="H16718" s="18"/>
    </row>
    <row r="16719">
      <c r="C16719" s="18"/>
      <c r="D16719" s="19"/>
      <c r="E16719" s="57"/>
      <c r="H16719" s="18"/>
    </row>
    <row r="16720">
      <c r="C16720" s="18"/>
      <c r="D16720" s="19"/>
      <c r="E16720" s="57"/>
      <c r="H16720" s="18"/>
    </row>
    <row r="16721">
      <c r="C16721" s="18"/>
      <c r="D16721" s="19"/>
      <c r="E16721" s="57"/>
      <c r="H16721" s="18"/>
    </row>
    <row r="16722">
      <c r="C16722" s="18"/>
      <c r="D16722" s="19"/>
      <c r="E16722" s="57"/>
      <c r="H16722" s="18"/>
    </row>
    <row r="16723">
      <c r="C16723" s="18"/>
      <c r="D16723" s="19"/>
      <c r="E16723" s="57"/>
      <c r="H16723" s="18"/>
    </row>
    <row r="16724">
      <c r="C16724" s="18"/>
      <c r="D16724" s="19"/>
      <c r="E16724" s="57"/>
      <c r="H16724" s="18"/>
    </row>
    <row r="16725">
      <c r="C16725" s="18"/>
      <c r="D16725" s="19"/>
      <c r="E16725" s="57"/>
      <c r="H16725" s="18"/>
    </row>
    <row r="16726">
      <c r="C16726" s="18"/>
      <c r="D16726" s="19"/>
      <c r="E16726" s="57"/>
      <c r="H16726" s="18"/>
    </row>
    <row r="16727">
      <c r="C16727" s="18"/>
      <c r="D16727" s="19"/>
      <c r="E16727" s="57"/>
      <c r="H16727" s="18"/>
    </row>
    <row r="16728">
      <c r="C16728" s="18"/>
      <c r="D16728" s="19"/>
      <c r="E16728" s="57"/>
      <c r="H16728" s="18"/>
    </row>
    <row r="16729">
      <c r="C16729" s="18"/>
      <c r="D16729" s="19"/>
      <c r="E16729" s="57"/>
      <c r="H16729" s="18"/>
    </row>
    <row r="16730">
      <c r="C16730" s="18"/>
      <c r="D16730" s="19"/>
      <c r="E16730" s="57"/>
      <c r="H16730" s="18"/>
    </row>
    <row r="16731">
      <c r="C16731" s="18"/>
      <c r="D16731" s="19"/>
      <c r="E16731" s="57"/>
      <c r="H16731" s="18"/>
    </row>
    <row r="16732">
      <c r="C16732" s="18"/>
      <c r="D16732" s="19"/>
      <c r="E16732" s="57"/>
      <c r="H16732" s="18"/>
    </row>
    <row r="16733">
      <c r="C16733" s="18"/>
      <c r="D16733" s="19"/>
      <c r="E16733" s="57"/>
      <c r="H16733" s="18"/>
    </row>
    <row r="16734">
      <c r="C16734" s="18"/>
      <c r="D16734" s="19"/>
      <c r="E16734" s="57"/>
      <c r="H16734" s="18"/>
    </row>
    <row r="16735">
      <c r="C16735" s="18"/>
      <c r="D16735" s="19"/>
      <c r="E16735" s="57"/>
      <c r="H16735" s="18"/>
    </row>
    <row r="16736">
      <c r="C16736" s="18"/>
      <c r="D16736" s="19"/>
      <c r="E16736" s="57"/>
      <c r="H16736" s="18"/>
    </row>
    <row r="16737">
      <c r="C16737" s="18"/>
      <c r="D16737" s="19"/>
      <c r="E16737" s="57"/>
      <c r="H16737" s="18"/>
    </row>
    <row r="16738">
      <c r="C16738" s="18"/>
      <c r="D16738" s="19"/>
      <c r="E16738" s="57"/>
      <c r="H16738" s="18"/>
    </row>
    <row r="16739">
      <c r="C16739" s="18"/>
      <c r="D16739" s="19"/>
      <c r="E16739" s="57"/>
      <c r="H16739" s="18"/>
    </row>
    <row r="16740">
      <c r="C16740" s="18"/>
      <c r="D16740" s="19"/>
      <c r="E16740" s="57"/>
      <c r="H16740" s="18"/>
    </row>
    <row r="16741">
      <c r="C16741" s="18"/>
      <c r="D16741" s="19"/>
      <c r="E16741" s="57"/>
      <c r="H16741" s="18"/>
    </row>
    <row r="16742">
      <c r="C16742" s="18"/>
      <c r="D16742" s="19"/>
      <c r="E16742" s="57"/>
      <c r="H16742" s="18"/>
    </row>
    <row r="16743">
      <c r="C16743" s="18"/>
      <c r="D16743" s="19"/>
      <c r="E16743" s="57"/>
      <c r="H16743" s="18"/>
    </row>
    <row r="16744">
      <c r="C16744" s="18"/>
      <c r="D16744" s="19"/>
      <c r="E16744" s="57"/>
      <c r="H16744" s="18"/>
    </row>
    <row r="16745">
      <c r="C16745" s="18"/>
      <c r="D16745" s="19"/>
      <c r="E16745" s="57"/>
      <c r="H16745" s="18"/>
    </row>
    <row r="16746">
      <c r="C16746" s="18"/>
      <c r="D16746" s="19"/>
      <c r="E16746" s="57"/>
      <c r="H16746" s="18"/>
    </row>
    <row r="16747">
      <c r="C16747" s="18"/>
      <c r="D16747" s="19"/>
      <c r="E16747" s="57"/>
      <c r="H16747" s="18"/>
    </row>
    <row r="16748">
      <c r="C16748" s="18"/>
      <c r="D16748" s="19"/>
      <c r="E16748" s="57"/>
      <c r="H16748" s="18"/>
    </row>
    <row r="16749">
      <c r="C16749" s="18"/>
      <c r="D16749" s="19"/>
      <c r="E16749" s="57"/>
      <c r="H16749" s="18"/>
    </row>
    <row r="16750">
      <c r="C16750" s="18"/>
      <c r="D16750" s="19"/>
      <c r="E16750" s="57"/>
      <c r="H16750" s="18"/>
    </row>
    <row r="16751">
      <c r="C16751" s="18"/>
      <c r="D16751" s="19"/>
      <c r="E16751" s="57"/>
      <c r="H16751" s="18"/>
    </row>
    <row r="16752">
      <c r="C16752" s="18"/>
      <c r="D16752" s="19"/>
      <c r="E16752" s="57"/>
      <c r="H16752" s="18"/>
    </row>
    <row r="16753">
      <c r="C16753" s="18"/>
      <c r="D16753" s="19"/>
      <c r="E16753" s="57"/>
      <c r="H16753" s="18"/>
    </row>
    <row r="16754">
      <c r="C16754" s="18"/>
      <c r="D16754" s="19"/>
      <c r="E16754" s="57"/>
      <c r="H16754" s="18"/>
    </row>
    <row r="16755">
      <c r="C16755" s="18"/>
      <c r="D16755" s="19"/>
      <c r="E16755" s="57"/>
      <c r="H16755" s="18"/>
    </row>
    <row r="16756">
      <c r="C16756" s="18"/>
      <c r="D16756" s="19"/>
      <c r="E16756" s="57"/>
      <c r="H16756" s="18"/>
    </row>
    <row r="16757">
      <c r="C16757" s="18"/>
      <c r="D16757" s="19"/>
      <c r="E16757" s="57"/>
      <c r="H16757" s="18"/>
    </row>
    <row r="16758">
      <c r="C16758" s="18"/>
      <c r="D16758" s="19"/>
      <c r="E16758" s="57"/>
      <c r="H16758" s="18"/>
    </row>
    <row r="16759">
      <c r="C16759" s="18"/>
      <c r="D16759" s="19"/>
      <c r="E16759" s="57"/>
      <c r="H16759" s="18"/>
    </row>
    <row r="16760">
      <c r="C16760" s="18"/>
      <c r="D16760" s="19"/>
      <c r="E16760" s="57"/>
      <c r="H16760" s="18"/>
    </row>
    <row r="16761">
      <c r="C16761" s="18"/>
      <c r="D16761" s="19"/>
      <c r="E16761" s="57"/>
      <c r="H16761" s="18"/>
    </row>
    <row r="16762">
      <c r="C16762" s="18"/>
      <c r="D16762" s="19"/>
      <c r="E16762" s="57"/>
      <c r="H16762" s="18"/>
    </row>
    <row r="16763">
      <c r="C16763" s="18"/>
      <c r="D16763" s="19"/>
      <c r="E16763" s="57"/>
      <c r="H16763" s="18"/>
    </row>
    <row r="16764">
      <c r="C16764" s="18"/>
      <c r="D16764" s="19"/>
      <c r="E16764" s="57"/>
      <c r="H16764" s="18"/>
    </row>
    <row r="16765">
      <c r="C16765" s="18"/>
      <c r="D16765" s="19"/>
      <c r="E16765" s="57"/>
      <c r="H16765" s="18"/>
    </row>
    <row r="16766">
      <c r="C16766" s="18"/>
      <c r="D16766" s="19"/>
      <c r="E16766" s="57"/>
      <c r="H16766" s="18"/>
    </row>
    <row r="16767">
      <c r="C16767" s="18"/>
      <c r="D16767" s="19"/>
      <c r="E16767" s="57"/>
      <c r="H16767" s="18"/>
    </row>
    <row r="16768">
      <c r="C16768" s="18"/>
      <c r="D16768" s="19"/>
      <c r="E16768" s="57"/>
      <c r="H16768" s="18"/>
    </row>
    <row r="16769">
      <c r="C16769" s="18"/>
      <c r="D16769" s="19"/>
      <c r="E16769" s="57"/>
      <c r="H16769" s="18"/>
    </row>
    <row r="16770">
      <c r="C16770" s="18"/>
      <c r="D16770" s="19"/>
      <c r="E16770" s="57"/>
      <c r="H16770" s="18"/>
    </row>
    <row r="16771">
      <c r="C16771" s="18"/>
      <c r="D16771" s="19"/>
      <c r="E16771" s="57"/>
      <c r="H16771" s="18"/>
    </row>
    <row r="16772">
      <c r="C16772" s="18"/>
      <c r="D16772" s="19"/>
      <c r="E16772" s="57"/>
      <c r="H16772" s="18"/>
    </row>
    <row r="16773">
      <c r="C16773" s="18"/>
      <c r="D16773" s="19"/>
      <c r="E16773" s="57"/>
      <c r="H16773" s="18"/>
    </row>
    <row r="16774">
      <c r="C16774" s="18"/>
      <c r="D16774" s="19"/>
      <c r="E16774" s="57"/>
      <c r="H16774" s="18"/>
    </row>
    <row r="16775">
      <c r="C16775" s="18"/>
      <c r="D16775" s="19"/>
      <c r="E16775" s="57"/>
      <c r="H16775" s="18"/>
    </row>
    <row r="16776">
      <c r="C16776" s="18"/>
      <c r="D16776" s="19"/>
      <c r="E16776" s="57"/>
      <c r="H16776" s="18"/>
    </row>
    <row r="16777">
      <c r="C16777" s="18"/>
      <c r="D16777" s="19"/>
      <c r="E16777" s="57"/>
      <c r="H16777" s="18"/>
    </row>
    <row r="16778">
      <c r="C16778" s="18"/>
      <c r="D16778" s="19"/>
      <c r="E16778" s="57"/>
      <c r="H16778" s="18"/>
    </row>
    <row r="16779">
      <c r="C16779" s="18"/>
      <c r="D16779" s="19"/>
      <c r="E16779" s="57"/>
      <c r="H16779" s="18"/>
    </row>
    <row r="16780">
      <c r="C16780" s="18"/>
      <c r="D16780" s="19"/>
      <c r="E16780" s="57"/>
      <c r="H16780" s="18"/>
    </row>
    <row r="16781">
      <c r="C16781" s="18"/>
      <c r="D16781" s="19"/>
      <c r="E16781" s="57"/>
      <c r="H16781" s="18"/>
    </row>
    <row r="16782">
      <c r="C16782" s="18"/>
      <c r="D16782" s="19"/>
      <c r="E16782" s="57"/>
      <c r="H16782" s="18"/>
    </row>
    <row r="16783">
      <c r="C16783" s="18"/>
      <c r="D16783" s="19"/>
      <c r="E16783" s="57"/>
      <c r="H16783" s="18"/>
    </row>
    <row r="16784">
      <c r="C16784" s="18"/>
      <c r="D16784" s="19"/>
      <c r="E16784" s="57"/>
      <c r="H16784" s="18"/>
    </row>
    <row r="16785">
      <c r="C16785" s="18"/>
      <c r="D16785" s="19"/>
      <c r="E16785" s="57"/>
      <c r="H16785" s="18"/>
    </row>
    <row r="16786">
      <c r="C16786" s="18"/>
      <c r="D16786" s="19"/>
      <c r="E16786" s="57"/>
      <c r="H16786" s="18"/>
    </row>
    <row r="16787">
      <c r="C16787" s="18"/>
      <c r="D16787" s="19"/>
      <c r="E16787" s="57"/>
      <c r="H16787" s="18"/>
    </row>
    <row r="16788">
      <c r="C16788" s="18"/>
      <c r="D16788" s="19"/>
      <c r="E16788" s="57"/>
      <c r="H16788" s="18"/>
    </row>
    <row r="16789">
      <c r="C16789" s="18"/>
      <c r="D16789" s="19"/>
      <c r="E16789" s="57"/>
      <c r="H16789" s="18"/>
    </row>
    <row r="16790">
      <c r="C16790" s="18"/>
      <c r="D16790" s="19"/>
      <c r="E16790" s="57"/>
      <c r="H16790" s="18"/>
    </row>
    <row r="16791">
      <c r="C16791" s="18"/>
      <c r="D16791" s="19"/>
      <c r="E16791" s="57"/>
      <c r="H16791" s="18"/>
    </row>
    <row r="16792">
      <c r="C16792" s="18"/>
      <c r="D16792" s="19"/>
      <c r="E16792" s="57"/>
      <c r="H16792" s="18"/>
    </row>
    <row r="16793">
      <c r="C16793" s="18"/>
      <c r="D16793" s="19"/>
      <c r="E16793" s="57"/>
      <c r="H16793" s="18"/>
    </row>
    <row r="16794">
      <c r="C16794" s="18"/>
      <c r="D16794" s="19"/>
      <c r="E16794" s="57"/>
      <c r="H16794" s="18"/>
    </row>
    <row r="16795">
      <c r="C16795" s="18"/>
      <c r="D16795" s="19"/>
      <c r="E16795" s="57"/>
      <c r="H16795" s="18"/>
    </row>
    <row r="16796">
      <c r="C16796" s="18"/>
      <c r="D16796" s="19"/>
      <c r="E16796" s="57"/>
      <c r="H16796" s="18"/>
    </row>
    <row r="16797">
      <c r="C16797" s="18"/>
      <c r="D16797" s="19"/>
      <c r="E16797" s="57"/>
      <c r="H16797" s="18"/>
    </row>
    <row r="16798">
      <c r="C16798" s="18"/>
      <c r="D16798" s="19"/>
      <c r="E16798" s="57"/>
      <c r="H16798" s="18"/>
    </row>
    <row r="16799">
      <c r="C16799" s="18"/>
      <c r="D16799" s="19"/>
      <c r="E16799" s="57"/>
      <c r="H16799" s="18"/>
    </row>
    <row r="16800">
      <c r="C16800" s="18"/>
      <c r="D16800" s="19"/>
      <c r="E16800" s="57"/>
      <c r="H16800" s="18"/>
    </row>
    <row r="16801">
      <c r="C16801" s="18"/>
      <c r="D16801" s="19"/>
      <c r="E16801" s="57"/>
      <c r="H16801" s="18"/>
    </row>
    <row r="16802">
      <c r="C16802" s="18"/>
      <c r="D16802" s="19"/>
      <c r="E16802" s="57"/>
      <c r="H16802" s="18"/>
    </row>
    <row r="16803">
      <c r="C16803" s="18"/>
      <c r="D16803" s="19"/>
      <c r="E16803" s="57"/>
      <c r="H16803" s="18"/>
    </row>
    <row r="16804">
      <c r="C16804" s="18"/>
      <c r="D16804" s="19"/>
      <c r="E16804" s="57"/>
      <c r="H16804" s="18"/>
    </row>
    <row r="16805">
      <c r="C16805" s="18"/>
      <c r="D16805" s="19"/>
      <c r="E16805" s="57"/>
      <c r="H16805" s="18"/>
    </row>
    <row r="16806">
      <c r="C16806" s="18"/>
      <c r="D16806" s="19"/>
      <c r="E16806" s="57"/>
      <c r="H16806" s="18"/>
    </row>
    <row r="16807">
      <c r="C16807" s="18"/>
      <c r="D16807" s="19"/>
      <c r="E16807" s="57"/>
      <c r="H16807" s="18"/>
    </row>
    <row r="16808">
      <c r="C16808" s="18"/>
      <c r="D16808" s="19"/>
      <c r="E16808" s="57"/>
      <c r="H16808" s="18"/>
    </row>
    <row r="16809">
      <c r="C16809" s="18"/>
      <c r="D16809" s="19"/>
      <c r="E16809" s="57"/>
      <c r="H16809" s="18"/>
    </row>
    <row r="16810">
      <c r="C16810" s="18"/>
      <c r="D16810" s="19"/>
      <c r="E16810" s="57"/>
      <c r="H16810" s="18"/>
    </row>
    <row r="16811">
      <c r="C16811" s="18"/>
      <c r="D16811" s="19"/>
      <c r="E16811" s="57"/>
      <c r="H16811" s="18"/>
    </row>
    <row r="16812">
      <c r="C16812" s="18"/>
      <c r="D16812" s="19"/>
      <c r="E16812" s="57"/>
      <c r="H16812" s="18"/>
    </row>
    <row r="16813">
      <c r="C16813" s="18"/>
      <c r="D16813" s="19"/>
      <c r="E16813" s="57"/>
      <c r="H16813" s="18"/>
    </row>
    <row r="16814">
      <c r="C16814" s="18"/>
      <c r="D16814" s="19"/>
      <c r="E16814" s="57"/>
      <c r="H16814" s="18"/>
    </row>
    <row r="16815">
      <c r="C16815" s="18"/>
      <c r="D16815" s="19"/>
      <c r="E16815" s="57"/>
      <c r="H16815" s="18"/>
    </row>
    <row r="16816">
      <c r="C16816" s="18"/>
      <c r="D16816" s="19"/>
      <c r="E16816" s="57"/>
      <c r="H16816" s="18"/>
    </row>
    <row r="16817">
      <c r="C16817" s="18"/>
      <c r="D16817" s="19"/>
      <c r="E16817" s="57"/>
      <c r="H16817" s="18"/>
    </row>
    <row r="16818">
      <c r="C16818" s="18"/>
      <c r="D16818" s="19"/>
      <c r="E16818" s="57"/>
      <c r="H16818" s="18"/>
    </row>
    <row r="16819">
      <c r="C16819" s="18"/>
      <c r="D16819" s="19"/>
      <c r="E16819" s="57"/>
      <c r="H16819" s="18"/>
    </row>
    <row r="16820">
      <c r="C16820" s="18"/>
      <c r="D16820" s="19"/>
      <c r="E16820" s="57"/>
      <c r="H16820" s="18"/>
    </row>
    <row r="16821">
      <c r="C16821" s="18"/>
      <c r="D16821" s="19"/>
      <c r="E16821" s="57"/>
      <c r="H16821" s="18"/>
    </row>
    <row r="16822">
      <c r="C16822" s="18"/>
      <c r="D16822" s="19"/>
      <c r="E16822" s="57"/>
      <c r="H16822" s="18"/>
    </row>
    <row r="16823">
      <c r="C16823" s="18"/>
      <c r="D16823" s="19"/>
      <c r="E16823" s="57"/>
      <c r="H16823" s="18"/>
    </row>
    <row r="16824">
      <c r="C16824" s="18"/>
      <c r="D16824" s="19"/>
      <c r="E16824" s="57"/>
      <c r="H16824" s="18"/>
    </row>
    <row r="16825">
      <c r="C16825" s="18"/>
      <c r="D16825" s="19"/>
      <c r="E16825" s="57"/>
      <c r="H16825" s="18"/>
    </row>
    <row r="16826">
      <c r="C16826" s="18"/>
      <c r="D16826" s="19"/>
      <c r="E16826" s="57"/>
      <c r="H16826" s="18"/>
    </row>
    <row r="16827">
      <c r="C16827" s="18"/>
      <c r="D16827" s="19"/>
      <c r="E16827" s="57"/>
      <c r="H16827" s="18"/>
    </row>
    <row r="16828">
      <c r="C16828" s="18"/>
      <c r="D16828" s="19"/>
      <c r="E16828" s="57"/>
      <c r="H16828" s="18"/>
    </row>
    <row r="16829">
      <c r="C16829" s="18"/>
      <c r="D16829" s="19"/>
      <c r="E16829" s="57"/>
      <c r="H16829" s="18"/>
    </row>
    <row r="16830">
      <c r="C16830" s="18"/>
      <c r="D16830" s="19"/>
      <c r="E16830" s="57"/>
      <c r="H16830" s="18"/>
    </row>
    <row r="16831">
      <c r="C16831" s="18"/>
      <c r="D16831" s="19"/>
      <c r="E16831" s="57"/>
      <c r="H16831" s="18"/>
    </row>
    <row r="16832">
      <c r="C16832" s="18"/>
      <c r="D16832" s="19"/>
      <c r="E16832" s="57"/>
      <c r="H16832" s="18"/>
    </row>
    <row r="16833">
      <c r="C16833" s="18"/>
      <c r="D16833" s="19"/>
      <c r="E16833" s="57"/>
      <c r="H16833" s="18"/>
    </row>
    <row r="16834">
      <c r="C16834" s="18"/>
      <c r="D16834" s="19"/>
      <c r="E16834" s="57"/>
      <c r="H16834" s="18"/>
    </row>
    <row r="16835">
      <c r="C16835" s="18"/>
      <c r="D16835" s="19"/>
      <c r="E16835" s="57"/>
      <c r="H16835" s="18"/>
    </row>
    <row r="16836">
      <c r="C16836" s="18"/>
      <c r="D16836" s="19"/>
      <c r="E16836" s="57"/>
      <c r="H16836" s="18"/>
    </row>
    <row r="16837">
      <c r="C16837" s="18"/>
      <c r="D16837" s="19"/>
      <c r="E16837" s="57"/>
      <c r="H16837" s="18"/>
    </row>
    <row r="16838">
      <c r="C16838" s="18"/>
      <c r="D16838" s="19"/>
      <c r="E16838" s="57"/>
      <c r="H16838" s="18"/>
    </row>
    <row r="16839">
      <c r="C16839" s="18"/>
      <c r="D16839" s="19"/>
      <c r="E16839" s="57"/>
      <c r="H16839" s="18"/>
    </row>
    <row r="16840">
      <c r="C16840" s="18"/>
      <c r="D16840" s="19"/>
      <c r="E16840" s="57"/>
      <c r="H16840" s="18"/>
    </row>
    <row r="16841">
      <c r="C16841" s="18"/>
      <c r="D16841" s="19"/>
      <c r="E16841" s="57"/>
      <c r="H16841" s="18"/>
    </row>
    <row r="16842">
      <c r="C16842" s="18"/>
      <c r="D16842" s="19"/>
      <c r="E16842" s="57"/>
      <c r="H16842" s="18"/>
    </row>
    <row r="16843">
      <c r="C16843" s="18"/>
      <c r="D16843" s="19"/>
      <c r="E16843" s="57"/>
      <c r="H16843" s="18"/>
    </row>
    <row r="16844">
      <c r="C16844" s="18"/>
      <c r="D16844" s="19"/>
      <c r="E16844" s="57"/>
      <c r="H16844" s="18"/>
    </row>
    <row r="16845">
      <c r="C16845" s="18"/>
      <c r="D16845" s="19"/>
      <c r="E16845" s="57"/>
      <c r="H16845" s="18"/>
    </row>
    <row r="16846">
      <c r="C16846" s="18"/>
      <c r="D16846" s="19"/>
      <c r="E16846" s="57"/>
      <c r="H16846" s="18"/>
    </row>
    <row r="16847">
      <c r="C16847" s="18"/>
      <c r="D16847" s="19"/>
      <c r="E16847" s="57"/>
      <c r="H16847" s="18"/>
    </row>
    <row r="16848">
      <c r="C16848" s="18"/>
      <c r="D16848" s="19"/>
      <c r="E16848" s="57"/>
      <c r="H16848" s="18"/>
    </row>
    <row r="16849">
      <c r="C16849" s="18"/>
      <c r="D16849" s="19"/>
      <c r="E16849" s="57"/>
      <c r="H16849" s="18"/>
    </row>
    <row r="16850">
      <c r="C16850" s="18"/>
      <c r="D16850" s="19"/>
      <c r="E16850" s="57"/>
      <c r="H16850" s="18"/>
    </row>
    <row r="16851">
      <c r="C16851" s="18"/>
      <c r="D16851" s="19"/>
      <c r="E16851" s="57"/>
      <c r="H16851" s="18"/>
    </row>
    <row r="16852">
      <c r="C16852" s="18"/>
      <c r="D16852" s="19"/>
      <c r="E16852" s="57"/>
      <c r="H16852" s="18"/>
    </row>
    <row r="16853">
      <c r="C16853" s="18"/>
      <c r="D16853" s="19"/>
      <c r="E16853" s="57"/>
      <c r="H16853" s="18"/>
    </row>
    <row r="16854">
      <c r="C16854" s="18"/>
      <c r="D16854" s="19"/>
      <c r="E16854" s="57"/>
      <c r="H16854" s="18"/>
    </row>
    <row r="16855">
      <c r="C16855" s="18"/>
      <c r="D16855" s="19"/>
      <c r="E16855" s="57"/>
      <c r="H16855" s="18"/>
    </row>
    <row r="16856">
      <c r="C16856" s="18"/>
      <c r="D16856" s="19"/>
      <c r="E16856" s="57"/>
      <c r="H16856" s="18"/>
    </row>
    <row r="16857">
      <c r="C16857" s="18"/>
      <c r="D16857" s="19"/>
      <c r="E16857" s="57"/>
      <c r="H16857" s="18"/>
    </row>
    <row r="16858">
      <c r="C16858" s="18"/>
      <c r="D16858" s="19"/>
      <c r="E16858" s="57"/>
      <c r="H16858" s="18"/>
    </row>
    <row r="16859">
      <c r="C16859" s="18"/>
      <c r="D16859" s="19"/>
      <c r="E16859" s="57"/>
      <c r="H16859" s="18"/>
    </row>
    <row r="16860">
      <c r="C16860" s="18"/>
      <c r="D16860" s="19"/>
      <c r="E16860" s="57"/>
      <c r="H16860" s="18"/>
    </row>
    <row r="16861">
      <c r="C16861" s="18"/>
      <c r="D16861" s="19"/>
      <c r="E16861" s="57"/>
      <c r="H16861" s="18"/>
    </row>
    <row r="16862">
      <c r="C16862" s="18"/>
      <c r="D16862" s="19"/>
      <c r="E16862" s="57"/>
      <c r="H16862" s="18"/>
    </row>
    <row r="16863">
      <c r="C16863" s="18"/>
      <c r="D16863" s="19"/>
      <c r="E16863" s="57"/>
      <c r="H16863" s="18"/>
    </row>
    <row r="16864">
      <c r="C16864" s="18"/>
      <c r="D16864" s="19"/>
      <c r="E16864" s="57"/>
      <c r="H16864" s="18"/>
    </row>
    <row r="16865">
      <c r="C16865" s="18"/>
      <c r="D16865" s="19"/>
      <c r="E16865" s="57"/>
      <c r="H16865" s="18"/>
    </row>
    <row r="16866">
      <c r="C16866" s="18"/>
      <c r="D16866" s="19"/>
      <c r="E16866" s="57"/>
      <c r="H16866" s="18"/>
    </row>
    <row r="16867">
      <c r="C16867" s="18"/>
      <c r="D16867" s="19"/>
      <c r="E16867" s="57"/>
      <c r="H16867" s="18"/>
    </row>
    <row r="16868">
      <c r="C16868" s="18"/>
      <c r="D16868" s="19"/>
      <c r="E16868" s="57"/>
      <c r="H16868" s="18"/>
    </row>
    <row r="16869">
      <c r="C16869" s="18"/>
      <c r="D16869" s="19"/>
      <c r="E16869" s="57"/>
      <c r="H16869" s="18"/>
    </row>
    <row r="16870">
      <c r="C16870" s="18"/>
      <c r="D16870" s="19"/>
      <c r="E16870" s="57"/>
      <c r="H16870" s="18"/>
    </row>
    <row r="16871">
      <c r="C16871" s="18"/>
      <c r="D16871" s="19"/>
      <c r="E16871" s="57"/>
      <c r="H16871" s="18"/>
    </row>
    <row r="16872">
      <c r="C16872" s="18"/>
      <c r="D16872" s="19"/>
      <c r="E16872" s="57"/>
      <c r="H16872" s="18"/>
    </row>
    <row r="16873">
      <c r="C16873" s="18"/>
      <c r="D16873" s="19"/>
      <c r="E16873" s="57"/>
      <c r="H16873" s="18"/>
    </row>
    <row r="16874">
      <c r="C16874" s="18"/>
      <c r="D16874" s="19"/>
      <c r="E16874" s="57"/>
      <c r="H16874" s="18"/>
    </row>
    <row r="16875">
      <c r="C16875" s="18"/>
      <c r="D16875" s="19"/>
      <c r="E16875" s="57"/>
      <c r="H16875" s="18"/>
    </row>
    <row r="16876">
      <c r="C16876" s="18"/>
      <c r="D16876" s="19"/>
      <c r="E16876" s="57"/>
      <c r="H16876" s="18"/>
    </row>
    <row r="16877">
      <c r="C16877" s="18"/>
      <c r="D16877" s="19"/>
      <c r="E16877" s="57"/>
      <c r="H16877" s="18"/>
    </row>
    <row r="16878">
      <c r="C16878" s="18"/>
      <c r="D16878" s="19"/>
      <c r="E16878" s="57"/>
      <c r="H16878" s="18"/>
    </row>
    <row r="16879">
      <c r="C16879" s="18"/>
      <c r="D16879" s="19"/>
      <c r="E16879" s="57"/>
      <c r="H16879" s="18"/>
    </row>
    <row r="16880">
      <c r="C16880" s="18"/>
      <c r="D16880" s="19"/>
      <c r="E16880" s="57"/>
      <c r="H16880" s="18"/>
    </row>
    <row r="16881">
      <c r="C16881" s="18"/>
      <c r="D16881" s="19"/>
      <c r="E16881" s="57"/>
      <c r="H16881" s="18"/>
    </row>
    <row r="16882">
      <c r="C16882" s="18"/>
      <c r="D16882" s="19"/>
      <c r="E16882" s="57"/>
      <c r="H16882" s="18"/>
    </row>
    <row r="16883">
      <c r="C16883" s="18"/>
      <c r="D16883" s="19"/>
      <c r="E16883" s="57"/>
      <c r="H16883" s="18"/>
    </row>
    <row r="16884">
      <c r="C16884" s="18"/>
      <c r="D16884" s="19"/>
      <c r="E16884" s="57"/>
      <c r="H16884" s="18"/>
    </row>
    <row r="16885">
      <c r="C16885" s="18"/>
      <c r="D16885" s="19"/>
      <c r="E16885" s="57"/>
      <c r="H16885" s="18"/>
    </row>
    <row r="16886">
      <c r="C16886" s="18"/>
      <c r="D16886" s="19"/>
      <c r="E16886" s="57"/>
      <c r="H16886" s="18"/>
    </row>
    <row r="16887">
      <c r="C16887" s="18"/>
      <c r="D16887" s="19"/>
      <c r="E16887" s="57"/>
      <c r="H16887" s="18"/>
    </row>
    <row r="16888">
      <c r="C16888" s="18"/>
      <c r="D16888" s="19"/>
      <c r="E16888" s="57"/>
      <c r="H16888" s="18"/>
    </row>
    <row r="16889">
      <c r="C16889" s="18"/>
      <c r="D16889" s="19"/>
      <c r="E16889" s="57"/>
      <c r="H16889" s="18"/>
    </row>
    <row r="16890">
      <c r="C16890" s="18"/>
      <c r="D16890" s="19"/>
      <c r="E16890" s="57"/>
      <c r="H16890" s="18"/>
    </row>
    <row r="16891">
      <c r="C16891" s="18"/>
      <c r="D16891" s="19"/>
      <c r="E16891" s="57"/>
      <c r="H16891" s="18"/>
    </row>
    <row r="16892">
      <c r="C16892" s="18"/>
      <c r="D16892" s="19"/>
      <c r="E16892" s="57"/>
      <c r="H16892" s="18"/>
    </row>
    <row r="16893">
      <c r="C16893" s="18"/>
      <c r="D16893" s="19"/>
      <c r="E16893" s="57"/>
      <c r="H16893" s="18"/>
    </row>
    <row r="16894">
      <c r="C16894" s="18"/>
      <c r="D16894" s="19"/>
      <c r="E16894" s="57"/>
      <c r="H16894" s="18"/>
    </row>
    <row r="16895">
      <c r="C16895" s="18"/>
      <c r="D16895" s="19"/>
      <c r="E16895" s="57"/>
      <c r="H16895" s="18"/>
    </row>
    <row r="16896">
      <c r="C16896" s="18"/>
      <c r="D16896" s="19"/>
      <c r="E16896" s="57"/>
      <c r="H16896" s="18"/>
    </row>
    <row r="16897">
      <c r="C16897" s="18"/>
      <c r="D16897" s="19"/>
      <c r="E16897" s="57"/>
      <c r="H16897" s="18"/>
    </row>
    <row r="16898">
      <c r="C16898" s="18"/>
      <c r="D16898" s="19"/>
      <c r="E16898" s="57"/>
      <c r="H16898" s="18"/>
    </row>
    <row r="16899">
      <c r="C16899" s="18"/>
      <c r="D16899" s="19"/>
      <c r="E16899" s="57"/>
      <c r="H16899" s="18"/>
    </row>
    <row r="16900">
      <c r="C16900" s="18"/>
      <c r="D16900" s="19"/>
      <c r="E16900" s="57"/>
      <c r="H16900" s="18"/>
    </row>
    <row r="16901">
      <c r="C16901" s="18"/>
      <c r="D16901" s="19"/>
      <c r="E16901" s="57"/>
      <c r="H16901" s="18"/>
    </row>
    <row r="16902">
      <c r="C16902" s="18"/>
      <c r="D16902" s="19"/>
      <c r="E16902" s="57"/>
      <c r="H16902" s="18"/>
    </row>
    <row r="16903">
      <c r="C16903" s="18"/>
      <c r="D16903" s="19"/>
      <c r="E16903" s="57"/>
      <c r="H16903" s="18"/>
    </row>
    <row r="16904">
      <c r="C16904" s="18"/>
      <c r="D16904" s="19"/>
      <c r="E16904" s="57"/>
      <c r="H16904" s="18"/>
    </row>
    <row r="16905">
      <c r="C16905" s="18"/>
      <c r="D16905" s="19"/>
      <c r="E16905" s="57"/>
      <c r="H16905" s="18"/>
    </row>
    <row r="16906">
      <c r="C16906" s="18"/>
      <c r="D16906" s="19"/>
      <c r="E16906" s="57"/>
      <c r="H16906" s="18"/>
    </row>
    <row r="16907">
      <c r="C16907" s="18"/>
      <c r="D16907" s="19"/>
      <c r="E16907" s="57"/>
      <c r="H16907" s="18"/>
    </row>
    <row r="16908">
      <c r="C16908" s="18"/>
      <c r="D16908" s="19"/>
      <c r="E16908" s="57"/>
      <c r="H16908" s="18"/>
    </row>
    <row r="16909">
      <c r="C16909" s="18"/>
      <c r="D16909" s="19"/>
      <c r="E16909" s="57"/>
      <c r="H16909" s="18"/>
    </row>
    <row r="16910">
      <c r="C16910" s="18"/>
      <c r="D16910" s="19"/>
      <c r="E16910" s="57"/>
      <c r="H16910" s="18"/>
    </row>
    <row r="16911">
      <c r="C16911" s="18"/>
      <c r="D16911" s="19"/>
      <c r="E16911" s="57"/>
      <c r="H16911" s="18"/>
    </row>
    <row r="16912">
      <c r="C16912" s="18"/>
      <c r="D16912" s="19"/>
      <c r="E16912" s="57"/>
      <c r="H16912" s="18"/>
    </row>
    <row r="16913">
      <c r="C16913" s="18"/>
      <c r="D16913" s="19"/>
      <c r="E16913" s="57"/>
      <c r="H16913" s="18"/>
    </row>
    <row r="16914">
      <c r="C16914" s="18"/>
      <c r="D16914" s="19"/>
      <c r="E16914" s="57"/>
      <c r="H16914" s="18"/>
    </row>
    <row r="16915">
      <c r="C16915" s="18"/>
      <c r="D16915" s="19"/>
      <c r="E16915" s="57"/>
      <c r="H16915" s="18"/>
    </row>
    <row r="16916">
      <c r="C16916" s="18"/>
      <c r="D16916" s="19"/>
      <c r="E16916" s="57"/>
      <c r="H16916" s="18"/>
    </row>
    <row r="16917">
      <c r="C16917" s="18"/>
      <c r="D16917" s="19"/>
      <c r="E16917" s="57"/>
      <c r="H16917" s="18"/>
    </row>
    <row r="16918">
      <c r="C16918" s="18"/>
      <c r="D16918" s="19"/>
      <c r="E16918" s="57"/>
      <c r="H16918" s="18"/>
    </row>
    <row r="16919">
      <c r="C16919" s="18"/>
      <c r="D16919" s="19"/>
      <c r="E16919" s="57"/>
      <c r="H16919" s="18"/>
    </row>
    <row r="16920">
      <c r="C16920" s="18"/>
      <c r="D16920" s="19"/>
      <c r="E16920" s="57"/>
      <c r="H16920" s="18"/>
    </row>
    <row r="16921">
      <c r="C16921" s="18"/>
      <c r="D16921" s="19"/>
      <c r="E16921" s="57"/>
      <c r="H16921" s="18"/>
    </row>
    <row r="16922">
      <c r="C16922" s="18"/>
      <c r="D16922" s="19"/>
      <c r="E16922" s="57"/>
      <c r="H16922" s="18"/>
    </row>
    <row r="16923">
      <c r="C16923" s="18"/>
      <c r="D16923" s="19"/>
      <c r="E16923" s="57"/>
      <c r="H16923" s="18"/>
    </row>
    <row r="16924">
      <c r="C16924" s="18"/>
      <c r="D16924" s="19"/>
      <c r="E16924" s="57"/>
      <c r="H16924" s="18"/>
    </row>
    <row r="16925">
      <c r="C16925" s="18"/>
      <c r="D16925" s="19"/>
      <c r="E16925" s="57"/>
      <c r="H16925" s="18"/>
    </row>
    <row r="16926">
      <c r="C16926" s="18"/>
      <c r="D16926" s="19"/>
      <c r="E16926" s="57"/>
      <c r="H16926" s="18"/>
    </row>
    <row r="16927">
      <c r="C16927" s="18"/>
      <c r="D16927" s="19"/>
      <c r="E16927" s="57"/>
      <c r="H16927" s="18"/>
    </row>
    <row r="16928">
      <c r="C16928" s="18"/>
      <c r="D16928" s="19"/>
      <c r="E16928" s="57"/>
      <c r="H16928" s="18"/>
    </row>
    <row r="16929">
      <c r="C16929" s="18"/>
      <c r="D16929" s="19"/>
      <c r="E16929" s="57"/>
      <c r="H16929" s="18"/>
    </row>
    <row r="16930">
      <c r="C16930" s="18"/>
      <c r="D16930" s="19"/>
      <c r="E16930" s="57"/>
      <c r="H16930" s="18"/>
    </row>
    <row r="16931">
      <c r="C16931" s="18"/>
      <c r="D16931" s="19"/>
      <c r="E16931" s="57"/>
      <c r="H16931" s="18"/>
    </row>
    <row r="16932">
      <c r="C16932" s="18"/>
      <c r="D16932" s="19"/>
      <c r="E16932" s="57"/>
      <c r="H16932" s="18"/>
    </row>
    <row r="16933">
      <c r="C16933" s="18"/>
      <c r="D16933" s="19"/>
      <c r="E16933" s="57"/>
      <c r="H16933" s="18"/>
    </row>
    <row r="16934">
      <c r="C16934" s="18"/>
      <c r="D16934" s="19"/>
      <c r="E16934" s="57"/>
      <c r="H16934" s="18"/>
    </row>
    <row r="16935">
      <c r="C16935" s="18"/>
      <c r="D16935" s="19"/>
      <c r="E16935" s="57"/>
      <c r="H16935" s="18"/>
    </row>
    <row r="16936">
      <c r="C16936" s="18"/>
      <c r="D16936" s="19"/>
      <c r="E16936" s="57"/>
      <c r="H16936" s="18"/>
    </row>
    <row r="16937">
      <c r="C16937" s="18"/>
      <c r="D16937" s="19"/>
      <c r="E16937" s="57"/>
      <c r="H16937" s="18"/>
    </row>
    <row r="16938">
      <c r="C16938" s="18"/>
      <c r="D16938" s="19"/>
      <c r="E16938" s="57"/>
      <c r="H16938" s="18"/>
    </row>
    <row r="16939">
      <c r="C16939" s="18"/>
      <c r="D16939" s="19"/>
      <c r="E16939" s="57"/>
      <c r="H16939" s="18"/>
    </row>
    <row r="16940">
      <c r="C16940" s="18"/>
      <c r="D16940" s="19"/>
      <c r="E16940" s="57"/>
      <c r="H16940" s="18"/>
    </row>
    <row r="16941">
      <c r="C16941" s="18"/>
      <c r="D16941" s="19"/>
      <c r="E16941" s="57"/>
      <c r="H16941" s="18"/>
    </row>
    <row r="16942">
      <c r="C16942" s="18"/>
      <c r="D16942" s="19"/>
      <c r="E16942" s="57"/>
      <c r="H16942" s="18"/>
    </row>
    <row r="16943">
      <c r="C16943" s="18"/>
      <c r="D16943" s="19"/>
      <c r="E16943" s="57"/>
      <c r="H16943" s="18"/>
    </row>
    <row r="16944">
      <c r="C16944" s="18"/>
      <c r="D16944" s="19"/>
      <c r="E16944" s="57"/>
      <c r="H16944" s="18"/>
    </row>
    <row r="16945">
      <c r="C16945" s="18"/>
      <c r="D16945" s="19"/>
      <c r="E16945" s="57"/>
      <c r="H16945" s="18"/>
    </row>
    <row r="16946">
      <c r="C16946" s="18"/>
      <c r="D16946" s="19"/>
      <c r="E16946" s="57"/>
      <c r="H16946" s="18"/>
    </row>
    <row r="16947">
      <c r="C16947" s="18"/>
      <c r="D16947" s="19"/>
      <c r="E16947" s="57"/>
      <c r="H16947" s="18"/>
    </row>
    <row r="16948">
      <c r="C16948" s="18"/>
      <c r="D16948" s="19"/>
      <c r="E16948" s="57"/>
      <c r="H16948" s="18"/>
    </row>
    <row r="16949">
      <c r="C16949" s="18"/>
      <c r="D16949" s="19"/>
      <c r="E16949" s="57"/>
      <c r="H16949" s="18"/>
    </row>
    <row r="16950">
      <c r="C16950" s="18"/>
      <c r="D16950" s="19"/>
      <c r="E16950" s="57"/>
      <c r="H16950" s="18"/>
    </row>
    <row r="16951">
      <c r="C16951" s="18"/>
      <c r="D16951" s="19"/>
      <c r="E16951" s="57"/>
      <c r="H16951" s="18"/>
    </row>
    <row r="16952">
      <c r="C16952" s="18"/>
      <c r="D16952" s="19"/>
      <c r="E16952" s="57"/>
      <c r="H16952" s="18"/>
    </row>
    <row r="16953">
      <c r="C16953" s="18"/>
      <c r="D16953" s="19"/>
      <c r="E16953" s="57"/>
      <c r="H16953" s="18"/>
    </row>
    <row r="16954">
      <c r="C16954" s="18"/>
      <c r="D16954" s="19"/>
      <c r="E16954" s="57"/>
      <c r="H16954" s="18"/>
    </row>
    <row r="16955">
      <c r="C16955" s="18"/>
      <c r="D16955" s="19"/>
      <c r="E16955" s="57"/>
      <c r="H16955" s="18"/>
    </row>
    <row r="16956">
      <c r="C16956" s="18"/>
      <c r="D16956" s="19"/>
      <c r="E16956" s="57"/>
      <c r="H16956" s="18"/>
    </row>
    <row r="16957">
      <c r="C16957" s="18"/>
      <c r="D16957" s="19"/>
      <c r="E16957" s="57"/>
      <c r="H16957" s="18"/>
    </row>
    <row r="16958">
      <c r="C16958" s="18"/>
      <c r="D16958" s="19"/>
      <c r="E16958" s="57"/>
      <c r="H16958" s="18"/>
    </row>
    <row r="16959">
      <c r="C16959" s="18"/>
      <c r="D16959" s="19"/>
      <c r="E16959" s="57"/>
      <c r="H16959" s="18"/>
    </row>
    <row r="16960">
      <c r="C16960" s="18"/>
      <c r="D16960" s="19"/>
      <c r="E16960" s="57"/>
      <c r="H16960" s="18"/>
    </row>
    <row r="16961">
      <c r="C16961" s="18"/>
      <c r="D16961" s="19"/>
      <c r="E16961" s="57"/>
      <c r="H16961" s="18"/>
    </row>
    <row r="16962">
      <c r="C16962" s="18"/>
      <c r="D16962" s="19"/>
      <c r="E16962" s="57"/>
      <c r="H16962" s="18"/>
    </row>
    <row r="16963">
      <c r="C16963" s="18"/>
      <c r="D16963" s="19"/>
      <c r="E16963" s="57"/>
      <c r="H16963" s="18"/>
    </row>
    <row r="16964">
      <c r="C16964" s="18"/>
      <c r="D16964" s="19"/>
      <c r="E16964" s="57"/>
      <c r="H16964" s="18"/>
    </row>
    <row r="16965">
      <c r="C16965" s="18"/>
      <c r="D16965" s="19"/>
      <c r="E16965" s="57"/>
      <c r="H16965" s="18"/>
    </row>
    <row r="16966">
      <c r="C16966" s="18"/>
      <c r="D16966" s="19"/>
      <c r="E16966" s="57"/>
      <c r="H16966" s="18"/>
    </row>
    <row r="16967">
      <c r="C16967" s="18"/>
      <c r="D16967" s="19"/>
      <c r="E16967" s="57"/>
      <c r="H16967" s="18"/>
    </row>
    <row r="16968">
      <c r="C16968" s="18"/>
      <c r="D16968" s="19"/>
      <c r="E16968" s="57"/>
      <c r="H16968" s="18"/>
    </row>
    <row r="16969">
      <c r="C16969" s="18"/>
      <c r="D16969" s="19"/>
      <c r="E16969" s="57"/>
      <c r="H16969" s="18"/>
    </row>
    <row r="16970">
      <c r="C16970" s="18"/>
      <c r="D16970" s="19"/>
      <c r="E16970" s="57"/>
      <c r="H16970" s="18"/>
    </row>
    <row r="16971">
      <c r="C16971" s="18"/>
      <c r="D16971" s="19"/>
      <c r="E16971" s="57"/>
      <c r="H16971" s="18"/>
    </row>
    <row r="16972">
      <c r="C16972" s="18"/>
      <c r="D16972" s="19"/>
      <c r="E16972" s="57"/>
      <c r="H16972" s="18"/>
    </row>
    <row r="16973">
      <c r="C16973" s="18"/>
      <c r="D16973" s="19"/>
      <c r="E16973" s="57"/>
      <c r="H16973" s="18"/>
    </row>
    <row r="16974">
      <c r="C16974" s="18"/>
      <c r="D16974" s="19"/>
      <c r="E16974" s="57"/>
      <c r="H16974" s="18"/>
    </row>
    <row r="16975">
      <c r="C16975" s="18"/>
      <c r="D16975" s="19"/>
      <c r="E16975" s="57"/>
      <c r="H16975" s="18"/>
    </row>
    <row r="16976">
      <c r="C16976" s="18"/>
      <c r="D16976" s="19"/>
      <c r="E16976" s="57"/>
      <c r="H16976" s="18"/>
    </row>
    <row r="16977">
      <c r="C16977" s="18"/>
      <c r="D16977" s="19"/>
      <c r="E16977" s="57"/>
      <c r="H16977" s="18"/>
    </row>
    <row r="16978">
      <c r="C16978" s="18"/>
      <c r="D16978" s="19"/>
      <c r="E16978" s="57"/>
      <c r="H16978" s="18"/>
    </row>
    <row r="16979">
      <c r="C16979" s="18"/>
      <c r="D16979" s="19"/>
      <c r="E16979" s="57"/>
      <c r="H16979" s="18"/>
    </row>
    <row r="16980">
      <c r="C16980" s="18"/>
      <c r="D16980" s="19"/>
      <c r="E16980" s="57"/>
      <c r="H16980" s="18"/>
    </row>
    <row r="16981">
      <c r="C16981" s="18"/>
      <c r="D16981" s="19"/>
      <c r="E16981" s="57"/>
      <c r="H16981" s="18"/>
    </row>
    <row r="16982">
      <c r="C16982" s="18"/>
      <c r="D16982" s="19"/>
      <c r="E16982" s="57"/>
      <c r="H16982" s="18"/>
    </row>
    <row r="16983">
      <c r="C16983" s="18"/>
      <c r="D16983" s="19"/>
      <c r="E16983" s="57"/>
      <c r="H16983" s="18"/>
    </row>
    <row r="16984">
      <c r="C16984" s="18"/>
      <c r="D16984" s="19"/>
      <c r="E16984" s="57"/>
      <c r="H16984" s="18"/>
    </row>
    <row r="16985">
      <c r="C16985" s="18"/>
      <c r="D16985" s="19"/>
      <c r="E16985" s="57"/>
      <c r="H16985" s="18"/>
    </row>
    <row r="16986">
      <c r="C16986" s="18"/>
      <c r="D16986" s="19"/>
      <c r="E16986" s="57"/>
      <c r="H16986" s="18"/>
    </row>
    <row r="16987">
      <c r="C16987" s="18"/>
      <c r="D16987" s="19"/>
      <c r="E16987" s="57"/>
      <c r="H16987" s="18"/>
    </row>
    <row r="16988">
      <c r="C16988" s="18"/>
      <c r="D16988" s="19"/>
      <c r="E16988" s="57"/>
      <c r="H16988" s="18"/>
    </row>
    <row r="16989">
      <c r="C16989" s="18"/>
      <c r="D16989" s="19"/>
      <c r="E16989" s="57"/>
      <c r="H16989" s="18"/>
    </row>
    <row r="16990">
      <c r="C16990" s="18"/>
      <c r="D16990" s="19"/>
      <c r="E16990" s="57"/>
      <c r="H16990" s="18"/>
    </row>
    <row r="16991">
      <c r="C16991" s="18"/>
      <c r="D16991" s="19"/>
      <c r="E16991" s="57"/>
      <c r="H16991" s="18"/>
    </row>
    <row r="16992">
      <c r="C16992" s="18"/>
      <c r="D16992" s="19"/>
      <c r="E16992" s="57"/>
      <c r="H16992" s="18"/>
    </row>
    <row r="16993">
      <c r="C16993" s="18"/>
      <c r="D16993" s="19"/>
      <c r="E16993" s="57"/>
      <c r="H16993" s="18"/>
    </row>
    <row r="16994">
      <c r="C16994" s="18"/>
      <c r="D16994" s="19"/>
      <c r="E16994" s="57"/>
      <c r="H16994" s="18"/>
    </row>
    <row r="16995">
      <c r="C16995" s="18"/>
      <c r="D16995" s="19"/>
      <c r="E16995" s="57"/>
      <c r="H16995" s="18"/>
    </row>
    <row r="16996">
      <c r="C16996" s="18"/>
      <c r="D16996" s="19"/>
      <c r="E16996" s="57"/>
      <c r="H16996" s="18"/>
    </row>
    <row r="16997">
      <c r="C16997" s="18"/>
      <c r="D16997" s="19"/>
      <c r="E16997" s="57"/>
      <c r="H16997" s="18"/>
    </row>
    <row r="16998">
      <c r="C16998" s="18"/>
      <c r="D16998" s="19"/>
      <c r="E16998" s="57"/>
      <c r="H16998" s="18"/>
    </row>
    <row r="16999">
      <c r="C16999" s="18"/>
      <c r="D16999" s="19"/>
      <c r="E16999" s="57"/>
      <c r="H16999" s="18"/>
    </row>
    <row r="17000">
      <c r="C17000" s="18"/>
      <c r="D17000" s="19"/>
      <c r="E17000" s="57"/>
      <c r="H17000" s="18"/>
    </row>
    <row r="17001">
      <c r="C17001" s="18"/>
      <c r="D17001" s="19"/>
      <c r="E17001" s="57"/>
      <c r="H17001" s="18"/>
    </row>
    <row r="17002">
      <c r="C17002" s="18"/>
      <c r="D17002" s="19"/>
      <c r="E17002" s="57"/>
      <c r="H17002" s="18"/>
    </row>
    <row r="17003">
      <c r="C17003" s="18"/>
      <c r="D17003" s="19"/>
      <c r="E17003" s="57"/>
      <c r="H17003" s="18"/>
    </row>
    <row r="17004">
      <c r="C17004" s="18"/>
      <c r="D17004" s="19"/>
      <c r="E17004" s="57"/>
      <c r="H17004" s="18"/>
    </row>
    <row r="17005">
      <c r="C17005" s="18"/>
      <c r="D17005" s="19"/>
      <c r="E17005" s="57"/>
      <c r="H17005" s="18"/>
    </row>
    <row r="17006">
      <c r="C17006" s="18"/>
      <c r="D17006" s="19"/>
      <c r="E17006" s="57"/>
      <c r="H17006" s="18"/>
    </row>
    <row r="17007">
      <c r="C17007" s="18"/>
      <c r="D17007" s="19"/>
      <c r="E17007" s="57"/>
      <c r="H17007" s="18"/>
    </row>
    <row r="17008">
      <c r="C17008" s="18"/>
      <c r="D17008" s="19"/>
      <c r="E17008" s="57"/>
      <c r="H17008" s="18"/>
    </row>
    <row r="17009">
      <c r="C17009" s="18"/>
      <c r="D17009" s="19"/>
      <c r="E17009" s="57"/>
      <c r="H17009" s="18"/>
    </row>
    <row r="17010">
      <c r="C17010" s="18"/>
      <c r="D17010" s="19"/>
      <c r="E17010" s="57"/>
      <c r="H17010" s="18"/>
    </row>
    <row r="17011">
      <c r="C17011" s="18"/>
      <c r="D17011" s="19"/>
      <c r="E17011" s="57"/>
      <c r="H17011" s="18"/>
    </row>
    <row r="17012">
      <c r="C17012" s="18"/>
      <c r="D17012" s="19"/>
      <c r="E17012" s="57"/>
      <c r="H17012" s="18"/>
    </row>
    <row r="17013">
      <c r="C17013" s="18"/>
      <c r="D17013" s="19"/>
      <c r="E17013" s="57"/>
      <c r="H17013" s="18"/>
    </row>
    <row r="17014">
      <c r="C17014" s="18"/>
      <c r="D17014" s="19"/>
      <c r="E17014" s="57"/>
      <c r="H17014" s="18"/>
    </row>
    <row r="17015">
      <c r="C17015" s="18"/>
      <c r="D17015" s="19"/>
      <c r="E17015" s="57"/>
      <c r="H17015" s="18"/>
    </row>
    <row r="17016">
      <c r="C17016" s="18"/>
      <c r="D17016" s="19"/>
      <c r="E17016" s="57"/>
      <c r="H17016" s="18"/>
    </row>
    <row r="17017">
      <c r="C17017" s="18"/>
      <c r="D17017" s="19"/>
      <c r="E17017" s="57"/>
      <c r="H17017" s="18"/>
    </row>
    <row r="17018">
      <c r="C17018" s="18"/>
      <c r="D17018" s="19"/>
      <c r="E17018" s="57"/>
      <c r="H17018" s="18"/>
    </row>
    <row r="17019">
      <c r="C17019" s="18"/>
      <c r="D17019" s="19"/>
      <c r="E17019" s="57"/>
      <c r="H17019" s="18"/>
    </row>
    <row r="17020">
      <c r="C17020" s="18"/>
      <c r="D17020" s="19"/>
      <c r="E17020" s="57"/>
      <c r="H17020" s="18"/>
    </row>
    <row r="17021">
      <c r="C17021" s="18"/>
      <c r="D17021" s="19"/>
      <c r="E17021" s="57"/>
      <c r="H17021" s="18"/>
    </row>
    <row r="17022">
      <c r="C17022" s="18"/>
      <c r="D17022" s="19"/>
      <c r="E17022" s="57"/>
      <c r="H17022" s="18"/>
    </row>
    <row r="17023">
      <c r="C17023" s="18"/>
      <c r="D17023" s="19"/>
      <c r="E17023" s="57"/>
      <c r="H17023" s="18"/>
    </row>
    <row r="17024">
      <c r="C17024" s="18"/>
      <c r="D17024" s="19"/>
      <c r="E17024" s="57"/>
      <c r="H17024" s="18"/>
    </row>
    <row r="17025">
      <c r="C17025" s="18"/>
      <c r="D17025" s="19"/>
      <c r="E17025" s="57"/>
      <c r="H17025" s="18"/>
    </row>
    <row r="17026">
      <c r="C17026" s="18"/>
      <c r="D17026" s="19"/>
      <c r="E17026" s="57"/>
      <c r="H17026" s="18"/>
    </row>
    <row r="17027">
      <c r="C17027" s="18"/>
      <c r="D17027" s="19"/>
      <c r="E17027" s="57"/>
      <c r="H17027" s="18"/>
    </row>
    <row r="17028">
      <c r="C17028" s="18"/>
      <c r="D17028" s="19"/>
      <c r="E17028" s="57"/>
      <c r="H17028" s="18"/>
    </row>
    <row r="17029">
      <c r="C17029" s="18"/>
      <c r="D17029" s="19"/>
      <c r="E17029" s="57"/>
      <c r="H17029" s="18"/>
    </row>
    <row r="17030">
      <c r="C17030" s="18"/>
      <c r="D17030" s="19"/>
      <c r="E17030" s="57"/>
      <c r="H17030" s="18"/>
    </row>
    <row r="17031">
      <c r="C17031" s="18"/>
      <c r="D17031" s="19"/>
      <c r="E17031" s="57"/>
      <c r="H17031" s="18"/>
    </row>
    <row r="17032">
      <c r="C17032" s="18"/>
      <c r="D17032" s="19"/>
      <c r="E17032" s="57"/>
      <c r="H17032" s="18"/>
    </row>
    <row r="17033">
      <c r="C17033" s="18"/>
      <c r="D17033" s="19"/>
      <c r="E17033" s="57"/>
      <c r="H17033" s="18"/>
    </row>
    <row r="17034">
      <c r="C17034" s="18"/>
      <c r="D17034" s="19"/>
      <c r="E17034" s="57"/>
      <c r="H17034" s="18"/>
    </row>
    <row r="17035">
      <c r="C17035" s="18"/>
      <c r="D17035" s="19"/>
      <c r="E17035" s="57"/>
      <c r="H17035" s="18"/>
    </row>
    <row r="17036">
      <c r="C17036" s="18"/>
      <c r="D17036" s="19"/>
      <c r="E17036" s="57"/>
      <c r="H17036" s="18"/>
    </row>
    <row r="17037">
      <c r="C17037" s="18"/>
      <c r="D17037" s="19"/>
      <c r="E17037" s="57"/>
      <c r="H17037" s="18"/>
    </row>
    <row r="17038">
      <c r="C17038" s="18"/>
      <c r="D17038" s="19"/>
      <c r="E17038" s="57"/>
      <c r="H17038" s="18"/>
    </row>
    <row r="17039">
      <c r="C17039" s="18"/>
      <c r="D17039" s="19"/>
      <c r="E17039" s="57"/>
      <c r="H17039" s="18"/>
    </row>
    <row r="17040">
      <c r="C17040" s="18"/>
      <c r="D17040" s="19"/>
      <c r="E17040" s="57"/>
      <c r="H17040" s="18"/>
    </row>
    <row r="17041">
      <c r="C17041" s="18"/>
      <c r="D17041" s="19"/>
      <c r="E17041" s="57"/>
      <c r="H17041" s="18"/>
    </row>
    <row r="17042">
      <c r="C17042" s="18"/>
      <c r="D17042" s="19"/>
      <c r="E17042" s="57"/>
      <c r="H17042" s="18"/>
    </row>
    <row r="17043">
      <c r="C17043" s="18"/>
      <c r="D17043" s="19"/>
      <c r="E17043" s="57"/>
      <c r="H17043" s="18"/>
    </row>
    <row r="17044">
      <c r="C17044" s="18"/>
      <c r="D17044" s="19"/>
      <c r="E17044" s="57"/>
      <c r="H17044" s="18"/>
    </row>
    <row r="17045">
      <c r="C17045" s="18"/>
      <c r="D17045" s="19"/>
      <c r="E17045" s="57"/>
      <c r="H17045" s="18"/>
    </row>
    <row r="17046">
      <c r="C17046" s="18"/>
      <c r="D17046" s="19"/>
      <c r="E17046" s="57"/>
      <c r="H17046" s="18"/>
    </row>
    <row r="17047">
      <c r="C17047" s="18"/>
      <c r="D17047" s="19"/>
      <c r="E17047" s="57"/>
      <c r="H17047" s="18"/>
    </row>
    <row r="17048">
      <c r="C17048" s="18"/>
      <c r="D17048" s="19"/>
      <c r="E17048" s="57"/>
      <c r="H17048" s="18"/>
    </row>
    <row r="17049">
      <c r="C17049" s="18"/>
      <c r="D17049" s="19"/>
      <c r="E17049" s="57"/>
      <c r="H17049" s="18"/>
    </row>
    <row r="17050">
      <c r="C17050" s="18"/>
      <c r="D17050" s="19"/>
      <c r="E17050" s="57"/>
      <c r="H17050" s="18"/>
    </row>
    <row r="17051">
      <c r="C17051" s="18"/>
      <c r="D17051" s="19"/>
      <c r="E17051" s="57"/>
      <c r="H17051" s="18"/>
    </row>
    <row r="17052">
      <c r="C17052" s="18"/>
      <c r="D17052" s="19"/>
      <c r="E17052" s="57"/>
      <c r="H17052" s="18"/>
    </row>
    <row r="17053">
      <c r="C17053" s="18"/>
      <c r="D17053" s="19"/>
      <c r="E17053" s="57"/>
      <c r="H17053" s="18"/>
    </row>
    <row r="17054">
      <c r="C17054" s="18"/>
      <c r="D17054" s="19"/>
      <c r="E17054" s="57"/>
      <c r="H17054" s="18"/>
    </row>
    <row r="17055">
      <c r="C17055" s="18"/>
      <c r="D17055" s="19"/>
      <c r="E17055" s="57"/>
      <c r="H17055" s="18"/>
    </row>
    <row r="17056">
      <c r="C17056" s="18"/>
      <c r="D17056" s="19"/>
      <c r="E17056" s="57"/>
      <c r="H17056" s="18"/>
    </row>
    <row r="17057">
      <c r="C17057" s="18"/>
      <c r="D17057" s="19"/>
      <c r="E17057" s="57"/>
      <c r="H17057" s="18"/>
    </row>
    <row r="17058">
      <c r="C17058" s="18"/>
      <c r="D17058" s="19"/>
      <c r="E17058" s="57"/>
      <c r="H17058" s="18"/>
    </row>
    <row r="17059">
      <c r="C17059" s="18"/>
      <c r="D17059" s="19"/>
      <c r="E17059" s="57"/>
      <c r="H17059" s="18"/>
    </row>
    <row r="17060">
      <c r="C17060" s="18"/>
      <c r="D17060" s="19"/>
      <c r="E17060" s="57"/>
      <c r="H17060" s="18"/>
    </row>
    <row r="17061">
      <c r="C17061" s="18"/>
      <c r="D17061" s="19"/>
      <c r="E17061" s="57"/>
      <c r="H17061" s="18"/>
    </row>
    <row r="17062">
      <c r="C17062" s="18"/>
      <c r="D17062" s="19"/>
      <c r="E17062" s="57"/>
      <c r="H17062" s="18"/>
    </row>
    <row r="17063">
      <c r="C17063" s="18"/>
      <c r="D17063" s="19"/>
      <c r="E17063" s="57"/>
      <c r="H17063" s="18"/>
    </row>
    <row r="17064">
      <c r="C17064" s="18"/>
      <c r="D17064" s="19"/>
      <c r="E17064" s="57"/>
      <c r="H17064" s="18"/>
    </row>
    <row r="17065">
      <c r="C17065" s="18"/>
      <c r="D17065" s="19"/>
      <c r="E17065" s="57"/>
      <c r="H17065" s="18"/>
    </row>
    <row r="17066">
      <c r="C17066" s="18"/>
      <c r="D17066" s="19"/>
      <c r="E17066" s="57"/>
      <c r="H17066" s="18"/>
    </row>
    <row r="17067">
      <c r="C17067" s="18"/>
      <c r="D17067" s="19"/>
      <c r="E17067" s="57"/>
      <c r="H17067" s="18"/>
    </row>
    <row r="17068">
      <c r="C17068" s="18"/>
      <c r="D17068" s="19"/>
      <c r="E17068" s="57"/>
      <c r="H17068" s="18"/>
    </row>
    <row r="17069">
      <c r="C17069" s="18"/>
      <c r="D17069" s="19"/>
      <c r="E17069" s="57"/>
      <c r="H17069" s="18"/>
    </row>
    <row r="17070">
      <c r="C17070" s="18"/>
      <c r="D17070" s="19"/>
      <c r="E17070" s="57"/>
      <c r="H17070" s="18"/>
    </row>
    <row r="17071">
      <c r="C17071" s="18"/>
      <c r="D17071" s="19"/>
      <c r="E17071" s="57"/>
      <c r="H17071" s="18"/>
    </row>
    <row r="17072">
      <c r="C17072" s="18"/>
      <c r="D17072" s="19"/>
      <c r="E17072" s="57"/>
      <c r="H17072" s="18"/>
    </row>
    <row r="17073">
      <c r="C17073" s="18"/>
      <c r="D17073" s="19"/>
      <c r="E17073" s="57"/>
      <c r="H17073" s="18"/>
    </row>
    <row r="17074">
      <c r="C17074" s="18"/>
      <c r="D17074" s="19"/>
      <c r="E17074" s="57"/>
      <c r="H17074" s="18"/>
    </row>
    <row r="17075">
      <c r="C17075" s="18"/>
      <c r="D17075" s="19"/>
      <c r="E17075" s="57"/>
      <c r="H17075" s="18"/>
    </row>
    <row r="17076">
      <c r="C17076" s="18"/>
      <c r="D17076" s="19"/>
      <c r="E17076" s="57"/>
      <c r="H17076" s="18"/>
    </row>
    <row r="17077">
      <c r="C17077" s="18"/>
      <c r="D17077" s="19"/>
      <c r="E17077" s="57"/>
      <c r="H17077" s="18"/>
    </row>
    <row r="17078">
      <c r="C17078" s="18"/>
      <c r="D17078" s="19"/>
      <c r="E17078" s="57"/>
      <c r="H17078" s="18"/>
    </row>
    <row r="17079">
      <c r="C17079" s="18"/>
      <c r="D17079" s="19"/>
      <c r="E17079" s="57"/>
      <c r="H17079" s="18"/>
    </row>
    <row r="17080">
      <c r="C17080" s="18"/>
      <c r="D17080" s="19"/>
      <c r="E17080" s="57"/>
      <c r="H17080" s="18"/>
    </row>
    <row r="17081">
      <c r="C17081" s="18"/>
      <c r="D17081" s="19"/>
      <c r="E17081" s="57"/>
      <c r="H17081" s="18"/>
    </row>
    <row r="17082">
      <c r="C17082" s="18"/>
      <c r="D17082" s="19"/>
      <c r="E17082" s="57"/>
      <c r="H17082" s="18"/>
    </row>
    <row r="17083">
      <c r="C17083" s="18"/>
      <c r="D17083" s="19"/>
      <c r="E17083" s="57"/>
      <c r="H17083" s="18"/>
    </row>
    <row r="17084">
      <c r="C17084" s="18"/>
      <c r="D17084" s="19"/>
      <c r="E17084" s="57"/>
      <c r="H17084" s="18"/>
    </row>
    <row r="17085">
      <c r="C17085" s="18"/>
      <c r="D17085" s="19"/>
      <c r="E17085" s="57"/>
      <c r="H17085" s="18"/>
    </row>
    <row r="17086">
      <c r="C17086" s="18"/>
      <c r="D17086" s="19"/>
      <c r="E17086" s="57"/>
      <c r="H17086" s="18"/>
    </row>
    <row r="17087">
      <c r="C17087" s="18"/>
      <c r="D17087" s="19"/>
      <c r="E17087" s="57"/>
      <c r="H17087" s="18"/>
    </row>
    <row r="17088">
      <c r="C17088" s="18"/>
      <c r="D17088" s="19"/>
      <c r="E17088" s="57"/>
      <c r="H17088" s="18"/>
    </row>
    <row r="17089">
      <c r="C17089" s="18"/>
      <c r="D17089" s="19"/>
      <c r="E17089" s="57"/>
      <c r="H17089" s="18"/>
    </row>
    <row r="17090">
      <c r="C17090" s="18"/>
      <c r="D17090" s="19"/>
      <c r="E17090" s="57"/>
      <c r="H17090" s="18"/>
    </row>
    <row r="17091">
      <c r="C17091" s="18"/>
      <c r="D17091" s="19"/>
      <c r="E17091" s="57"/>
      <c r="H17091" s="18"/>
    </row>
    <row r="17092">
      <c r="C17092" s="18"/>
      <c r="D17092" s="19"/>
      <c r="E17092" s="57"/>
      <c r="H17092" s="18"/>
    </row>
    <row r="17093">
      <c r="C17093" s="18"/>
      <c r="D17093" s="19"/>
      <c r="E17093" s="57"/>
      <c r="H17093" s="18"/>
    </row>
    <row r="17094">
      <c r="C17094" s="18"/>
      <c r="D17094" s="19"/>
      <c r="E17094" s="57"/>
      <c r="H17094" s="18"/>
    </row>
    <row r="17095">
      <c r="C17095" s="18"/>
      <c r="D17095" s="19"/>
      <c r="E17095" s="57"/>
      <c r="H17095" s="18"/>
    </row>
    <row r="17096">
      <c r="C17096" s="18"/>
      <c r="D17096" s="19"/>
      <c r="E17096" s="57"/>
      <c r="H17096" s="18"/>
    </row>
    <row r="17097">
      <c r="C17097" s="18"/>
      <c r="D17097" s="19"/>
      <c r="E17097" s="57"/>
      <c r="H17097" s="18"/>
    </row>
    <row r="17098">
      <c r="C17098" s="18"/>
      <c r="D17098" s="19"/>
      <c r="E17098" s="57"/>
      <c r="H17098" s="18"/>
    </row>
    <row r="17099">
      <c r="C17099" s="18"/>
      <c r="D17099" s="19"/>
      <c r="E17099" s="57"/>
      <c r="H17099" s="18"/>
    </row>
    <row r="17100">
      <c r="C17100" s="18"/>
      <c r="D17100" s="19"/>
      <c r="E17100" s="57"/>
      <c r="H17100" s="18"/>
    </row>
    <row r="17101">
      <c r="C17101" s="18"/>
      <c r="D17101" s="19"/>
      <c r="E17101" s="57"/>
      <c r="H17101" s="18"/>
    </row>
    <row r="17102">
      <c r="C17102" s="18"/>
      <c r="D17102" s="19"/>
      <c r="E17102" s="57"/>
      <c r="H17102" s="18"/>
    </row>
    <row r="17103">
      <c r="C17103" s="18"/>
      <c r="D17103" s="19"/>
      <c r="E17103" s="57"/>
      <c r="H17103" s="18"/>
    </row>
    <row r="17104">
      <c r="C17104" s="18"/>
      <c r="D17104" s="19"/>
      <c r="E17104" s="57"/>
      <c r="H17104" s="18"/>
    </row>
    <row r="17105">
      <c r="C17105" s="18"/>
      <c r="D17105" s="19"/>
      <c r="E17105" s="57"/>
      <c r="H17105" s="18"/>
    </row>
    <row r="17106">
      <c r="C17106" s="18"/>
      <c r="D17106" s="19"/>
      <c r="E17106" s="57"/>
      <c r="H17106" s="18"/>
    </row>
    <row r="17107">
      <c r="C17107" s="18"/>
      <c r="D17107" s="19"/>
      <c r="E17107" s="57"/>
      <c r="H17107" s="18"/>
    </row>
    <row r="17108">
      <c r="C17108" s="18"/>
      <c r="D17108" s="19"/>
      <c r="E17108" s="57"/>
      <c r="H17108" s="18"/>
    </row>
    <row r="17109">
      <c r="C17109" s="18"/>
      <c r="D17109" s="19"/>
      <c r="E17109" s="57"/>
      <c r="H17109" s="18"/>
    </row>
    <row r="17110">
      <c r="C17110" s="18"/>
      <c r="D17110" s="19"/>
      <c r="E17110" s="57"/>
      <c r="H17110" s="18"/>
    </row>
    <row r="17111">
      <c r="C17111" s="18"/>
      <c r="D17111" s="19"/>
      <c r="E17111" s="57"/>
      <c r="H17111" s="18"/>
    </row>
    <row r="17112">
      <c r="C17112" s="18"/>
      <c r="D17112" s="19"/>
      <c r="E17112" s="57"/>
      <c r="H17112" s="18"/>
    </row>
    <row r="17113">
      <c r="C17113" s="18"/>
      <c r="D17113" s="19"/>
      <c r="E17113" s="57"/>
      <c r="H17113" s="18"/>
    </row>
    <row r="17114">
      <c r="C17114" s="18"/>
      <c r="D17114" s="19"/>
      <c r="E17114" s="57"/>
      <c r="H17114" s="18"/>
    </row>
    <row r="17115">
      <c r="C17115" s="18"/>
      <c r="D17115" s="19"/>
      <c r="E17115" s="57"/>
      <c r="H17115" s="18"/>
    </row>
    <row r="17116">
      <c r="C17116" s="18"/>
      <c r="D17116" s="19"/>
      <c r="E17116" s="57"/>
      <c r="H17116" s="18"/>
    </row>
    <row r="17117">
      <c r="C17117" s="18"/>
      <c r="D17117" s="19"/>
      <c r="E17117" s="57"/>
      <c r="H17117" s="18"/>
    </row>
    <row r="17118">
      <c r="C17118" s="18"/>
      <c r="D17118" s="19"/>
      <c r="E17118" s="57"/>
      <c r="H17118" s="18"/>
    </row>
    <row r="17119">
      <c r="C17119" s="18"/>
      <c r="D17119" s="19"/>
      <c r="E17119" s="57"/>
      <c r="H17119" s="18"/>
    </row>
    <row r="17120">
      <c r="C17120" s="18"/>
      <c r="D17120" s="19"/>
      <c r="E17120" s="57"/>
      <c r="H17120" s="18"/>
    </row>
    <row r="17121">
      <c r="C17121" s="18"/>
      <c r="D17121" s="19"/>
      <c r="E17121" s="57"/>
      <c r="H17121" s="18"/>
    </row>
    <row r="17122">
      <c r="C17122" s="18"/>
      <c r="D17122" s="19"/>
      <c r="E17122" s="57"/>
      <c r="H17122" s="18"/>
    </row>
    <row r="17123">
      <c r="C17123" s="18"/>
      <c r="D17123" s="19"/>
      <c r="E17123" s="57"/>
      <c r="H17123" s="18"/>
    </row>
    <row r="17124">
      <c r="C17124" s="18"/>
      <c r="D17124" s="19"/>
      <c r="E17124" s="57"/>
      <c r="H17124" s="18"/>
    </row>
    <row r="17125">
      <c r="C17125" s="18"/>
      <c r="D17125" s="19"/>
      <c r="E17125" s="57"/>
      <c r="H17125" s="18"/>
    </row>
    <row r="17126">
      <c r="C17126" s="18"/>
      <c r="D17126" s="19"/>
      <c r="E17126" s="57"/>
      <c r="H17126" s="18"/>
    </row>
    <row r="17127">
      <c r="C17127" s="18"/>
      <c r="D17127" s="19"/>
      <c r="E17127" s="57"/>
      <c r="H17127" s="18"/>
    </row>
    <row r="17128">
      <c r="C17128" s="18"/>
      <c r="D17128" s="19"/>
      <c r="E17128" s="57"/>
      <c r="H17128" s="18"/>
    </row>
    <row r="17129">
      <c r="C17129" s="18"/>
      <c r="D17129" s="19"/>
      <c r="E17129" s="57"/>
      <c r="H17129" s="18"/>
    </row>
    <row r="17130">
      <c r="C17130" s="18"/>
      <c r="D17130" s="19"/>
      <c r="E17130" s="57"/>
      <c r="H17130" s="18"/>
    </row>
    <row r="17131">
      <c r="C17131" s="18"/>
      <c r="D17131" s="19"/>
      <c r="E17131" s="57"/>
      <c r="H17131" s="18"/>
    </row>
    <row r="17132">
      <c r="C17132" s="18"/>
      <c r="D17132" s="19"/>
      <c r="E17132" s="57"/>
      <c r="H17132" s="18"/>
    </row>
    <row r="17133">
      <c r="C17133" s="18"/>
      <c r="D17133" s="19"/>
      <c r="E17133" s="57"/>
      <c r="H17133" s="18"/>
    </row>
    <row r="17134">
      <c r="C17134" s="18"/>
      <c r="D17134" s="19"/>
      <c r="E17134" s="57"/>
      <c r="H17134" s="18"/>
    </row>
    <row r="17135">
      <c r="C17135" s="18"/>
      <c r="D17135" s="19"/>
      <c r="E17135" s="57"/>
      <c r="H17135" s="18"/>
    </row>
    <row r="17136">
      <c r="C17136" s="18"/>
      <c r="D17136" s="19"/>
      <c r="E17136" s="57"/>
      <c r="H17136" s="18"/>
    </row>
    <row r="17137">
      <c r="C17137" s="18"/>
      <c r="D17137" s="19"/>
      <c r="E17137" s="57"/>
      <c r="H17137" s="18"/>
    </row>
    <row r="17138">
      <c r="C17138" s="18"/>
      <c r="D17138" s="19"/>
      <c r="E17138" s="57"/>
      <c r="H17138" s="18"/>
    </row>
    <row r="17139">
      <c r="C17139" s="18"/>
      <c r="D17139" s="19"/>
      <c r="E17139" s="57"/>
      <c r="H17139" s="18"/>
    </row>
    <row r="17140">
      <c r="C17140" s="18"/>
      <c r="D17140" s="19"/>
      <c r="E17140" s="57"/>
      <c r="H17140" s="18"/>
    </row>
    <row r="17141">
      <c r="C17141" s="18"/>
      <c r="D17141" s="19"/>
      <c r="E17141" s="57"/>
      <c r="H17141" s="18"/>
    </row>
    <row r="17142">
      <c r="C17142" s="18"/>
      <c r="D17142" s="19"/>
      <c r="E17142" s="57"/>
      <c r="H17142" s="18"/>
    </row>
    <row r="17143">
      <c r="C17143" s="18"/>
      <c r="D17143" s="19"/>
      <c r="E17143" s="57"/>
      <c r="H17143" s="18"/>
    </row>
    <row r="17144">
      <c r="C17144" s="18"/>
      <c r="D17144" s="19"/>
      <c r="E17144" s="57"/>
      <c r="H17144" s="18"/>
    </row>
    <row r="17145">
      <c r="C17145" s="18"/>
      <c r="D17145" s="19"/>
      <c r="E17145" s="57"/>
      <c r="H17145" s="18"/>
    </row>
    <row r="17146">
      <c r="C17146" s="18"/>
      <c r="D17146" s="19"/>
      <c r="E17146" s="57"/>
      <c r="H17146" s="18"/>
    </row>
    <row r="17147">
      <c r="C17147" s="18"/>
      <c r="D17147" s="19"/>
      <c r="E17147" s="57"/>
      <c r="H17147" s="18"/>
    </row>
    <row r="17148">
      <c r="C17148" s="18"/>
      <c r="D17148" s="19"/>
      <c r="E17148" s="57"/>
      <c r="H17148" s="18"/>
    </row>
    <row r="17149">
      <c r="C17149" s="18"/>
      <c r="D17149" s="19"/>
      <c r="E17149" s="57"/>
      <c r="H17149" s="18"/>
    </row>
    <row r="17150">
      <c r="C17150" s="18"/>
      <c r="D17150" s="19"/>
      <c r="E17150" s="57"/>
      <c r="H17150" s="18"/>
    </row>
    <row r="17151">
      <c r="C17151" s="18"/>
      <c r="D17151" s="19"/>
      <c r="E17151" s="57"/>
      <c r="H17151" s="18"/>
    </row>
    <row r="17152">
      <c r="C17152" s="18"/>
      <c r="D17152" s="19"/>
      <c r="E17152" s="57"/>
      <c r="H17152" s="18"/>
    </row>
    <row r="17153">
      <c r="C17153" s="18"/>
      <c r="D17153" s="19"/>
      <c r="E17153" s="57"/>
      <c r="H17153" s="18"/>
    </row>
    <row r="17154">
      <c r="C17154" s="18"/>
      <c r="D17154" s="19"/>
      <c r="E17154" s="57"/>
      <c r="H17154" s="18"/>
    </row>
    <row r="17155">
      <c r="C17155" s="18"/>
      <c r="D17155" s="19"/>
      <c r="E17155" s="57"/>
      <c r="H17155" s="18"/>
    </row>
    <row r="17156">
      <c r="C17156" s="18"/>
      <c r="D17156" s="19"/>
      <c r="E17156" s="57"/>
      <c r="H17156" s="18"/>
    </row>
    <row r="17157">
      <c r="C17157" s="18"/>
      <c r="D17157" s="19"/>
      <c r="E17157" s="57"/>
      <c r="H17157" s="18"/>
    </row>
    <row r="17158">
      <c r="C17158" s="18"/>
      <c r="D17158" s="19"/>
      <c r="E17158" s="57"/>
      <c r="H17158" s="18"/>
    </row>
    <row r="17159">
      <c r="C17159" s="18"/>
      <c r="D17159" s="19"/>
      <c r="E17159" s="57"/>
      <c r="H17159" s="18"/>
    </row>
    <row r="17160">
      <c r="C17160" s="18"/>
      <c r="D17160" s="19"/>
      <c r="E17160" s="57"/>
      <c r="H17160" s="18"/>
    </row>
    <row r="17161">
      <c r="C17161" s="18"/>
      <c r="D17161" s="19"/>
      <c r="E17161" s="57"/>
      <c r="H17161" s="18"/>
    </row>
    <row r="17162">
      <c r="C17162" s="18"/>
      <c r="D17162" s="19"/>
      <c r="E17162" s="57"/>
      <c r="H17162" s="18"/>
    </row>
    <row r="17163">
      <c r="C17163" s="18"/>
      <c r="D17163" s="19"/>
      <c r="E17163" s="57"/>
      <c r="H17163" s="18"/>
    </row>
    <row r="17164">
      <c r="C17164" s="18"/>
      <c r="D17164" s="19"/>
      <c r="E17164" s="57"/>
      <c r="H17164" s="18"/>
    </row>
    <row r="17165">
      <c r="C17165" s="18"/>
      <c r="D17165" s="19"/>
      <c r="E17165" s="57"/>
      <c r="H17165" s="18"/>
    </row>
    <row r="17166">
      <c r="C17166" s="18"/>
      <c r="D17166" s="19"/>
      <c r="E17166" s="57"/>
      <c r="H17166" s="18"/>
    </row>
    <row r="17167">
      <c r="C17167" s="18"/>
      <c r="D17167" s="19"/>
      <c r="E17167" s="57"/>
      <c r="H17167" s="18"/>
    </row>
    <row r="17168">
      <c r="C17168" s="18"/>
      <c r="D17168" s="19"/>
      <c r="E17168" s="57"/>
      <c r="H17168" s="18"/>
    </row>
    <row r="17169">
      <c r="C17169" s="18"/>
      <c r="D17169" s="19"/>
      <c r="E17169" s="57"/>
      <c r="H17169" s="18"/>
    </row>
    <row r="17170">
      <c r="C17170" s="18"/>
      <c r="D17170" s="19"/>
      <c r="E17170" s="57"/>
      <c r="H17170" s="18"/>
    </row>
    <row r="17171">
      <c r="C17171" s="18"/>
      <c r="D17171" s="19"/>
      <c r="E17171" s="57"/>
      <c r="H17171" s="18"/>
    </row>
    <row r="17172">
      <c r="C17172" s="18"/>
      <c r="D17172" s="19"/>
      <c r="E17172" s="57"/>
      <c r="H17172" s="18"/>
    </row>
    <row r="17173">
      <c r="C17173" s="18"/>
      <c r="D17173" s="19"/>
      <c r="E17173" s="57"/>
      <c r="H17173" s="18"/>
    </row>
    <row r="17174">
      <c r="C17174" s="18"/>
      <c r="D17174" s="19"/>
      <c r="E17174" s="57"/>
      <c r="H17174" s="18"/>
    </row>
    <row r="17175">
      <c r="C17175" s="18"/>
      <c r="D17175" s="19"/>
      <c r="E17175" s="57"/>
      <c r="H17175" s="18"/>
    </row>
    <row r="17176">
      <c r="C17176" s="18"/>
      <c r="D17176" s="19"/>
      <c r="E17176" s="57"/>
      <c r="H17176" s="18"/>
    </row>
    <row r="17177">
      <c r="C17177" s="18"/>
      <c r="D17177" s="19"/>
      <c r="E17177" s="57"/>
      <c r="H17177" s="18"/>
    </row>
    <row r="17178">
      <c r="C17178" s="18"/>
      <c r="D17178" s="19"/>
      <c r="E17178" s="57"/>
      <c r="H17178" s="18"/>
    </row>
    <row r="17179">
      <c r="C17179" s="18"/>
      <c r="D17179" s="19"/>
      <c r="E17179" s="57"/>
      <c r="H17179" s="18"/>
    </row>
    <row r="17180">
      <c r="C17180" s="18"/>
      <c r="D17180" s="19"/>
      <c r="E17180" s="57"/>
      <c r="H17180" s="18"/>
    </row>
    <row r="17181">
      <c r="C17181" s="18"/>
      <c r="D17181" s="19"/>
      <c r="E17181" s="57"/>
      <c r="H17181" s="18"/>
    </row>
    <row r="17182">
      <c r="C17182" s="18"/>
      <c r="D17182" s="19"/>
      <c r="E17182" s="57"/>
      <c r="H17182" s="18"/>
    </row>
    <row r="17183">
      <c r="C17183" s="18"/>
      <c r="D17183" s="19"/>
      <c r="E17183" s="57"/>
      <c r="H17183" s="18"/>
    </row>
    <row r="17184">
      <c r="C17184" s="18"/>
      <c r="D17184" s="19"/>
      <c r="E17184" s="57"/>
      <c r="H17184" s="18"/>
    </row>
    <row r="17185">
      <c r="C17185" s="18"/>
      <c r="D17185" s="19"/>
      <c r="E17185" s="57"/>
      <c r="H17185" s="18"/>
    </row>
    <row r="17186">
      <c r="C17186" s="18"/>
      <c r="D17186" s="19"/>
      <c r="E17186" s="57"/>
      <c r="H17186" s="18"/>
    </row>
    <row r="17187">
      <c r="C17187" s="18"/>
      <c r="D17187" s="19"/>
      <c r="E17187" s="57"/>
      <c r="H17187" s="18"/>
    </row>
    <row r="17188">
      <c r="C17188" s="18"/>
      <c r="D17188" s="19"/>
      <c r="E17188" s="57"/>
      <c r="H17188" s="18"/>
    </row>
    <row r="17189">
      <c r="C17189" s="18"/>
      <c r="D17189" s="19"/>
      <c r="E17189" s="57"/>
      <c r="H17189" s="18"/>
    </row>
    <row r="17190">
      <c r="C17190" s="18"/>
      <c r="D17190" s="19"/>
      <c r="E17190" s="57"/>
      <c r="H17190" s="18"/>
    </row>
    <row r="17191">
      <c r="C17191" s="18"/>
      <c r="D17191" s="19"/>
      <c r="E17191" s="57"/>
      <c r="H17191" s="18"/>
    </row>
    <row r="17192">
      <c r="C17192" s="18"/>
      <c r="D17192" s="19"/>
      <c r="E17192" s="57"/>
      <c r="H17192" s="18"/>
    </row>
    <row r="17193">
      <c r="C17193" s="18"/>
      <c r="D17193" s="19"/>
      <c r="E17193" s="57"/>
      <c r="H17193" s="18"/>
    </row>
    <row r="17194">
      <c r="C17194" s="18"/>
      <c r="D17194" s="19"/>
      <c r="E17194" s="57"/>
      <c r="H17194" s="18"/>
    </row>
    <row r="17195">
      <c r="C17195" s="18"/>
      <c r="D17195" s="19"/>
      <c r="E17195" s="57"/>
      <c r="H17195" s="18"/>
    </row>
    <row r="17196">
      <c r="C17196" s="18"/>
      <c r="D17196" s="19"/>
      <c r="E17196" s="57"/>
      <c r="H17196" s="18"/>
    </row>
    <row r="17197">
      <c r="C17197" s="18"/>
      <c r="D17197" s="19"/>
      <c r="E17197" s="57"/>
      <c r="H17197" s="18"/>
    </row>
    <row r="17198">
      <c r="C17198" s="18"/>
      <c r="D17198" s="19"/>
      <c r="E17198" s="57"/>
      <c r="H17198" s="18"/>
    </row>
    <row r="17199">
      <c r="C17199" s="18"/>
      <c r="D17199" s="19"/>
      <c r="E17199" s="57"/>
      <c r="H17199" s="18"/>
    </row>
    <row r="17200">
      <c r="C17200" s="18"/>
      <c r="D17200" s="19"/>
      <c r="E17200" s="57"/>
      <c r="H17200" s="18"/>
    </row>
    <row r="17201">
      <c r="C17201" s="18"/>
      <c r="D17201" s="19"/>
      <c r="E17201" s="57"/>
      <c r="H17201" s="18"/>
    </row>
    <row r="17202">
      <c r="C17202" s="18"/>
      <c r="D17202" s="19"/>
      <c r="E17202" s="57"/>
      <c r="H17202" s="18"/>
    </row>
    <row r="17203">
      <c r="C17203" s="18"/>
      <c r="D17203" s="19"/>
      <c r="E17203" s="57"/>
      <c r="H17203" s="18"/>
    </row>
    <row r="17204">
      <c r="C17204" s="18"/>
      <c r="D17204" s="19"/>
      <c r="E17204" s="57"/>
      <c r="H17204" s="18"/>
    </row>
    <row r="17205">
      <c r="C17205" s="18"/>
      <c r="D17205" s="19"/>
      <c r="E17205" s="57"/>
      <c r="H17205" s="18"/>
    </row>
    <row r="17206">
      <c r="C17206" s="18"/>
      <c r="D17206" s="19"/>
      <c r="E17206" s="57"/>
      <c r="H17206" s="18"/>
    </row>
    <row r="17207">
      <c r="C17207" s="18"/>
      <c r="D17207" s="19"/>
      <c r="E17207" s="57"/>
      <c r="H17207" s="18"/>
    </row>
    <row r="17208">
      <c r="C17208" s="18"/>
      <c r="D17208" s="19"/>
      <c r="E17208" s="57"/>
      <c r="H17208" s="18"/>
    </row>
    <row r="17209">
      <c r="C17209" s="18"/>
      <c r="D17209" s="19"/>
      <c r="E17209" s="57"/>
      <c r="H17209" s="18"/>
    </row>
    <row r="17210">
      <c r="C17210" s="18"/>
      <c r="D17210" s="19"/>
      <c r="E17210" s="57"/>
      <c r="H17210" s="18"/>
    </row>
    <row r="17211">
      <c r="C17211" s="18"/>
      <c r="D17211" s="19"/>
      <c r="E17211" s="57"/>
      <c r="H17211" s="18"/>
    </row>
    <row r="17212">
      <c r="C17212" s="18"/>
      <c r="D17212" s="19"/>
      <c r="E17212" s="57"/>
      <c r="H17212" s="18"/>
    </row>
    <row r="17213">
      <c r="C17213" s="18"/>
      <c r="D17213" s="19"/>
      <c r="E17213" s="57"/>
      <c r="H17213" s="18"/>
    </row>
    <row r="17214">
      <c r="C17214" s="18"/>
      <c r="D17214" s="19"/>
      <c r="E17214" s="57"/>
      <c r="H17214" s="18"/>
    </row>
    <row r="17215">
      <c r="C17215" s="18"/>
      <c r="D17215" s="19"/>
      <c r="E17215" s="57"/>
      <c r="H17215" s="18"/>
    </row>
    <row r="17216">
      <c r="C17216" s="18"/>
      <c r="D17216" s="19"/>
      <c r="E17216" s="57"/>
      <c r="H17216" s="18"/>
    </row>
    <row r="17217">
      <c r="C17217" s="18"/>
      <c r="D17217" s="19"/>
      <c r="E17217" s="57"/>
      <c r="H17217" s="18"/>
    </row>
    <row r="17218">
      <c r="C17218" s="18"/>
      <c r="D17218" s="19"/>
      <c r="E17218" s="57"/>
      <c r="H17218" s="18"/>
    </row>
    <row r="17219">
      <c r="C17219" s="18"/>
      <c r="D17219" s="19"/>
      <c r="E17219" s="57"/>
      <c r="H17219" s="18"/>
    </row>
    <row r="17220">
      <c r="C17220" s="18"/>
      <c r="D17220" s="19"/>
      <c r="E17220" s="57"/>
      <c r="H17220" s="18"/>
    </row>
    <row r="17221">
      <c r="C17221" s="18"/>
      <c r="D17221" s="19"/>
      <c r="E17221" s="57"/>
      <c r="H17221" s="18"/>
    </row>
    <row r="17222">
      <c r="C17222" s="18"/>
      <c r="D17222" s="19"/>
      <c r="E17222" s="57"/>
      <c r="H17222" s="18"/>
    </row>
    <row r="17223">
      <c r="C17223" s="18"/>
      <c r="D17223" s="19"/>
      <c r="E17223" s="57"/>
      <c r="H17223" s="18"/>
    </row>
    <row r="17224">
      <c r="C17224" s="18"/>
      <c r="D17224" s="19"/>
      <c r="E17224" s="57"/>
      <c r="H17224" s="18"/>
    </row>
    <row r="17225">
      <c r="C17225" s="18"/>
      <c r="D17225" s="19"/>
      <c r="E17225" s="57"/>
      <c r="H17225" s="18"/>
    </row>
    <row r="17226">
      <c r="C17226" s="18"/>
      <c r="D17226" s="19"/>
      <c r="E17226" s="57"/>
      <c r="H17226" s="18"/>
    </row>
    <row r="17227">
      <c r="C17227" s="18"/>
      <c r="D17227" s="19"/>
      <c r="E17227" s="57"/>
      <c r="H17227" s="18"/>
    </row>
    <row r="17228">
      <c r="C17228" s="18"/>
      <c r="D17228" s="19"/>
      <c r="E17228" s="57"/>
      <c r="H17228" s="18"/>
    </row>
    <row r="17229">
      <c r="C17229" s="18"/>
      <c r="D17229" s="19"/>
      <c r="E17229" s="57"/>
      <c r="H17229" s="18"/>
    </row>
    <row r="17230">
      <c r="C17230" s="18"/>
      <c r="D17230" s="19"/>
      <c r="E17230" s="57"/>
      <c r="H17230" s="18"/>
    </row>
    <row r="17231">
      <c r="C17231" s="18"/>
      <c r="D17231" s="19"/>
      <c r="E17231" s="57"/>
      <c r="H17231" s="18"/>
    </row>
    <row r="17232">
      <c r="C17232" s="18"/>
      <c r="D17232" s="19"/>
      <c r="E17232" s="57"/>
      <c r="H17232" s="18"/>
    </row>
    <row r="17233">
      <c r="C17233" s="18"/>
      <c r="D17233" s="19"/>
      <c r="E17233" s="57"/>
      <c r="H17233" s="18"/>
    </row>
    <row r="17234">
      <c r="C17234" s="18"/>
      <c r="D17234" s="19"/>
      <c r="E17234" s="57"/>
      <c r="H17234" s="18"/>
    </row>
    <row r="17235">
      <c r="C17235" s="18"/>
      <c r="D17235" s="19"/>
      <c r="E17235" s="57"/>
      <c r="H17235" s="18"/>
    </row>
    <row r="17236">
      <c r="C17236" s="18"/>
      <c r="D17236" s="19"/>
      <c r="E17236" s="57"/>
      <c r="H17236" s="18"/>
    </row>
    <row r="17237">
      <c r="C17237" s="18"/>
      <c r="D17237" s="19"/>
      <c r="E17237" s="57"/>
      <c r="H17237" s="18"/>
    </row>
    <row r="17238">
      <c r="C17238" s="18"/>
      <c r="D17238" s="19"/>
      <c r="E17238" s="57"/>
      <c r="H17238" s="18"/>
    </row>
    <row r="17239">
      <c r="C17239" s="18"/>
      <c r="D17239" s="19"/>
      <c r="E17239" s="57"/>
      <c r="H17239" s="18"/>
    </row>
    <row r="17240">
      <c r="C17240" s="18"/>
      <c r="D17240" s="19"/>
      <c r="E17240" s="57"/>
      <c r="H17240" s="18"/>
    </row>
    <row r="17241">
      <c r="C17241" s="18"/>
      <c r="D17241" s="19"/>
      <c r="E17241" s="57"/>
      <c r="H17241" s="18"/>
    </row>
    <row r="17242">
      <c r="C17242" s="18"/>
      <c r="D17242" s="19"/>
      <c r="E17242" s="57"/>
      <c r="H17242" s="18"/>
    </row>
    <row r="17243">
      <c r="C17243" s="18"/>
      <c r="D17243" s="19"/>
      <c r="E17243" s="57"/>
      <c r="H17243" s="18"/>
    </row>
    <row r="17244">
      <c r="C17244" s="18"/>
      <c r="D17244" s="19"/>
      <c r="E17244" s="57"/>
      <c r="H17244" s="18"/>
    </row>
    <row r="17245">
      <c r="C17245" s="18"/>
      <c r="D17245" s="19"/>
      <c r="E17245" s="57"/>
      <c r="H17245" s="18"/>
    </row>
    <row r="17246">
      <c r="C17246" s="18"/>
      <c r="D17246" s="19"/>
      <c r="E17246" s="57"/>
      <c r="H17246" s="18"/>
    </row>
    <row r="17247">
      <c r="C17247" s="18"/>
      <c r="D17247" s="19"/>
      <c r="E17247" s="57"/>
      <c r="H17247" s="18"/>
    </row>
    <row r="17248">
      <c r="C17248" s="18"/>
      <c r="D17248" s="19"/>
      <c r="E17248" s="57"/>
      <c r="H17248" s="18"/>
    </row>
    <row r="17249">
      <c r="C17249" s="18"/>
      <c r="D17249" s="19"/>
      <c r="E17249" s="57"/>
      <c r="H17249" s="18"/>
    </row>
    <row r="17250">
      <c r="C17250" s="18"/>
      <c r="D17250" s="19"/>
      <c r="E17250" s="57"/>
      <c r="H17250" s="18"/>
    </row>
    <row r="17251">
      <c r="C17251" s="18"/>
      <c r="D17251" s="19"/>
      <c r="E17251" s="57"/>
      <c r="H17251" s="18"/>
    </row>
    <row r="17252">
      <c r="C17252" s="18"/>
      <c r="D17252" s="19"/>
      <c r="E17252" s="57"/>
      <c r="H17252" s="18"/>
    </row>
    <row r="17253">
      <c r="C17253" s="18"/>
      <c r="D17253" s="19"/>
      <c r="E17253" s="57"/>
      <c r="H17253" s="18"/>
    </row>
    <row r="17254">
      <c r="C17254" s="18"/>
      <c r="D17254" s="19"/>
      <c r="E17254" s="57"/>
      <c r="H17254" s="18"/>
    </row>
    <row r="17255">
      <c r="C17255" s="18"/>
      <c r="D17255" s="19"/>
      <c r="E17255" s="57"/>
      <c r="H17255" s="18"/>
    </row>
    <row r="17256">
      <c r="C17256" s="18"/>
      <c r="D17256" s="19"/>
      <c r="E17256" s="57"/>
      <c r="H17256" s="18"/>
    </row>
    <row r="17257">
      <c r="C17257" s="18"/>
      <c r="D17257" s="19"/>
      <c r="E17257" s="57"/>
      <c r="H17257" s="18"/>
    </row>
    <row r="17258">
      <c r="C17258" s="18"/>
      <c r="D17258" s="19"/>
      <c r="E17258" s="57"/>
      <c r="H17258" s="18"/>
    </row>
    <row r="17259">
      <c r="C17259" s="18"/>
      <c r="D17259" s="19"/>
      <c r="E17259" s="57"/>
      <c r="H17259" s="18"/>
    </row>
    <row r="17260">
      <c r="C17260" s="18"/>
      <c r="D17260" s="19"/>
      <c r="E17260" s="57"/>
      <c r="H17260" s="18"/>
    </row>
    <row r="17261">
      <c r="C17261" s="18"/>
      <c r="D17261" s="19"/>
      <c r="E17261" s="57"/>
      <c r="H17261" s="18"/>
    </row>
    <row r="17262">
      <c r="C17262" s="18"/>
      <c r="D17262" s="19"/>
      <c r="E17262" s="57"/>
      <c r="H17262" s="18"/>
    </row>
    <row r="17263">
      <c r="C17263" s="18"/>
      <c r="D17263" s="19"/>
      <c r="E17263" s="57"/>
      <c r="H17263" s="18"/>
    </row>
    <row r="17264">
      <c r="C17264" s="18"/>
      <c r="D17264" s="19"/>
      <c r="E17264" s="57"/>
      <c r="H17264" s="18"/>
    </row>
    <row r="17265">
      <c r="C17265" s="18"/>
      <c r="D17265" s="19"/>
      <c r="E17265" s="57"/>
      <c r="H17265" s="18"/>
    </row>
    <row r="17266">
      <c r="C17266" s="18"/>
      <c r="D17266" s="19"/>
      <c r="E17266" s="57"/>
      <c r="H17266" s="18"/>
    </row>
    <row r="17267">
      <c r="C17267" s="18"/>
      <c r="D17267" s="19"/>
      <c r="E17267" s="57"/>
      <c r="H17267" s="18"/>
    </row>
    <row r="17268">
      <c r="C17268" s="18"/>
      <c r="D17268" s="19"/>
      <c r="E17268" s="57"/>
      <c r="H17268" s="18"/>
    </row>
    <row r="17269">
      <c r="C17269" s="18"/>
      <c r="D17269" s="19"/>
      <c r="E17269" s="57"/>
      <c r="H17269" s="18"/>
    </row>
    <row r="17270">
      <c r="C17270" s="18"/>
      <c r="D17270" s="19"/>
      <c r="E17270" s="57"/>
      <c r="H17270" s="18"/>
    </row>
    <row r="17271">
      <c r="C17271" s="18"/>
      <c r="D17271" s="19"/>
      <c r="E17271" s="57"/>
      <c r="H17271" s="18"/>
    </row>
    <row r="17272">
      <c r="C17272" s="18"/>
      <c r="D17272" s="19"/>
      <c r="E17272" s="57"/>
      <c r="H17272" s="18"/>
    </row>
    <row r="17273">
      <c r="C17273" s="18"/>
      <c r="D17273" s="19"/>
      <c r="E17273" s="57"/>
      <c r="H17273" s="18"/>
    </row>
    <row r="17274">
      <c r="C17274" s="18"/>
      <c r="D17274" s="19"/>
      <c r="E17274" s="57"/>
      <c r="H17274" s="18"/>
    </row>
    <row r="17275">
      <c r="C17275" s="18"/>
      <c r="D17275" s="19"/>
      <c r="E17275" s="57"/>
      <c r="H17275" s="18"/>
    </row>
    <row r="17276">
      <c r="C17276" s="18"/>
      <c r="D17276" s="19"/>
      <c r="E17276" s="57"/>
      <c r="H17276" s="18"/>
    </row>
    <row r="17277">
      <c r="C17277" s="18"/>
      <c r="D17277" s="19"/>
      <c r="E17277" s="57"/>
      <c r="H17277" s="18"/>
    </row>
    <row r="17278">
      <c r="C17278" s="18"/>
      <c r="D17278" s="19"/>
      <c r="E17278" s="57"/>
      <c r="H17278" s="18"/>
    </row>
    <row r="17279">
      <c r="C17279" s="18"/>
      <c r="D17279" s="19"/>
      <c r="E17279" s="57"/>
      <c r="H17279" s="18"/>
    </row>
    <row r="17280">
      <c r="C17280" s="18"/>
      <c r="D17280" s="19"/>
      <c r="E17280" s="57"/>
      <c r="H17280" s="18"/>
    </row>
    <row r="17281">
      <c r="C17281" s="18"/>
      <c r="D17281" s="19"/>
      <c r="E17281" s="57"/>
      <c r="H17281" s="18"/>
    </row>
    <row r="17282">
      <c r="C17282" s="18"/>
      <c r="D17282" s="19"/>
      <c r="E17282" s="57"/>
      <c r="H17282" s="18"/>
    </row>
    <row r="17283">
      <c r="C17283" s="18"/>
      <c r="D17283" s="19"/>
      <c r="E17283" s="57"/>
      <c r="H17283" s="18"/>
    </row>
    <row r="17284">
      <c r="C17284" s="18"/>
      <c r="D17284" s="19"/>
      <c r="E17284" s="57"/>
      <c r="H17284" s="18"/>
    </row>
    <row r="17285">
      <c r="C17285" s="18"/>
      <c r="D17285" s="19"/>
      <c r="E17285" s="57"/>
      <c r="H17285" s="18"/>
    </row>
    <row r="17286">
      <c r="C17286" s="18"/>
      <c r="D17286" s="19"/>
      <c r="E17286" s="57"/>
      <c r="H17286" s="18"/>
    </row>
    <row r="17287">
      <c r="C17287" s="18"/>
      <c r="D17287" s="19"/>
      <c r="E17287" s="57"/>
      <c r="H17287" s="18"/>
    </row>
    <row r="17288">
      <c r="C17288" s="18"/>
      <c r="D17288" s="19"/>
      <c r="E17288" s="57"/>
      <c r="H17288" s="18"/>
    </row>
    <row r="17289">
      <c r="C17289" s="18"/>
      <c r="D17289" s="19"/>
      <c r="E17289" s="57"/>
      <c r="H17289" s="18"/>
    </row>
    <row r="17290">
      <c r="C17290" s="18"/>
      <c r="D17290" s="19"/>
      <c r="E17290" s="57"/>
      <c r="H17290" s="18"/>
    </row>
    <row r="17291">
      <c r="C17291" s="18"/>
      <c r="D17291" s="19"/>
      <c r="E17291" s="57"/>
      <c r="H17291" s="18"/>
    </row>
    <row r="17292">
      <c r="C17292" s="18"/>
      <c r="D17292" s="19"/>
      <c r="E17292" s="57"/>
      <c r="H17292" s="18"/>
    </row>
    <row r="17293">
      <c r="C17293" s="18"/>
      <c r="D17293" s="19"/>
      <c r="E17293" s="57"/>
      <c r="H17293" s="18"/>
    </row>
    <row r="17294">
      <c r="C17294" s="18"/>
      <c r="D17294" s="19"/>
      <c r="E17294" s="57"/>
      <c r="H17294" s="18"/>
    </row>
    <row r="17295">
      <c r="C17295" s="18"/>
      <c r="D17295" s="19"/>
      <c r="E17295" s="57"/>
      <c r="H17295" s="18"/>
    </row>
    <row r="17296">
      <c r="C17296" s="18"/>
      <c r="D17296" s="19"/>
      <c r="E17296" s="57"/>
      <c r="H17296" s="18"/>
    </row>
    <row r="17297">
      <c r="C17297" s="18"/>
      <c r="D17297" s="19"/>
      <c r="E17297" s="57"/>
      <c r="H17297" s="18"/>
    </row>
    <row r="17298">
      <c r="C17298" s="18"/>
      <c r="D17298" s="19"/>
      <c r="E17298" s="57"/>
      <c r="H17298" s="18"/>
    </row>
    <row r="17299">
      <c r="C17299" s="18"/>
      <c r="D17299" s="19"/>
      <c r="E17299" s="57"/>
      <c r="H17299" s="18"/>
    </row>
    <row r="17300">
      <c r="C17300" s="18"/>
      <c r="D17300" s="19"/>
      <c r="E17300" s="57"/>
      <c r="H17300" s="18"/>
    </row>
    <row r="17301">
      <c r="C17301" s="18"/>
      <c r="D17301" s="19"/>
      <c r="E17301" s="57"/>
      <c r="H17301" s="18"/>
    </row>
    <row r="17302">
      <c r="C17302" s="18"/>
      <c r="D17302" s="19"/>
      <c r="E17302" s="57"/>
      <c r="H17302" s="18"/>
    </row>
    <row r="17303">
      <c r="C17303" s="18"/>
      <c r="D17303" s="19"/>
      <c r="E17303" s="57"/>
      <c r="H17303" s="18"/>
    </row>
    <row r="17304">
      <c r="C17304" s="18"/>
      <c r="D17304" s="19"/>
      <c r="E17304" s="57"/>
      <c r="H17304" s="18"/>
    </row>
    <row r="17305">
      <c r="C17305" s="18"/>
      <c r="D17305" s="19"/>
      <c r="E17305" s="57"/>
      <c r="H17305" s="18"/>
    </row>
    <row r="17306">
      <c r="C17306" s="18"/>
      <c r="D17306" s="19"/>
      <c r="E17306" s="57"/>
      <c r="H17306" s="18"/>
    </row>
    <row r="17307">
      <c r="C17307" s="18"/>
      <c r="D17307" s="19"/>
      <c r="E17307" s="57"/>
      <c r="H17307" s="18"/>
    </row>
    <row r="17308">
      <c r="C17308" s="18"/>
      <c r="D17308" s="19"/>
      <c r="E17308" s="57"/>
      <c r="H17308" s="18"/>
    </row>
    <row r="17309">
      <c r="C17309" s="18"/>
      <c r="D17309" s="19"/>
      <c r="E17309" s="57"/>
      <c r="H17309" s="18"/>
    </row>
    <row r="17310">
      <c r="C17310" s="18"/>
      <c r="D17310" s="19"/>
      <c r="E17310" s="57"/>
      <c r="H17310" s="18"/>
    </row>
    <row r="17311">
      <c r="C17311" s="18"/>
      <c r="D17311" s="19"/>
      <c r="E17311" s="57"/>
      <c r="H17311" s="18"/>
    </row>
    <row r="17312">
      <c r="C17312" s="18"/>
      <c r="D17312" s="19"/>
      <c r="E17312" s="57"/>
      <c r="H17312" s="18"/>
    </row>
    <row r="17313">
      <c r="C17313" s="18"/>
      <c r="D17313" s="19"/>
      <c r="E17313" s="57"/>
      <c r="H17313" s="18"/>
    </row>
    <row r="17314">
      <c r="C17314" s="18"/>
      <c r="D17314" s="19"/>
      <c r="E17314" s="57"/>
      <c r="H17314" s="18"/>
    </row>
    <row r="17315">
      <c r="C17315" s="18"/>
      <c r="D17315" s="19"/>
      <c r="E17315" s="57"/>
      <c r="H17315" s="18"/>
    </row>
    <row r="17316">
      <c r="C17316" s="18"/>
      <c r="D17316" s="19"/>
      <c r="E17316" s="57"/>
      <c r="H17316" s="18"/>
    </row>
    <row r="17317">
      <c r="C17317" s="18"/>
      <c r="D17317" s="19"/>
      <c r="E17317" s="57"/>
      <c r="H17317" s="18"/>
    </row>
    <row r="17318">
      <c r="C17318" s="18"/>
      <c r="D17318" s="19"/>
      <c r="E17318" s="57"/>
      <c r="H17318" s="18"/>
    </row>
    <row r="17319">
      <c r="C17319" s="18"/>
      <c r="D17319" s="19"/>
      <c r="E17319" s="57"/>
      <c r="H17319" s="18"/>
    </row>
    <row r="17320">
      <c r="C17320" s="18"/>
      <c r="D17320" s="19"/>
      <c r="E17320" s="57"/>
      <c r="H17320" s="18"/>
    </row>
    <row r="17321">
      <c r="C17321" s="18"/>
      <c r="D17321" s="19"/>
      <c r="E17321" s="57"/>
      <c r="H17321" s="18"/>
    </row>
    <row r="17322">
      <c r="C17322" s="18"/>
      <c r="D17322" s="19"/>
      <c r="E17322" s="57"/>
      <c r="H17322" s="18"/>
    </row>
    <row r="17323">
      <c r="C17323" s="18"/>
      <c r="D17323" s="19"/>
      <c r="E17323" s="57"/>
      <c r="H17323" s="18"/>
    </row>
    <row r="17324">
      <c r="C17324" s="18"/>
      <c r="D17324" s="19"/>
      <c r="E17324" s="57"/>
      <c r="H17324" s="18"/>
    </row>
    <row r="17325">
      <c r="C17325" s="18"/>
      <c r="D17325" s="19"/>
      <c r="E17325" s="57"/>
      <c r="H17325" s="18"/>
    </row>
    <row r="17326">
      <c r="C17326" s="18"/>
      <c r="D17326" s="19"/>
      <c r="E17326" s="57"/>
      <c r="H17326" s="18"/>
    </row>
    <row r="17327">
      <c r="C17327" s="18"/>
      <c r="D17327" s="19"/>
      <c r="E17327" s="57"/>
      <c r="H17327" s="18"/>
    </row>
    <row r="17328">
      <c r="C17328" s="18"/>
      <c r="D17328" s="19"/>
      <c r="E17328" s="57"/>
      <c r="H17328" s="18"/>
    </row>
    <row r="17329">
      <c r="C17329" s="18"/>
      <c r="D17329" s="19"/>
      <c r="E17329" s="57"/>
      <c r="H17329" s="18"/>
    </row>
    <row r="17330">
      <c r="C17330" s="18"/>
      <c r="D17330" s="19"/>
      <c r="E17330" s="57"/>
      <c r="H17330" s="18"/>
    </row>
    <row r="17331">
      <c r="C17331" s="18"/>
      <c r="D17331" s="19"/>
      <c r="E17331" s="57"/>
      <c r="H17331" s="18"/>
    </row>
    <row r="17332">
      <c r="C17332" s="18"/>
      <c r="D17332" s="19"/>
      <c r="E17332" s="57"/>
      <c r="H17332" s="18"/>
    </row>
    <row r="17333">
      <c r="C17333" s="18"/>
      <c r="D17333" s="19"/>
      <c r="E17333" s="57"/>
      <c r="H17333" s="18"/>
    </row>
    <row r="17334">
      <c r="C17334" s="18"/>
      <c r="D17334" s="19"/>
      <c r="E17334" s="57"/>
      <c r="H17334" s="18"/>
    </row>
    <row r="17335">
      <c r="C17335" s="18"/>
      <c r="D17335" s="19"/>
      <c r="E17335" s="57"/>
      <c r="H17335" s="18"/>
    </row>
    <row r="17336">
      <c r="C17336" s="18"/>
      <c r="D17336" s="19"/>
      <c r="E17336" s="57"/>
      <c r="H17336" s="18"/>
    </row>
    <row r="17337">
      <c r="C17337" s="18"/>
      <c r="D17337" s="19"/>
      <c r="E17337" s="57"/>
      <c r="H17337" s="18"/>
    </row>
    <row r="17338">
      <c r="C17338" s="18"/>
      <c r="D17338" s="19"/>
      <c r="E17338" s="57"/>
      <c r="H17338" s="18"/>
    </row>
    <row r="17339">
      <c r="C17339" s="18"/>
      <c r="D17339" s="19"/>
      <c r="E17339" s="57"/>
      <c r="H17339" s="18"/>
    </row>
    <row r="17340">
      <c r="C17340" s="18"/>
      <c r="D17340" s="19"/>
      <c r="E17340" s="57"/>
      <c r="H17340" s="18"/>
    </row>
    <row r="17341">
      <c r="C17341" s="18"/>
      <c r="D17341" s="19"/>
      <c r="E17341" s="57"/>
      <c r="H17341" s="18"/>
    </row>
    <row r="17342">
      <c r="C17342" s="18"/>
      <c r="D17342" s="19"/>
      <c r="E17342" s="57"/>
      <c r="H17342" s="18"/>
    </row>
    <row r="17343">
      <c r="C17343" s="18"/>
      <c r="D17343" s="19"/>
      <c r="E17343" s="57"/>
      <c r="H17343" s="18"/>
    </row>
    <row r="17344">
      <c r="C17344" s="18"/>
      <c r="D17344" s="19"/>
      <c r="E17344" s="57"/>
      <c r="H17344" s="18"/>
    </row>
    <row r="17345">
      <c r="C17345" s="18"/>
      <c r="D17345" s="19"/>
      <c r="E17345" s="57"/>
      <c r="H17345" s="18"/>
    </row>
    <row r="17346">
      <c r="C17346" s="18"/>
      <c r="D17346" s="19"/>
      <c r="E17346" s="57"/>
      <c r="H17346" s="18"/>
    </row>
    <row r="17347">
      <c r="C17347" s="18"/>
      <c r="D17347" s="19"/>
      <c r="E17347" s="57"/>
      <c r="H17347" s="18"/>
    </row>
    <row r="17348">
      <c r="C17348" s="18"/>
      <c r="D17348" s="19"/>
      <c r="E17348" s="57"/>
      <c r="H17348" s="18"/>
    </row>
    <row r="17349">
      <c r="C17349" s="18"/>
      <c r="D17349" s="19"/>
      <c r="E17349" s="57"/>
      <c r="H17349" s="18"/>
    </row>
    <row r="17350">
      <c r="C17350" s="18"/>
      <c r="D17350" s="19"/>
      <c r="E17350" s="57"/>
      <c r="H17350" s="18"/>
    </row>
    <row r="17351">
      <c r="C17351" s="18"/>
      <c r="D17351" s="19"/>
      <c r="E17351" s="57"/>
      <c r="H17351" s="18"/>
    </row>
    <row r="17352">
      <c r="C17352" s="18"/>
      <c r="D17352" s="19"/>
      <c r="E17352" s="57"/>
      <c r="H17352" s="18"/>
    </row>
    <row r="17353">
      <c r="C17353" s="18"/>
      <c r="D17353" s="19"/>
      <c r="E17353" s="57"/>
      <c r="H17353" s="18"/>
    </row>
    <row r="17354">
      <c r="C17354" s="18"/>
      <c r="D17354" s="19"/>
      <c r="E17354" s="57"/>
      <c r="H17354" s="18"/>
    </row>
    <row r="17355">
      <c r="C17355" s="18"/>
      <c r="D17355" s="19"/>
      <c r="E17355" s="57"/>
      <c r="H17355" s="18"/>
    </row>
    <row r="17356">
      <c r="C17356" s="18"/>
      <c r="D17356" s="19"/>
      <c r="E17356" s="57"/>
      <c r="H17356" s="18"/>
    </row>
    <row r="17357">
      <c r="C17357" s="18"/>
      <c r="D17357" s="19"/>
      <c r="E17357" s="57"/>
      <c r="H17357" s="18"/>
    </row>
    <row r="17358">
      <c r="C17358" s="18"/>
      <c r="D17358" s="19"/>
      <c r="E17358" s="57"/>
      <c r="H17358" s="18"/>
    </row>
    <row r="17359">
      <c r="C17359" s="18"/>
      <c r="D17359" s="19"/>
      <c r="E17359" s="57"/>
      <c r="H17359" s="18"/>
    </row>
    <row r="17360">
      <c r="C17360" s="18"/>
      <c r="D17360" s="19"/>
      <c r="E17360" s="57"/>
      <c r="H17360" s="18"/>
    </row>
    <row r="17361">
      <c r="C17361" s="18"/>
      <c r="D17361" s="19"/>
      <c r="E17361" s="57"/>
      <c r="H17361" s="18"/>
    </row>
    <row r="17362">
      <c r="C17362" s="18"/>
      <c r="D17362" s="19"/>
      <c r="E17362" s="57"/>
      <c r="H17362" s="18"/>
    </row>
    <row r="17363">
      <c r="C17363" s="18"/>
      <c r="D17363" s="19"/>
      <c r="E17363" s="57"/>
      <c r="H17363" s="18"/>
    </row>
    <row r="17364">
      <c r="C17364" s="18"/>
      <c r="D17364" s="19"/>
      <c r="E17364" s="57"/>
      <c r="H17364" s="18"/>
    </row>
    <row r="17365">
      <c r="C17365" s="18"/>
      <c r="D17365" s="19"/>
      <c r="E17365" s="57"/>
      <c r="H17365" s="18"/>
    </row>
    <row r="17366">
      <c r="C17366" s="18"/>
      <c r="D17366" s="19"/>
      <c r="E17366" s="57"/>
      <c r="H17366" s="18"/>
    </row>
    <row r="17367">
      <c r="C17367" s="18"/>
      <c r="D17367" s="19"/>
      <c r="E17367" s="57"/>
      <c r="H17367" s="18"/>
    </row>
    <row r="17368">
      <c r="C17368" s="18"/>
      <c r="D17368" s="19"/>
      <c r="E17368" s="57"/>
      <c r="H17368" s="18"/>
    </row>
    <row r="17369">
      <c r="C17369" s="18"/>
      <c r="D17369" s="19"/>
      <c r="E17369" s="57"/>
      <c r="H17369" s="18"/>
    </row>
    <row r="17370">
      <c r="C17370" s="18"/>
      <c r="D17370" s="19"/>
      <c r="E17370" s="57"/>
      <c r="H17370" s="18"/>
    </row>
    <row r="17371">
      <c r="C17371" s="18"/>
      <c r="D17371" s="19"/>
      <c r="E17371" s="57"/>
      <c r="H17371" s="18"/>
    </row>
    <row r="17372">
      <c r="C17372" s="18"/>
      <c r="D17372" s="19"/>
      <c r="E17372" s="57"/>
      <c r="H17372" s="18"/>
    </row>
    <row r="17373">
      <c r="C17373" s="18"/>
      <c r="D17373" s="19"/>
      <c r="E17373" s="57"/>
      <c r="H17373" s="18"/>
    </row>
    <row r="17374">
      <c r="C17374" s="18"/>
      <c r="D17374" s="19"/>
      <c r="E17374" s="57"/>
      <c r="H17374" s="18"/>
    </row>
    <row r="17375">
      <c r="C17375" s="18"/>
      <c r="D17375" s="19"/>
      <c r="E17375" s="57"/>
      <c r="H17375" s="18"/>
    </row>
    <row r="17376">
      <c r="C17376" s="18"/>
      <c r="D17376" s="19"/>
      <c r="E17376" s="57"/>
      <c r="H17376" s="18"/>
    </row>
    <row r="17377">
      <c r="C17377" s="18"/>
      <c r="D17377" s="19"/>
      <c r="E17377" s="57"/>
      <c r="H17377" s="18"/>
    </row>
    <row r="17378">
      <c r="C17378" s="18"/>
      <c r="D17378" s="19"/>
      <c r="E17378" s="57"/>
      <c r="H17378" s="18"/>
    </row>
    <row r="17379">
      <c r="C17379" s="18"/>
      <c r="D17379" s="19"/>
      <c r="E17379" s="57"/>
      <c r="H17379" s="18"/>
    </row>
    <row r="17380">
      <c r="C17380" s="18"/>
      <c r="D17380" s="19"/>
      <c r="E17380" s="57"/>
      <c r="H17380" s="18"/>
    </row>
    <row r="17381">
      <c r="C17381" s="18"/>
      <c r="D17381" s="19"/>
      <c r="E17381" s="57"/>
      <c r="H17381" s="18"/>
    </row>
    <row r="17382">
      <c r="C17382" s="18"/>
      <c r="D17382" s="19"/>
      <c r="E17382" s="57"/>
      <c r="H17382" s="18"/>
    </row>
    <row r="17383">
      <c r="C17383" s="18"/>
      <c r="D17383" s="19"/>
      <c r="E17383" s="57"/>
      <c r="H17383" s="18"/>
    </row>
    <row r="17384">
      <c r="C17384" s="18"/>
      <c r="D17384" s="19"/>
      <c r="E17384" s="57"/>
      <c r="H17384" s="18"/>
    </row>
    <row r="17385">
      <c r="C17385" s="18"/>
      <c r="D17385" s="19"/>
      <c r="E17385" s="57"/>
      <c r="H17385" s="18"/>
    </row>
    <row r="17386">
      <c r="C17386" s="18"/>
      <c r="D17386" s="19"/>
      <c r="E17386" s="57"/>
      <c r="H17386" s="18"/>
    </row>
    <row r="17387">
      <c r="C17387" s="18"/>
      <c r="D17387" s="19"/>
      <c r="E17387" s="57"/>
      <c r="H17387" s="18"/>
    </row>
    <row r="17388">
      <c r="C17388" s="18"/>
      <c r="D17388" s="19"/>
      <c r="E17388" s="57"/>
      <c r="H17388" s="18"/>
    </row>
    <row r="17389">
      <c r="C17389" s="18"/>
      <c r="D17389" s="19"/>
      <c r="E17389" s="57"/>
      <c r="H17389" s="18"/>
    </row>
    <row r="17390">
      <c r="C17390" s="18"/>
      <c r="D17390" s="19"/>
      <c r="E17390" s="57"/>
      <c r="H17390" s="18"/>
    </row>
    <row r="17391">
      <c r="C17391" s="18"/>
      <c r="D17391" s="19"/>
      <c r="E17391" s="57"/>
      <c r="H17391" s="18"/>
    </row>
    <row r="17392">
      <c r="C17392" s="18"/>
      <c r="D17392" s="19"/>
      <c r="E17392" s="57"/>
      <c r="H17392" s="18"/>
    </row>
    <row r="17393">
      <c r="C17393" s="18"/>
      <c r="D17393" s="19"/>
      <c r="E17393" s="57"/>
      <c r="H17393" s="18"/>
    </row>
    <row r="17394">
      <c r="C17394" s="18"/>
      <c r="D17394" s="19"/>
      <c r="E17394" s="57"/>
      <c r="H17394" s="18"/>
    </row>
    <row r="17395">
      <c r="C17395" s="18"/>
      <c r="D17395" s="19"/>
      <c r="E17395" s="57"/>
      <c r="H17395" s="18"/>
    </row>
    <row r="17396">
      <c r="C17396" s="18"/>
      <c r="D17396" s="19"/>
      <c r="E17396" s="57"/>
      <c r="H17396" s="18"/>
    </row>
    <row r="17397">
      <c r="C17397" s="18"/>
      <c r="D17397" s="19"/>
      <c r="E17397" s="57"/>
      <c r="H17397" s="18"/>
    </row>
    <row r="17398">
      <c r="C17398" s="18"/>
      <c r="D17398" s="19"/>
      <c r="E17398" s="57"/>
      <c r="H17398" s="18"/>
    </row>
    <row r="17399">
      <c r="C17399" s="18"/>
      <c r="D17399" s="19"/>
      <c r="E17399" s="57"/>
      <c r="H17399" s="18"/>
    </row>
    <row r="17400">
      <c r="C17400" s="18"/>
      <c r="D17400" s="19"/>
      <c r="E17400" s="57"/>
      <c r="H17400" s="18"/>
    </row>
    <row r="17401">
      <c r="C17401" s="18"/>
      <c r="D17401" s="19"/>
      <c r="E17401" s="57"/>
      <c r="H17401" s="18"/>
    </row>
    <row r="17402">
      <c r="C17402" s="18"/>
      <c r="D17402" s="19"/>
      <c r="E17402" s="57"/>
      <c r="H17402" s="18"/>
    </row>
    <row r="17403">
      <c r="C17403" s="18"/>
      <c r="D17403" s="19"/>
      <c r="E17403" s="57"/>
      <c r="H17403" s="18"/>
    </row>
    <row r="17404">
      <c r="C17404" s="18"/>
      <c r="D17404" s="19"/>
      <c r="E17404" s="57"/>
      <c r="H17404" s="18"/>
    </row>
    <row r="17405">
      <c r="C17405" s="18"/>
      <c r="D17405" s="19"/>
      <c r="E17405" s="57"/>
      <c r="H17405" s="18"/>
    </row>
    <row r="17406">
      <c r="C17406" s="18"/>
      <c r="D17406" s="19"/>
      <c r="E17406" s="57"/>
      <c r="H17406" s="18"/>
    </row>
    <row r="17407">
      <c r="C17407" s="18"/>
      <c r="D17407" s="19"/>
      <c r="E17407" s="57"/>
      <c r="H17407" s="18"/>
    </row>
    <row r="17408">
      <c r="C17408" s="18"/>
      <c r="D17408" s="19"/>
      <c r="E17408" s="57"/>
      <c r="H17408" s="18"/>
    </row>
    <row r="17409">
      <c r="C17409" s="18"/>
      <c r="D17409" s="19"/>
      <c r="E17409" s="57"/>
      <c r="H17409" s="18"/>
    </row>
    <row r="17410">
      <c r="C17410" s="18"/>
      <c r="D17410" s="19"/>
      <c r="E17410" s="57"/>
      <c r="H17410" s="18"/>
    </row>
    <row r="17411">
      <c r="C17411" s="18"/>
      <c r="D17411" s="19"/>
      <c r="E17411" s="57"/>
      <c r="H17411" s="18"/>
    </row>
    <row r="17412">
      <c r="C17412" s="18"/>
      <c r="D17412" s="19"/>
      <c r="E17412" s="57"/>
      <c r="H17412" s="18"/>
    </row>
    <row r="17413">
      <c r="C17413" s="18"/>
      <c r="D17413" s="19"/>
      <c r="E17413" s="57"/>
      <c r="H17413" s="18"/>
    </row>
    <row r="17414">
      <c r="C17414" s="18"/>
      <c r="D17414" s="19"/>
      <c r="E17414" s="57"/>
      <c r="H17414" s="18"/>
    </row>
    <row r="17415">
      <c r="C17415" s="18"/>
      <c r="D17415" s="19"/>
      <c r="E17415" s="57"/>
      <c r="H17415" s="18"/>
    </row>
    <row r="17416">
      <c r="C17416" s="18"/>
      <c r="D17416" s="19"/>
      <c r="E17416" s="57"/>
      <c r="H17416" s="18"/>
    </row>
    <row r="17417">
      <c r="C17417" s="18"/>
      <c r="D17417" s="19"/>
      <c r="E17417" s="57"/>
      <c r="H17417" s="18"/>
    </row>
    <row r="17418">
      <c r="C17418" s="18"/>
      <c r="D17418" s="19"/>
      <c r="E17418" s="57"/>
      <c r="H17418" s="18"/>
    </row>
    <row r="17419">
      <c r="C17419" s="18"/>
      <c r="D17419" s="19"/>
      <c r="E17419" s="57"/>
      <c r="H17419" s="18"/>
    </row>
    <row r="17420">
      <c r="C17420" s="18"/>
      <c r="D17420" s="19"/>
      <c r="E17420" s="57"/>
      <c r="H17420" s="18"/>
    </row>
    <row r="17421">
      <c r="C17421" s="18"/>
      <c r="D17421" s="19"/>
      <c r="E17421" s="57"/>
      <c r="H17421" s="18"/>
    </row>
    <row r="17422">
      <c r="C17422" s="18"/>
      <c r="D17422" s="19"/>
      <c r="E17422" s="57"/>
      <c r="H17422" s="18"/>
    </row>
    <row r="17423">
      <c r="C17423" s="18"/>
      <c r="D17423" s="19"/>
      <c r="E17423" s="57"/>
      <c r="H17423" s="18"/>
    </row>
    <row r="17424">
      <c r="C17424" s="18"/>
      <c r="D17424" s="19"/>
      <c r="E17424" s="57"/>
      <c r="H17424" s="18"/>
    </row>
    <row r="17425">
      <c r="C17425" s="18"/>
      <c r="D17425" s="19"/>
      <c r="E17425" s="57"/>
      <c r="H17425" s="18"/>
    </row>
    <row r="17426">
      <c r="C17426" s="18"/>
      <c r="D17426" s="19"/>
      <c r="E17426" s="57"/>
      <c r="H17426" s="18"/>
    </row>
    <row r="17427">
      <c r="C17427" s="18"/>
      <c r="D17427" s="19"/>
      <c r="E17427" s="57"/>
      <c r="H17427" s="18"/>
    </row>
    <row r="17428">
      <c r="C17428" s="18"/>
      <c r="D17428" s="19"/>
      <c r="E17428" s="57"/>
      <c r="H17428" s="18"/>
    </row>
    <row r="17429">
      <c r="C17429" s="18"/>
      <c r="D17429" s="19"/>
      <c r="E17429" s="57"/>
      <c r="H17429" s="18"/>
    </row>
    <row r="17430">
      <c r="C17430" s="18"/>
      <c r="D17430" s="19"/>
      <c r="E17430" s="57"/>
      <c r="H17430" s="18"/>
    </row>
    <row r="17431">
      <c r="C17431" s="18"/>
      <c r="D17431" s="19"/>
      <c r="E17431" s="57"/>
      <c r="H17431" s="18"/>
    </row>
    <row r="17432">
      <c r="C17432" s="18"/>
      <c r="D17432" s="19"/>
      <c r="E17432" s="57"/>
      <c r="H17432" s="18"/>
    </row>
    <row r="17433">
      <c r="C17433" s="18"/>
      <c r="D17433" s="19"/>
      <c r="E17433" s="57"/>
      <c r="H17433" s="18"/>
    </row>
    <row r="17434">
      <c r="C17434" s="18"/>
      <c r="D17434" s="19"/>
      <c r="E17434" s="57"/>
      <c r="H17434" s="18"/>
    </row>
    <row r="17435">
      <c r="C17435" s="18"/>
      <c r="D17435" s="19"/>
      <c r="E17435" s="57"/>
      <c r="H17435" s="18"/>
    </row>
    <row r="17436">
      <c r="C17436" s="18"/>
      <c r="D17436" s="19"/>
      <c r="E17436" s="57"/>
      <c r="H17436" s="18"/>
    </row>
    <row r="17437">
      <c r="C17437" s="18"/>
      <c r="D17437" s="19"/>
      <c r="E17437" s="57"/>
      <c r="H17437" s="18"/>
    </row>
    <row r="17438">
      <c r="C17438" s="18"/>
      <c r="D17438" s="19"/>
      <c r="E17438" s="57"/>
      <c r="H17438" s="18"/>
    </row>
    <row r="17439">
      <c r="C17439" s="18"/>
      <c r="D17439" s="19"/>
      <c r="E17439" s="57"/>
      <c r="H17439" s="18"/>
    </row>
    <row r="17440">
      <c r="C17440" s="18"/>
      <c r="D17440" s="19"/>
      <c r="E17440" s="57"/>
      <c r="H17440" s="18"/>
    </row>
    <row r="17441">
      <c r="C17441" s="18"/>
      <c r="D17441" s="19"/>
      <c r="E17441" s="57"/>
      <c r="H17441" s="18"/>
    </row>
    <row r="17442">
      <c r="C17442" s="18"/>
      <c r="D17442" s="19"/>
      <c r="E17442" s="57"/>
      <c r="H17442" s="18"/>
    </row>
    <row r="17443">
      <c r="C17443" s="18"/>
      <c r="D17443" s="19"/>
      <c r="E17443" s="57"/>
      <c r="H17443" s="18"/>
    </row>
    <row r="17444">
      <c r="C17444" s="18"/>
      <c r="D17444" s="19"/>
      <c r="E17444" s="57"/>
      <c r="H17444" s="18"/>
    </row>
    <row r="17445">
      <c r="C17445" s="18"/>
      <c r="D17445" s="19"/>
      <c r="E17445" s="57"/>
      <c r="H17445" s="18"/>
    </row>
    <row r="17446">
      <c r="C17446" s="18"/>
      <c r="D17446" s="19"/>
      <c r="E17446" s="57"/>
      <c r="H17446" s="18"/>
    </row>
    <row r="17447">
      <c r="C17447" s="18"/>
      <c r="D17447" s="19"/>
      <c r="E17447" s="57"/>
      <c r="H17447" s="18"/>
    </row>
    <row r="17448">
      <c r="C17448" s="18"/>
      <c r="D17448" s="19"/>
      <c r="E17448" s="57"/>
      <c r="H17448" s="18"/>
    </row>
    <row r="17449">
      <c r="C17449" s="18"/>
      <c r="D17449" s="19"/>
      <c r="E17449" s="57"/>
      <c r="H17449" s="18"/>
    </row>
    <row r="17450">
      <c r="C17450" s="18"/>
      <c r="D17450" s="19"/>
      <c r="E17450" s="57"/>
      <c r="H17450" s="18"/>
    </row>
    <row r="17451">
      <c r="C17451" s="18"/>
      <c r="D17451" s="19"/>
      <c r="E17451" s="57"/>
      <c r="H17451" s="18"/>
    </row>
    <row r="17452">
      <c r="C17452" s="18"/>
      <c r="D17452" s="19"/>
      <c r="E17452" s="57"/>
      <c r="H17452" s="18"/>
    </row>
    <row r="17453">
      <c r="C17453" s="18"/>
      <c r="D17453" s="19"/>
      <c r="E17453" s="57"/>
      <c r="H17453" s="18"/>
    </row>
    <row r="17454">
      <c r="C17454" s="18"/>
      <c r="D17454" s="19"/>
      <c r="E17454" s="57"/>
      <c r="H17454" s="18"/>
    </row>
    <row r="17455">
      <c r="C17455" s="18"/>
      <c r="D17455" s="19"/>
      <c r="E17455" s="57"/>
      <c r="H17455" s="18"/>
    </row>
    <row r="17456">
      <c r="C17456" s="18"/>
      <c r="D17456" s="19"/>
      <c r="E17456" s="57"/>
      <c r="H17456" s="18"/>
    </row>
    <row r="17457">
      <c r="C17457" s="18"/>
      <c r="D17457" s="19"/>
      <c r="E17457" s="57"/>
      <c r="H17457" s="18"/>
    </row>
    <row r="17458">
      <c r="C17458" s="18"/>
      <c r="D17458" s="19"/>
      <c r="E17458" s="57"/>
      <c r="H17458" s="18"/>
    </row>
    <row r="17459">
      <c r="C17459" s="18"/>
      <c r="D17459" s="19"/>
      <c r="E17459" s="57"/>
      <c r="H17459" s="18"/>
    </row>
    <row r="17460">
      <c r="C17460" s="18"/>
      <c r="D17460" s="19"/>
      <c r="E17460" s="57"/>
      <c r="H17460" s="18"/>
    </row>
    <row r="17461">
      <c r="C17461" s="18"/>
      <c r="D17461" s="19"/>
      <c r="E17461" s="57"/>
      <c r="H17461" s="18"/>
    </row>
    <row r="17462">
      <c r="C17462" s="18"/>
      <c r="D17462" s="19"/>
      <c r="E17462" s="57"/>
      <c r="H17462" s="18"/>
    </row>
    <row r="17463">
      <c r="C17463" s="18"/>
      <c r="D17463" s="19"/>
      <c r="E17463" s="57"/>
      <c r="H17463" s="18"/>
    </row>
    <row r="17464">
      <c r="C17464" s="18"/>
      <c r="D17464" s="19"/>
      <c r="E17464" s="57"/>
      <c r="H17464" s="18"/>
    </row>
    <row r="17465">
      <c r="C17465" s="18"/>
      <c r="D17465" s="19"/>
      <c r="E17465" s="57"/>
      <c r="H17465" s="18"/>
    </row>
    <row r="17466">
      <c r="C17466" s="18"/>
      <c r="D17466" s="19"/>
      <c r="E17466" s="57"/>
      <c r="H17466" s="18"/>
    </row>
    <row r="17467">
      <c r="C17467" s="18"/>
      <c r="D17467" s="19"/>
      <c r="E17467" s="57"/>
      <c r="H17467" s="18"/>
    </row>
    <row r="17468">
      <c r="C17468" s="18"/>
      <c r="D17468" s="19"/>
      <c r="E17468" s="57"/>
      <c r="H17468" s="18"/>
    </row>
    <row r="17469">
      <c r="C17469" s="18"/>
      <c r="D17469" s="19"/>
      <c r="E17469" s="57"/>
      <c r="H17469" s="18"/>
    </row>
    <row r="17470">
      <c r="C17470" s="18"/>
      <c r="D17470" s="19"/>
      <c r="E17470" s="57"/>
      <c r="H17470" s="18"/>
    </row>
    <row r="17471">
      <c r="C17471" s="18"/>
      <c r="D17471" s="19"/>
      <c r="E17471" s="57"/>
      <c r="H17471" s="18"/>
    </row>
    <row r="17472">
      <c r="C17472" s="18"/>
      <c r="D17472" s="19"/>
      <c r="E17472" s="57"/>
      <c r="H17472" s="18"/>
    </row>
    <row r="17473">
      <c r="C17473" s="18"/>
      <c r="D17473" s="19"/>
      <c r="E17473" s="57"/>
      <c r="H17473" s="18"/>
    </row>
    <row r="17474">
      <c r="C17474" s="18"/>
      <c r="D17474" s="19"/>
      <c r="E17474" s="57"/>
      <c r="H17474" s="18"/>
    </row>
    <row r="17475">
      <c r="C17475" s="18"/>
      <c r="D17475" s="19"/>
      <c r="E17475" s="57"/>
      <c r="H17475" s="18"/>
    </row>
    <row r="17476">
      <c r="C17476" s="18"/>
      <c r="D17476" s="19"/>
      <c r="E17476" s="57"/>
      <c r="H17476" s="18"/>
    </row>
    <row r="17477">
      <c r="C17477" s="18"/>
      <c r="D17477" s="19"/>
      <c r="E17477" s="57"/>
      <c r="H17477" s="18"/>
    </row>
    <row r="17478">
      <c r="C17478" s="18"/>
      <c r="D17478" s="19"/>
      <c r="E17478" s="57"/>
      <c r="H17478" s="18"/>
    </row>
    <row r="17479">
      <c r="C17479" s="18"/>
      <c r="D17479" s="19"/>
      <c r="E17479" s="57"/>
      <c r="H17479" s="18"/>
    </row>
    <row r="17480">
      <c r="C17480" s="18"/>
      <c r="D17480" s="19"/>
      <c r="E17480" s="57"/>
      <c r="H17480" s="18"/>
    </row>
    <row r="17481">
      <c r="C17481" s="18"/>
      <c r="D17481" s="19"/>
      <c r="E17481" s="57"/>
      <c r="H17481" s="18"/>
    </row>
    <row r="17482">
      <c r="C17482" s="18"/>
      <c r="D17482" s="19"/>
      <c r="E17482" s="57"/>
      <c r="H17482" s="18"/>
    </row>
    <row r="17483">
      <c r="C17483" s="18"/>
      <c r="D17483" s="19"/>
      <c r="E17483" s="57"/>
      <c r="H17483" s="18"/>
    </row>
    <row r="17484">
      <c r="C17484" s="18"/>
      <c r="D17484" s="19"/>
      <c r="E17484" s="57"/>
      <c r="H17484" s="18"/>
    </row>
    <row r="17485">
      <c r="C17485" s="18"/>
      <c r="D17485" s="19"/>
      <c r="E17485" s="57"/>
      <c r="H17485" s="18"/>
    </row>
    <row r="17486">
      <c r="C17486" s="18"/>
      <c r="D17486" s="19"/>
      <c r="E17486" s="57"/>
      <c r="H17486" s="18"/>
    </row>
    <row r="17487">
      <c r="C17487" s="18"/>
      <c r="D17487" s="19"/>
      <c r="E17487" s="57"/>
      <c r="H17487" s="18"/>
    </row>
    <row r="17488">
      <c r="C17488" s="18"/>
      <c r="D17488" s="19"/>
      <c r="E17488" s="57"/>
      <c r="H17488" s="18"/>
    </row>
    <row r="17489">
      <c r="C17489" s="18"/>
      <c r="D17489" s="19"/>
      <c r="E17489" s="57"/>
      <c r="H17489" s="18"/>
    </row>
    <row r="17490">
      <c r="C17490" s="18"/>
      <c r="D17490" s="19"/>
      <c r="E17490" s="57"/>
      <c r="H17490" s="18"/>
    </row>
    <row r="17491">
      <c r="C17491" s="18"/>
      <c r="D17491" s="19"/>
      <c r="E17491" s="57"/>
      <c r="H17491" s="18"/>
    </row>
    <row r="17492">
      <c r="C17492" s="18"/>
      <c r="D17492" s="19"/>
      <c r="E17492" s="57"/>
      <c r="H17492" s="18"/>
    </row>
    <row r="17493">
      <c r="C17493" s="18"/>
      <c r="D17493" s="19"/>
      <c r="E17493" s="57"/>
      <c r="H17493" s="18"/>
    </row>
    <row r="17494">
      <c r="C17494" s="18"/>
      <c r="D17494" s="19"/>
      <c r="E17494" s="57"/>
      <c r="H17494" s="18"/>
    </row>
    <row r="17495">
      <c r="C17495" s="18"/>
      <c r="D17495" s="19"/>
      <c r="E17495" s="57"/>
      <c r="H17495" s="18"/>
    </row>
    <row r="17496">
      <c r="C17496" s="18"/>
      <c r="D17496" s="19"/>
      <c r="E17496" s="57"/>
      <c r="H17496" s="18"/>
    </row>
    <row r="17497">
      <c r="C17497" s="18"/>
      <c r="D17497" s="19"/>
      <c r="E17497" s="57"/>
      <c r="H17497" s="18"/>
    </row>
    <row r="17498">
      <c r="C17498" s="18"/>
      <c r="D17498" s="19"/>
      <c r="E17498" s="57"/>
      <c r="H17498" s="18"/>
    </row>
    <row r="17499">
      <c r="C17499" s="18"/>
      <c r="D17499" s="19"/>
      <c r="E17499" s="57"/>
      <c r="H17499" s="18"/>
    </row>
    <row r="17500">
      <c r="C17500" s="18"/>
      <c r="D17500" s="19"/>
      <c r="E17500" s="57"/>
      <c r="H17500" s="18"/>
    </row>
    <row r="17501">
      <c r="C17501" s="18"/>
      <c r="D17501" s="19"/>
      <c r="E17501" s="57"/>
      <c r="H17501" s="18"/>
    </row>
    <row r="17502">
      <c r="C17502" s="18"/>
      <c r="D17502" s="19"/>
      <c r="E17502" s="57"/>
      <c r="H17502" s="18"/>
    </row>
    <row r="17503">
      <c r="C17503" s="18"/>
      <c r="D17503" s="19"/>
      <c r="E17503" s="57"/>
      <c r="H17503" s="18"/>
    </row>
    <row r="17504">
      <c r="C17504" s="18"/>
      <c r="D17504" s="19"/>
      <c r="E17504" s="57"/>
      <c r="H17504" s="18"/>
    </row>
    <row r="17505">
      <c r="C17505" s="18"/>
      <c r="D17505" s="19"/>
      <c r="E17505" s="57"/>
      <c r="H17505" s="18"/>
    </row>
    <row r="17506">
      <c r="C17506" s="18"/>
      <c r="D17506" s="19"/>
      <c r="E17506" s="57"/>
      <c r="H17506" s="18"/>
    </row>
    <row r="17507">
      <c r="C17507" s="18"/>
      <c r="D17507" s="19"/>
      <c r="E17507" s="57"/>
      <c r="H17507" s="18"/>
    </row>
    <row r="17508">
      <c r="C17508" s="18"/>
      <c r="D17508" s="19"/>
      <c r="E17508" s="57"/>
      <c r="H17508" s="18"/>
    </row>
    <row r="17509">
      <c r="C17509" s="18"/>
      <c r="D17509" s="19"/>
      <c r="E17509" s="57"/>
      <c r="H17509" s="18"/>
    </row>
    <row r="17510">
      <c r="C17510" s="18"/>
      <c r="D17510" s="19"/>
      <c r="E17510" s="57"/>
      <c r="H17510" s="18"/>
    </row>
    <row r="17511">
      <c r="C17511" s="18"/>
      <c r="D17511" s="19"/>
      <c r="E17511" s="57"/>
      <c r="H17511" s="18"/>
    </row>
    <row r="17512">
      <c r="C17512" s="18"/>
      <c r="D17512" s="19"/>
      <c r="E17512" s="57"/>
      <c r="H17512" s="18"/>
    </row>
    <row r="17513">
      <c r="C17513" s="18"/>
      <c r="D17513" s="19"/>
      <c r="E17513" s="57"/>
      <c r="H17513" s="18"/>
    </row>
    <row r="17514">
      <c r="C17514" s="18"/>
      <c r="D17514" s="19"/>
      <c r="E17514" s="57"/>
      <c r="H17514" s="18"/>
    </row>
    <row r="17515">
      <c r="C17515" s="18"/>
      <c r="D17515" s="19"/>
      <c r="E17515" s="57"/>
      <c r="H17515" s="18"/>
    </row>
    <row r="17516">
      <c r="C17516" s="18"/>
      <c r="D17516" s="19"/>
      <c r="E17516" s="57"/>
      <c r="H17516" s="18"/>
    </row>
    <row r="17517">
      <c r="C17517" s="18"/>
      <c r="D17517" s="19"/>
      <c r="E17517" s="57"/>
      <c r="H17517" s="18"/>
    </row>
    <row r="17518">
      <c r="C17518" s="18"/>
      <c r="D17518" s="19"/>
      <c r="E17518" s="57"/>
      <c r="H17518" s="18"/>
    </row>
    <row r="17519">
      <c r="C17519" s="18"/>
      <c r="D17519" s="19"/>
      <c r="E17519" s="57"/>
      <c r="H17519" s="18"/>
    </row>
    <row r="17520">
      <c r="C17520" s="18"/>
      <c r="D17520" s="19"/>
      <c r="E17520" s="57"/>
      <c r="H17520" s="18"/>
    </row>
    <row r="17521">
      <c r="C17521" s="18"/>
      <c r="D17521" s="19"/>
      <c r="E17521" s="57"/>
      <c r="H17521" s="18"/>
    </row>
    <row r="17522">
      <c r="C17522" s="18"/>
      <c r="D17522" s="19"/>
      <c r="E17522" s="57"/>
      <c r="H17522" s="18"/>
    </row>
    <row r="17523">
      <c r="C17523" s="18"/>
      <c r="D17523" s="19"/>
      <c r="E17523" s="57"/>
      <c r="H17523" s="18"/>
    </row>
    <row r="17524">
      <c r="C17524" s="18"/>
      <c r="D17524" s="19"/>
      <c r="E17524" s="57"/>
      <c r="H17524" s="18"/>
    </row>
    <row r="17525">
      <c r="C17525" s="18"/>
      <c r="D17525" s="19"/>
      <c r="E17525" s="57"/>
      <c r="H17525" s="18"/>
    </row>
    <row r="17526">
      <c r="C17526" s="18"/>
      <c r="D17526" s="19"/>
      <c r="E17526" s="57"/>
      <c r="H17526" s="18"/>
    </row>
    <row r="17527">
      <c r="C17527" s="18"/>
      <c r="D17527" s="19"/>
      <c r="E17527" s="57"/>
      <c r="H17527" s="18"/>
    </row>
    <row r="17528">
      <c r="C17528" s="18"/>
      <c r="D17528" s="19"/>
      <c r="E17528" s="57"/>
      <c r="H17528" s="18"/>
    </row>
    <row r="17529">
      <c r="C17529" s="18"/>
      <c r="D17529" s="19"/>
      <c r="E17529" s="57"/>
      <c r="H17529" s="18"/>
    </row>
    <row r="17530">
      <c r="C17530" s="18"/>
      <c r="D17530" s="19"/>
      <c r="E17530" s="57"/>
      <c r="H17530" s="18"/>
    </row>
    <row r="17531">
      <c r="C17531" s="18"/>
      <c r="D17531" s="19"/>
      <c r="E17531" s="57"/>
      <c r="H17531" s="18"/>
    </row>
    <row r="17532">
      <c r="C17532" s="18"/>
      <c r="D17532" s="19"/>
      <c r="E17532" s="57"/>
      <c r="H17532" s="18"/>
    </row>
    <row r="17533">
      <c r="C17533" s="18"/>
      <c r="D17533" s="19"/>
      <c r="E17533" s="57"/>
      <c r="H17533" s="18"/>
    </row>
    <row r="17534">
      <c r="C17534" s="18"/>
      <c r="D17534" s="19"/>
      <c r="E17534" s="57"/>
      <c r="H17534" s="18"/>
    </row>
    <row r="17535">
      <c r="C17535" s="18"/>
      <c r="D17535" s="19"/>
      <c r="E17535" s="57"/>
      <c r="H17535" s="18"/>
    </row>
    <row r="17536">
      <c r="C17536" s="18"/>
      <c r="D17536" s="19"/>
      <c r="E17536" s="57"/>
      <c r="H17536" s="18"/>
    </row>
    <row r="17537">
      <c r="C17537" s="18"/>
      <c r="D17537" s="19"/>
      <c r="E17537" s="57"/>
      <c r="H17537" s="18"/>
    </row>
    <row r="17538">
      <c r="C17538" s="18"/>
      <c r="D17538" s="19"/>
      <c r="E17538" s="57"/>
      <c r="H17538" s="18"/>
    </row>
    <row r="17539">
      <c r="C17539" s="18"/>
      <c r="D17539" s="19"/>
      <c r="E17539" s="57"/>
      <c r="H17539" s="18"/>
    </row>
    <row r="17540">
      <c r="C17540" s="18"/>
      <c r="D17540" s="19"/>
      <c r="E17540" s="57"/>
      <c r="H17540" s="18"/>
    </row>
    <row r="17541">
      <c r="C17541" s="18"/>
      <c r="D17541" s="19"/>
      <c r="E17541" s="57"/>
      <c r="H17541" s="18"/>
    </row>
    <row r="17542">
      <c r="C17542" s="18"/>
      <c r="D17542" s="19"/>
      <c r="E17542" s="57"/>
      <c r="H17542" s="18"/>
    </row>
    <row r="17543">
      <c r="C17543" s="18"/>
      <c r="D17543" s="19"/>
      <c r="E17543" s="57"/>
      <c r="H17543" s="18"/>
    </row>
    <row r="17544">
      <c r="C17544" s="18"/>
      <c r="D17544" s="19"/>
      <c r="E17544" s="57"/>
      <c r="H17544" s="18"/>
    </row>
    <row r="17545">
      <c r="C17545" s="18"/>
      <c r="D17545" s="19"/>
      <c r="E17545" s="57"/>
      <c r="H17545" s="18"/>
    </row>
    <row r="17546">
      <c r="C17546" s="18"/>
      <c r="D17546" s="19"/>
      <c r="E17546" s="57"/>
      <c r="H17546" s="18"/>
    </row>
    <row r="17547">
      <c r="C17547" s="18"/>
      <c r="D17547" s="19"/>
      <c r="E17547" s="57"/>
      <c r="H17547" s="18"/>
    </row>
    <row r="17548">
      <c r="C17548" s="18"/>
      <c r="D17548" s="19"/>
      <c r="E17548" s="57"/>
      <c r="H17548" s="18"/>
    </row>
    <row r="17549">
      <c r="C17549" s="18"/>
      <c r="D17549" s="19"/>
      <c r="E17549" s="57"/>
      <c r="H17549" s="18"/>
    </row>
    <row r="17550">
      <c r="C17550" s="18"/>
      <c r="D17550" s="19"/>
      <c r="E17550" s="57"/>
      <c r="H17550" s="18"/>
    </row>
    <row r="17551">
      <c r="C17551" s="18"/>
      <c r="D17551" s="19"/>
      <c r="E17551" s="57"/>
      <c r="H17551" s="18"/>
    </row>
    <row r="17552">
      <c r="C17552" s="18"/>
      <c r="D17552" s="19"/>
      <c r="E17552" s="57"/>
      <c r="H17552" s="18"/>
    </row>
    <row r="17553">
      <c r="C17553" s="18"/>
      <c r="D17553" s="19"/>
      <c r="E17553" s="57"/>
      <c r="H17553" s="18"/>
    </row>
    <row r="17554">
      <c r="C17554" s="18"/>
      <c r="D17554" s="19"/>
      <c r="E17554" s="57"/>
      <c r="H17554" s="18"/>
    </row>
    <row r="17555">
      <c r="C17555" s="18"/>
      <c r="D17555" s="19"/>
      <c r="E17555" s="57"/>
      <c r="H17555" s="18"/>
    </row>
    <row r="17556">
      <c r="C17556" s="18"/>
      <c r="D17556" s="19"/>
      <c r="E17556" s="57"/>
      <c r="H17556" s="18"/>
    </row>
    <row r="17557">
      <c r="C17557" s="18"/>
      <c r="D17557" s="19"/>
      <c r="E17557" s="57"/>
      <c r="H17557" s="18"/>
    </row>
    <row r="17558">
      <c r="C17558" s="18"/>
      <c r="D17558" s="19"/>
      <c r="E17558" s="57"/>
      <c r="H17558" s="18"/>
    </row>
    <row r="17559">
      <c r="C17559" s="18"/>
      <c r="D17559" s="19"/>
      <c r="E17559" s="57"/>
      <c r="H17559" s="18"/>
    </row>
    <row r="17560">
      <c r="C17560" s="18"/>
      <c r="D17560" s="19"/>
      <c r="E17560" s="57"/>
      <c r="H17560" s="18"/>
    </row>
    <row r="17561">
      <c r="C17561" s="18"/>
      <c r="D17561" s="19"/>
      <c r="E17561" s="57"/>
      <c r="H17561" s="18"/>
    </row>
    <row r="17562">
      <c r="C17562" s="18"/>
      <c r="D17562" s="19"/>
      <c r="E17562" s="57"/>
      <c r="H17562" s="18"/>
    </row>
    <row r="17563">
      <c r="C17563" s="18"/>
      <c r="D17563" s="19"/>
      <c r="E17563" s="57"/>
      <c r="H17563" s="18"/>
    </row>
    <row r="17564">
      <c r="C17564" s="18"/>
      <c r="D17564" s="19"/>
      <c r="E17564" s="57"/>
      <c r="H17564" s="18"/>
    </row>
    <row r="17565">
      <c r="C17565" s="18"/>
      <c r="D17565" s="19"/>
      <c r="E17565" s="57"/>
      <c r="H17565" s="18"/>
    </row>
    <row r="17566">
      <c r="C17566" s="18"/>
      <c r="D17566" s="19"/>
      <c r="E17566" s="57"/>
      <c r="H17566" s="18"/>
    </row>
    <row r="17567">
      <c r="C17567" s="18"/>
      <c r="D17567" s="19"/>
      <c r="E17567" s="57"/>
      <c r="H17567" s="18"/>
    </row>
    <row r="17568">
      <c r="C17568" s="18"/>
      <c r="D17568" s="19"/>
      <c r="E17568" s="57"/>
      <c r="H17568" s="18"/>
    </row>
    <row r="17569">
      <c r="C17569" s="18"/>
      <c r="D17569" s="19"/>
      <c r="E17569" s="57"/>
      <c r="H17569" s="18"/>
    </row>
    <row r="17570">
      <c r="C17570" s="18"/>
      <c r="D17570" s="19"/>
      <c r="E17570" s="57"/>
      <c r="H17570" s="18"/>
    </row>
    <row r="17571">
      <c r="C17571" s="18"/>
      <c r="D17571" s="19"/>
      <c r="E17571" s="57"/>
      <c r="H17571" s="18"/>
    </row>
    <row r="17572">
      <c r="C17572" s="18"/>
      <c r="D17572" s="19"/>
      <c r="E17572" s="57"/>
      <c r="H17572" s="18"/>
    </row>
    <row r="17573">
      <c r="C17573" s="18"/>
      <c r="D17573" s="19"/>
      <c r="E17573" s="57"/>
      <c r="H17573" s="18"/>
    </row>
    <row r="17574">
      <c r="C17574" s="18"/>
      <c r="D17574" s="19"/>
      <c r="E17574" s="57"/>
      <c r="H17574" s="18"/>
    </row>
    <row r="17575">
      <c r="C17575" s="18"/>
      <c r="D17575" s="19"/>
      <c r="E17575" s="57"/>
      <c r="H17575" s="18"/>
    </row>
    <row r="17576">
      <c r="C17576" s="18"/>
      <c r="D17576" s="19"/>
      <c r="E17576" s="57"/>
      <c r="H17576" s="18"/>
    </row>
    <row r="17577">
      <c r="C17577" s="18"/>
      <c r="D17577" s="19"/>
      <c r="E17577" s="57"/>
      <c r="H17577" s="18"/>
    </row>
    <row r="17578">
      <c r="C17578" s="18"/>
      <c r="D17578" s="19"/>
      <c r="E17578" s="57"/>
      <c r="H17578" s="18"/>
    </row>
    <row r="17579">
      <c r="C17579" s="18"/>
      <c r="D17579" s="19"/>
      <c r="E17579" s="57"/>
      <c r="H17579" s="18"/>
    </row>
    <row r="17580">
      <c r="C17580" s="18"/>
      <c r="D17580" s="19"/>
      <c r="E17580" s="57"/>
      <c r="H17580" s="18"/>
    </row>
    <row r="17581">
      <c r="C17581" s="18"/>
      <c r="D17581" s="19"/>
      <c r="E17581" s="57"/>
      <c r="H17581" s="18"/>
    </row>
    <row r="17582">
      <c r="C17582" s="18"/>
      <c r="D17582" s="19"/>
      <c r="E17582" s="57"/>
      <c r="H17582" s="18"/>
    </row>
    <row r="17583">
      <c r="C17583" s="18"/>
      <c r="D17583" s="19"/>
      <c r="E17583" s="57"/>
      <c r="H17583" s="18"/>
    </row>
    <row r="17584">
      <c r="C17584" s="18"/>
      <c r="D17584" s="19"/>
      <c r="E17584" s="57"/>
      <c r="H17584" s="18"/>
    </row>
    <row r="17585">
      <c r="C17585" s="18"/>
      <c r="D17585" s="19"/>
      <c r="E17585" s="57"/>
      <c r="H17585" s="18"/>
    </row>
    <row r="17586">
      <c r="C17586" s="18"/>
      <c r="D17586" s="19"/>
      <c r="E17586" s="57"/>
      <c r="H17586" s="18"/>
    </row>
    <row r="17587">
      <c r="C17587" s="18"/>
      <c r="D17587" s="19"/>
      <c r="E17587" s="57"/>
      <c r="H17587" s="18"/>
    </row>
    <row r="17588">
      <c r="C17588" s="18"/>
      <c r="D17588" s="19"/>
      <c r="E17588" s="57"/>
      <c r="H17588" s="18"/>
    </row>
    <row r="17589">
      <c r="C17589" s="18"/>
      <c r="D17589" s="19"/>
      <c r="E17589" s="57"/>
      <c r="H17589" s="18"/>
    </row>
    <row r="17590">
      <c r="C17590" s="18"/>
      <c r="D17590" s="19"/>
      <c r="E17590" s="57"/>
      <c r="H17590" s="18"/>
    </row>
    <row r="17591">
      <c r="C17591" s="18"/>
      <c r="D17591" s="19"/>
      <c r="E17591" s="57"/>
      <c r="H17591" s="18"/>
    </row>
    <row r="17592">
      <c r="C17592" s="18"/>
      <c r="D17592" s="19"/>
      <c r="E17592" s="57"/>
      <c r="H17592" s="18"/>
    </row>
    <row r="17593">
      <c r="C17593" s="18"/>
      <c r="D17593" s="19"/>
      <c r="E17593" s="57"/>
      <c r="H17593" s="18"/>
    </row>
    <row r="17594">
      <c r="C17594" s="18"/>
      <c r="D17594" s="19"/>
      <c r="E17594" s="57"/>
      <c r="H17594" s="18"/>
    </row>
    <row r="17595">
      <c r="C17595" s="18"/>
      <c r="D17595" s="19"/>
      <c r="E17595" s="57"/>
      <c r="H17595" s="18"/>
    </row>
    <row r="17596">
      <c r="C17596" s="18"/>
      <c r="D17596" s="19"/>
      <c r="E17596" s="57"/>
      <c r="H17596" s="18"/>
    </row>
    <row r="17597">
      <c r="C17597" s="18"/>
      <c r="D17597" s="19"/>
      <c r="E17597" s="57"/>
      <c r="H17597" s="18"/>
    </row>
    <row r="17598">
      <c r="C17598" s="18"/>
      <c r="D17598" s="19"/>
      <c r="E17598" s="57"/>
      <c r="H17598" s="18"/>
    </row>
    <row r="17599">
      <c r="C17599" s="18"/>
      <c r="D17599" s="19"/>
      <c r="E17599" s="57"/>
      <c r="H17599" s="18"/>
    </row>
    <row r="17600">
      <c r="C17600" s="18"/>
      <c r="D17600" s="19"/>
      <c r="E17600" s="57"/>
      <c r="H17600" s="18"/>
    </row>
    <row r="17601">
      <c r="C17601" s="18"/>
      <c r="D17601" s="19"/>
      <c r="E17601" s="57"/>
      <c r="H17601" s="18"/>
    </row>
    <row r="17602">
      <c r="C17602" s="18"/>
      <c r="D17602" s="19"/>
      <c r="E17602" s="57"/>
      <c r="H17602" s="18"/>
    </row>
    <row r="17603">
      <c r="C17603" s="18"/>
      <c r="D17603" s="19"/>
      <c r="E17603" s="57"/>
      <c r="H17603" s="18"/>
    </row>
    <row r="17604">
      <c r="C17604" s="18"/>
      <c r="D17604" s="19"/>
      <c r="E17604" s="57"/>
      <c r="H17604" s="18"/>
    </row>
    <row r="17605">
      <c r="C17605" s="18"/>
      <c r="D17605" s="19"/>
      <c r="E17605" s="57"/>
      <c r="H17605" s="18"/>
    </row>
    <row r="17606">
      <c r="C17606" s="18"/>
      <c r="D17606" s="19"/>
      <c r="E17606" s="57"/>
      <c r="H17606" s="18"/>
    </row>
    <row r="17607">
      <c r="C17607" s="18"/>
      <c r="D17607" s="19"/>
      <c r="E17607" s="57"/>
      <c r="H17607" s="18"/>
    </row>
    <row r="17608">
      <c r="C17608" s="18"/>
      <c r="D17608" s="19"/>
      <c r="E17608" s="57"/>
      <c r="H17608" s="18"/>
    </row>
    <row r="17609">
      <c r="C17609" s="18"/>
      <c r="D17609" s="19"/>
      <c r="E17609" s="57"/>
      <c r="H17609" s="18"/>
    </row>
    <row r="17610">
      <c r="C17610" s="18"/>
      <c r="D17610" s="19"/>
      <c r="E17610" s="57"/>
      <c r="H17610" s="18"/>
    </row>
    <row r="17611">
      <c r="C17611" s="18"/>
      <c r="D17611" s="19"/>
      <c r="E17611" s="57"/>
      <c r="H17611" s="18"/>
    </row>
    <row r="17612">
      <c r="C17612" s="18"/>
      <c r="D17612" s="19"/>
      <c r="E17612" s="57"/>
      <c r="H17612" s="18"/>
    </row>
    <row r="17613">
      <c r="C17613" s="18"/>
      <c r="D17613" s="19"/>
      <c r="E17613" s="57"/>
      <c r="H17613" s="18"/>
    </row>
    <row r="17614">
      <c r="C17614" s="18"/>
      <c r="D17614" s="19"/>
      <c r="E17614" s="57"/>
      <c r="H17614" s="18"/>
    </row>
    <row r="17615">
      <c r="C17615" s="18"/>
      <c r="D17615" s="19"/>
      <c r="E17615" s="57"/>
      <c r="H17615" s="18"/>
    </row>
    <row r="17616">
      <c r="C17616" s="18"/>
      <c r="D17616" s="19"/>
      <c r="E17616" s="57"/>
      <c r="H17616" s="18"/>
    </row>
    <row r="17617">
      <c r="C17617" s="18"/>
      <c r="D17617" s="19"/>
      <c r="E17617" s="57"/>
      <c r="H17617" s="18"/>
    </row>
    <row r="17618">
      <c r="C17618" s="18"/>
      <c r="D17618" s="19"/>
      <c r="E17618" s="57"/>
      <c r="H17618" s="18"/>
    </row>
    <row r="17619">
      <c r="C17619" s="18"/>
      <c r="D17619" s="19"/>
      <c r="E17619" s="57"/>
      <c r="H17619" s="18"/>
    </row>
    <row r="17620">
      <c r="C17620" s="18"/>
      <c r="D17620" s="19"/>
      <c r="E17620" s="57"/>
      <c r="H17620" s="18"/>
    </row>
    <row r="17621">
      <c r="C17621" s="18"/>
      <c r="D17621" s="19"/>
      <c r="E17621" s="57"/>
      <c r="H17621" s="18"/>
    </row>
    <row r="17622">
      <c r="C17622" s="18"/>
      <c r="D17622" s="19"/>
      <c r="E17622" s="57"/>
      <c r="H17622" s="18"/>
    </row>
    <row r="17623">
      <c r="C17623" s="18"/>
      <c r="D17623" s="19"/>
      <c r="E17623" s="57"/>
      <c r="H17623" s="18"/>
    </row>
    <row r="17624">
      <c r="C17624" s="18"/>
      <c r="D17624" s="19"/>
      <c r="E17624" s="57"/>
      <c r="H17624" s="18"/>
    </row>
    <row r="17625">
      <c r="C17625" s="18"/>
      <c r="D17625" s="19"/>
      <c r="E17625" s="57"/>
      <c r="H17625" s="18"/>
    </row>
    <row r="17626">
      <c r="C17626" s="18"/>
      <c r="D17626" s="19"/>
      <c r="E17626" s="57"/>
      <c r="H17626" s="18"/>
    </row>
    <row r="17627">
      <c r="C17627" s="18"/>
      <c r="D17627" s="19"/>
      <c r="E17627" s="57"/>
      <c r="H17627" s="18"/>
    </row>
    <row r="17628">
      <c r="C17628" s="18"/>
      <c r="D17628" s="19"/>
      <c r="E17628" s="57"/>
      <c r="H17628" s="18"/>
    </row>
    <row r="17629">
      <c r="C17629" s="18"/>
      <c r="D17629" s="19"/>
      <c r="E17629" s="57"/>
      <c r="H17629" s="18"/>
    </row>
    <row r="17630">
      <c r="C17630" s="18"/>
      <c r="D17630" s="19"/>
      <c r="E17630" s="57"/>
      <c r="H17630" s="18"/>
    </row>
    <row r="17631">
      <c r="C17631" s="18"/>
      <c r="D17631" s="19"/>
      <c r="E17631" s="57"/>
      <c r="H17631" s="18"/>
    </row>
    <row r="17632">
      <c r="C17632" s="18"/>
      <c r="D17632" s="19"/>
      <c r="E17632" s="57"/>
      <c r="H17632" s="18"/>
    </row>
    <row r="17633">
      <c r="C17633" s="18"/>
      <c r="D17633" s="19"/>
      <c r="E17633" s="57"/>
      <c r="H17633" s="18"/>
    </row>
    <row r="17634">
      <c r="C17634" s="18"/>
      <c r="D17634" s="19"/>
      <c r="E17634" s="57"/>
      <c r="H17634" s="18"/>
    </row>
    <row r="17635">
      <c r="C17635" s="18"/>
      <c r="D17635" s="19"/>
      <c r="E17635" s="57"/>
      <c r="H17635" s="18"/>
    </row>
    <row r="17636">
      <c r="C17636" s="18"/>
      <c r="D17636" s="19"/>
      <c r="E17636" s="57"/>
      <c r="H17636" s="18"/>
    </row>
    <row r="17637">
      <c r="C17637" s="18"/>
      <c r="D17637" s="19"/>
      <c r="E17637" s="57"/>
      <c r="H17637" s="18"/>
    </row>
    <row r="17638">
      <c r="C17638" s="18"/>
      <c r="D17638" s="19"/>
      <c r="E17638" s="57"/>
      <c r="H17638" s="18"/>
    </row>
    <row r="17639">
      <c r="C17639" s="18"/>
      <c r="D17639" s="19"/>
      <c r="E17639" s="57"/>
      <c r="H17639" s="18"/>
    </row>
    <row r="17640">
      <c r="C17640" s="18"/>
      <c r="D17640" s="19"/>
      <c r="E17640" s="57"/>
      <c r="H17640" s="18"/>
    </row>
    <row r="17641">
      <c r="C17641" s="18"/>
      <c r="D17641" s="19"/>
      <c r="E17641" s="57"/>
      <c r="H17641" s="18"/>
    </row>
    <row r="17642">
      <c r="C17642" s="18"/>
      <c r="D17642" s="19"/>
      <c r="E17642" s="57"/>
      <c r="H17642" s="18"/>
    </row>
    <row r="17643">
      <c r="C17643" s="18"/>
      <c r="D17643" s="19"/>
      <c r="E17643" s="57"/>
      <c r="H17643" s="18"/>
    </row>
    <row r="17644">
      <c r="C17644" s="18"/>
      <c r="D17644" s="19"/>
      <c r="E17644" s="57"/>
      <c r="H17644" s="18"/>
    </row>
    <row r="17645">
      <c r="C17645" s="18"/>
      <c r="D17645" s="19"/>
      <c r="E17645" s="57"/>
      <c r="H17645" s="18"/>
    </row>
    <row r="17646">
      <c r="C17646" s="18"/>
      <c r="D17646" s="19"/>
      <c r="E17646" s="57"/>
      <c r="H17646" s="18"/>
    </row>
    <row r="17647">
      <c r="C17647" s="18"/>
      <c r="D17647" s="19"/>
      <c r="E17647" s="57"/>
      <c r="H17647" s="18"/>
    </row>
    <row r="17648">
      <c r="C17648" s="18"/>
      <c r="D17648" s="19"/>
      <c r="E17648" s="57"/>
      <c r="H17648" s="18"/>
    </row>
    <row r="17649">
      <c r="C17649" s="18"/>
      <c r="D17649" s="19"/>
      <c r="E17649" s="57"/>
      <c r="H17649" s="18"/>
    </row>
    <row r="17650">
      <c r="C17650" s="18"/>
      <c r="D17650" s="19"/>
      <c r="E17650" s="57"/>
      <c r="H17650" s="18"/>
    </row>
    <row r="17651">
      <c r="C17651" s="18"/>
      <c r="D17651" s="19"/>
      <c r="E17651" s="57"/>
      <c r="H17651" s="18"/>
    </row>
    <row r="17652">
      <c r="C17652" s="18"/>
      <c r="D17652" s="19"/>
      <c r="E17652" s="57"/>
      <c r="H17652" s="18"/>
    </row>
    <row r="17653">
      <c r="C17653" s="18"/>
      <c r="D17653" s="19"/>
      <c r="E17653" s="57"/>
      <c r="H17653" s="18"/>
    </row>
    <row r="17654">
      <c r="C17654" s="18"/>
      <c r="D17654" s="19"/>
      <c r="E17654" s="57"/>
      <c r="H17654" s="18"/>
    </row>
    <row r="17655">
      <c r="C17655" s="18"/>
      <c r="D17655" s="19"/>
      <c r="E17655" s="57"/>
      <c r="H17655" s="18"/>
    </row>
    <row r="17656">
      <c r="C17656" s="18"/>
      <c r="D17656" s="19"/>
      <c r="E17656" s="57"/>
      <c r="H17656" s="18"/>
    </row>
    <row r="17657">
      <c r="C17657" s="18"/>
      <c r="D17657" s="19"/>
      <c r="E17657" s="57"/>
      <c r="H17657" s="18"/>
    </row>
    <row r="17658">
      <c r="C17658" s="18"/>
      <c r="D17658" s="19"/>
      <c r="E17658" s="57"/>
      <c r="H17658" s="18"/>
    </row>
    <row r="17659">
      <c r="C17659" s="18"/>
      <c r="D17659" s="19"/>
      <c r="E17659" s="57"/>
      <c r="H17659" s="18"/>
    </row>
    <row r="17660">
      <c r="C17660" s="18"/>
      <c r="D17660" s="19"/>
      <c r="E17660" s="57"/>
      <c r="H17660" s="18"/>
    </row>
    <row r="17661">
      <c r="C17661" s="18"/>
      <c r="D17661" s="19"/>
      <c r="E17661" s="57"/>
      <c r="H17661" s="18"/>
    </row>
    <row r="17662">
      <c r="C17662" s="18"/>
      <c r="D17662" s="19"/>
      <c r="E17662" s="57"/>
      <c r="H17662" s="18"/>
    </row>
    <row r="17663">
      <c r="C17663" s="18"/>
      <c r="D17663" s="19"/>
      <c r="E17663" s="57"/>
      <c r="H17663" s="18"/>
    </row>
    <row r="17664">
      <c r="C17664" s="18"/>
      <c r="D17664" s="19"/>
      <c r="E17664" s="57"/>
      <c r="H17664" s="18"/>
    </row>
    <row r="17665">
      <c r="C17665" s="18"/>
      <c r="D17665" s="19"/>
      <c r="E17665" s="57"/>
      <c r="H17665" s="18"/>
    </row>
    <row r="17666">
      <c r="C17666" s="18"/>
      <c r="D17666" s="19"/>
      <c r="E17666" s="57"/>
      <c r="H17666" s="18"/>
    </row>
    <row r="17667">
      <c r="C17667" s="18"/>
      <c r="D17667" s="19"/>
      <c r="E17667" s="57"/>
      <c r="H17667" s="18"/>
    </row>
    <row r="17668">
      <c r="C17668" s="18"/>
      <c r="D17668" s="19"/>
      <c r="E17668" s="57"/>
      <c r="H17668" s="18"/>
    </row>
    <row r="17669">
      <c r="C17669" s="18"/>
      <c r="D17669" s="19"/>
      <c r="E17669" s="57"/>
      <c r="H17669" s="18"/>
    </row>
    <row r="17670">
      <c r="C17670" s="18"/>
      <c r="D17670" s="19"/>
      <c r="E17670" s="57"/>
      <c r="H17670" s="18"/>
    </row>
    <row r="17671">
      <c r="C17671" s="18"/>
      <c r="D17671" s="19"/>
      <c r="E17671" s="57"/>
      <c r="H17671" s="18"/>
    </row>
    <row r="17672">
      <c r="C17672" s="18"/>
      <c r="D17672" s="19"/>
      <c r="E17672" s="57"/>
      <c r="H17672" s="18"/>
    </row>
    <row r="17673">
      <c r="C17673" s="18"/>
      <c r="D17673" s="19"/>
      <c r="E17673" s="57"/>
      <c r="H17673" s="18"/>
    </row>
    <row r="17674">
      <c r="C17674" s="18"/>
      <c r="D17674" s="19"/>
      <c r="E17674" s="57"/>
      <c r="H17674" s="18"/>
    </row>
    <row r="17675">
      <c r="C17675" s="18"/>
      <c r="D17675" s="19"/>
      <c r="E17675" s="57"/>
      <c r="H17675" s="18"/>
    </row>
    <row r="17676">
      <c r="C17676" s="18"/>
      <c r="D17676" s="19"/>
      <c r="E17676" s="57"/>
      <c r="H17676" s="18"/>
    </row>
    <row r="17677">
      <c r="C17677" s="18"/>
      <c r="D17677" s="19"/>
      <c r="E17677" s="57"/>
      <c r="H17677" s="18"/>
    </row>
    <row r="17678">
      <c r="C17678" s="18"/>
      <c r="D17678" s="19"/>
      <c r="E17678" s="57"/>
      <c r="H17678" s="18"/>
    </row>
    <row r="17679">
      <c r="C17679" s="18"/>
      <c r="D17679" s="19"/>
      <c r="E17679" s="57"/>
      <c r="H17679" s="18"/>
    </row>
    <row r="17680">
      <c r="C17680" s="18"/>
      <c r="D17680" s="19"/>
      <c r="E17680" s="57"/>
      <c r="H17680" s="18"/>
    </row>
    <row r="17681">
      <c r="C17681" s="18"/>
      <c r="D17681" s="19"/>
      <c r="E17681" s="57"/>
      <c r="H17681" s="18"/>
    </row>
    <row r="17682">
      <c r="C17682" s="18"/>
      <c r="D17682" s="19"/>
      <c r="E17682" s="57"/>
      <c r="H17682" s="18"/>
    </row>
    <row r="17683">
      <c r="C17683" s="18"/>
      <c r="D17683" s="19"/>
      <c r="E17683" s="57"/>
      <c r="H17683" s="18"/>
    </row>
    <row r="17684">
      <c r="C17684" s="18"/>
      <c r="D17684" s="19"/>
      <c r="E17684" s="57"/>
      <c r="H17684" s="18"/>
    </row>
    <row r="17685">
      <c r="C17685" s="18"/>
      <c r="D17685" s="19"/>
      <c r="E17685" s="57"/>
      <c r="H17685" s="18"/>
    </row>
    <row r="17686">
      <c r="C17686" s="18"/>
      <c r="D17686" s="19"/>
      <c r="E17686" s="57"/>
      <c r="H17686" s="18"/>
    </row>
    <row r="17687">
      <c r="C17687" s="18"/>
      <c r="D17687" s="19"/>
      <c r="E17687" s="57"/>
      <c r="H17687" s="18"/>
    </row>
    <row r="17688">
      <c r="C17688" s="18"/>
      <c r="D17688" s="19"/>
      <c r="E17688" s="57"/>
      <c r="H17688" s="18"/>
    </row>
    <row r="17689">
      <c r="C17689" s="18"/>
      <c r="D17689" s="19"/>
      <c r="E17689" s="57"/>
      <c r="H17689" s="18"/>
    </row>
    <row r="17690">
      <c r="C17690" s="18"/>
      <c r="D17690" s="19"/>
      <c r="E17690" s="57"/>
      <c r="H17690" s="18"/>
    </row>
    <row r="17691">
      <c r="C17691" s="18"/>
      <c r="D17691" s="19"/>
      <c r="E17691" s="57"/>
      <c r="H17691" s="18"/>
    </row>
    <row r="17692">
      <c r="C17692" s="18"/>
      <c r="D17692" s="19"/>
      <c r="E17692" s="57"/>
      <c r="H17692" s="18"/>
    </row>
    <row r="17693">
      <c r="C17693" s="18"/>
      <c r="D17693" s="19"/>
      <c r="E17693" s="57"/>
      <c r="H17693" s="18"/>
    </row>
    <row r="17694">
      <c r="C17694" s="18"/>
      <c r="D17694" s="19"/>
      <c r="E17694" s="57"/>
      <c r="H17694" s="18"/>
    </row>
    <row r="17695">
      <c r="C17695" s="18"/>
      <c r="D17695" s="19"/>
      <c r="E17695" s="57"/>
      <c r="H17695" s="18"/>
    </row>
    <row r="17696">
      <c r="C17696" s="18"/>
      <c r="D17696" s="19"/>
      <c r="E17696" s="57"/>
      <c r="H17696" s="18"/>
    </row>
    <row r="17697">
      <c r="C17697" s="18"/>
      <c r="D17697" s="19"/>
      <c r="E17697" s="57"/>
      <c r="H17697" s="18"/>
    </row>
    <row r="17698">
      <c r="C17698" s="18"/>
      <c r="D17698" s="19"/>
      <c r="E17698" s="57"/>
      <c r="H17698" s="18"/>
    </row>
    <row r="17699">
      <c r="C17699" s="18"/>
      <c r="D17699" s="19"/>
      <c r="E17699" s="57"/>
      <c r="H17699" s="18"/>
    </row>
    <row r="17700">
      <c r="C17700" s="18"/>
      <c r="D17700" s="19"/>
      <c r="E17700" s="57"/>
      <c r="H17700" s="18"/>
    </row>
    <row r="17701">
      <c r="C17701" s="18"/>
      <c r="D17701" s="19"/>
      <c r="E17701" s="57"/>
      <c r="H17701" s="18"/>
    </row>
    <row r="17702">
      <c r="C17702" s="18"/>
      <c r="D17702" s="19"/>
      <c r="E17702" s="57"/>
      <c r="H17702" s="18"/>
    </row>
    <row r="17703">
      <c r="C17703" s="18"/>
      <c r="D17703" s="19"/>
      <c r="E17703" s="57"/>
      <c r="H17703" s="18"/>
    </row>
    <row r="17704">
      <c r="C17704" s="18"/>
      <c r="D17704" s="19"/>
      <c r="E17704" s="57"/>
      <c r="H17704" s="18"/>
    </row>
    <row r="17705">
      <c r="C17705" s="18"/>
      <c r="D17705" s="19"/>
      <c r="E17705" s="57"/>
      <c r="H17705" s="18"/>
    </row>
    <row r="17706">
      <c r="C17706" s="18"/>
      <c r="D17706" s="19"/>
      <c r="E17706" s="57"/>
      <c r="H17706" s="18"/>
    </row>
    <row r="17707">
      <c r="C17707" s="18"/>
      <c r="D17707" s="19"/>
      <c r="E17707" s="57"/>
      <c r="H17707" s="18"/>
    </row>
    <row r="17708">
      <c r="C17708" s="18"/>
      <c r="D17708" s="19"/>
      <c r="E17708" s="57"/>
      <c r="H17708" s="18"/>
    </row>
    <row r="17709">
      <c r="C17709" s="18"/>
      <c r="D17709" s="19"/>
      <c r="E17709" s="57"/>
      <c r="H17709" s="18"/>
    </row>
    <row r="17710">
      <c r="C17710" s="18"/>
      <c r="D17710" s="19"/>
      <c r="E17710" s="57"/>
      <c r="H17710" s="18"/>
    </row>
    <row r="17711">
      <c r="C17711" s="18"/>
      <c r="D17711" s="19"/>
      <c r="E17711" s="57"/>
      <c r="H17711" s="18"/>
    </row>
    <row r="17712">
      <c r="C17712" s="18"/>
      <c r="D17712" s="19"/>
      <c r="E17712" s="57"/>
      <c r="H17712" s="18"/>
    </row>
    <row r="17713">
      <c r="C17713" s="18"/>
      <c r="D17713" s="19"/>
      <c r="E17713" s="57"/>
      <c r="H17713" s="18"/>
    </row>
    <row r="17714">
      <c r="C17714" s="18"/>
      <c r="D17714" s="19"/>
      <c r="E17714" s="57"/>
      <c r="H17714" s="18"/>
    </row>
    <row r="17715">
      <c r="C17715" s="18"/>
      <c r="D17715" s="19"/>
      <c r="E17715" s="57"/>
      <c r="H17715" s="18"/>
    </row>
    <row r="17716">
      <c r="C17716" s="18"/>
      <c r="D17716" s="19"/>
      <c r="E17716" s="57"/>
      <c r="H17716" s="18"/>
    </row>
    <row r="17717">
      <c r="C17717" s="18"/>
      <c r="D17717" s="19"/>
      <c r="E17717" s="57"/>
      <c r="H17717" s="18"/>
    </row>
    <row r="17718">
      <c r="C17718" s="18"/>
      <c r="D17718" s="19"/>
      <c r="E17718" s="57"/>
      <c r="H17718" s="18"/>
    </row>
    <row r="17719">
      <c r="C17719" s="18"/>
      <c r="D17719" s="19"/>
      <c r="E17719" s="57"/>
      <c r="H17719" s="18"/>
    </row>
    <row r="17720">
      <c r="C17720" s="18"/>
      <c r="D17720" s="19"/>
      <c r="E17720" s="57"/>
      <c r="H17720" s="18"/>
    </row>
    <row r="17721">
      <c r="C17721" s="18"/>
      <c r="D17721" s="19"/>
      <c r="E17721" s="57"/>
      <c r="H17721" s="18"/>
    </row>
    <row r="17722">
      <c r="C17722" s="18"/>
      <c r="D17722" s="19"/>
      <c r="E17722" s="57"/>
      <c r="H17722" s="18"/>
    </row>
    <row r="17723">
      <c r="C17723" s="18"/>
      <c r="D17723" s="19"/>
      <c r="E17723" s="57"/>
      <c r="H17723" s="18"/>
    </row>
    <row r="17724">
      <c r="C17724" s="18"/>
      <c r="D17724" s="19"/>
      <c r="E17724" s="57"/>
      <c r="H17724" s="18"/>
    </row>
    <row r="17725">
      <c r="C17725" s="18"/>
      <c r="D17725" s="19"/>
      <c r="E17725" s="57"/>
      <c r="H17725" s="18"/>
    </row>
    <row r="17726">
      <c r="C17726" s="18"/>
      <c r="D17726" s="19"/>
      <c r="E17726" s="57"/>
      <c r="H17726" s="18"/>
    </row>
    <row r="17727">
      <c r="C17727" s="18"/>
      <c r="D17727" s="19"/>
      <c r="E17727" s="57"/>
      <c r="H17727" s="18"/>
    </row>
    <row r="17728">
      <c r="C17728" s="18"/>
      <c r="D17728" s="19"/>
      <c r="E17728" s="57"/>
      <c r="H17728" s="18"/>
    </row>
    <row r="17729">
      <c r="C17729" s="18"/>
      <c r="D17729" s="19"/>
      <c r="E17729" s="57"/>
      <c r="H17729" s="18"/>
    </row>
    <row r="17730">
      <c r="C17730" s="18"/>
      <c r="D17730" s="19"/>
      <c r="E17730" s="57"/>
      <c r="H17730" s="18"/>
    </row>
    <row r="17731">
      <c r="C17731" s="18"/>
      <c r="D17731" s="19"/>
      <c r="E17731" s="57"/>
      <c r="H17731" s="18"/>
    </row>
    <row r="17732">
      <c r="C17732" s="18"/>
      <c r="D17732" s="19"/>
      <c r="E17732" s="57"/>
      <c r="H17732" s="18"/>
    </row>
    <row r="17733">
      <c r="C17733" s="18"/>
      <c r="D17733" s="19"/>
      <c r="E17733" s="57"/>
      <c r="H17733" s="18"/>
    </row>
    <row r="17734">
      <c r="C17734" s="18"/>
      <c r="D17734" s="19"/>
      <c r="E17734" s="57"/>
      <c r="H17734" s="18"/>
    </row>
    <row r="17735">
      <c r="C17735" s="18"/>
      <c r="D17735" s="19"/>
      <c r="E17735" s="57"/>
      <c r="H17735" s="18"/>
    </row>
    <row r="17736">
      <c r="C17736" s="18"/>
      <c r="D17736" s="19"/>
      <c r="E17736" s="57"/>
      <c r="H17736" s="18"/>
    </row>
    <row r="17737">
      <c r="C17737" s="18"/>
      <c r="D17737" s="19"/>
      <c r="E17737" s="57"/>
      <c r="H17737" s="18"/>
    </row>
    <row r="17738">
      <c r="C17738" s="18"/>
      <c r="D17738" s="19"/>
      <c r="E17738" s="57"/>
      <c r="H17738" s="18"/>
    </row>
    <row r="17739">
      <c r="C17739" s="18"/>
      <c r="D17739" s="19"/>
      <c r="E17739" s="57"/>
      <c r="H17739" s="18"/>
    </row>
    <row r="17740">
      <c r="C17740" s="18"/>
      <c r="D17740" s="19"/>
      <c r="E17740" s="57"/>
      <c r="H17740" s="18"/>
    </row>
    <row r="17741">
      <c r="C17741" s="18"/>
      <c r="D17741" s="19"/>
      <c r="E17741" s="57"/>
      <c r="H17741" s="18"/>
    </row>
    <row r="17742">
      <c r="C17742" s="18"/>
      <c r="D17742" s="19"/>
      <c r="E17742" s="57"/>
      <c r="H17742" s="18"/>
    </row>
    <row r="17743">
      <c r="C17743" s="18"/>
      <c r="D17743" s="19"/>
      <c r="E17743" s="57"/>
      <c r="H17743" s="18"/>
    </row>
    <row r="17744">
      <c r="C17744" s="18"/>
      <c r="D17744" s="19"/>
      <c r="E17744" s="57"/>
      <c r="H17744" s="18"/>
    </row>
    <row r="17745">
      <c r="C17745" s="18"/>
      <c r="D17745" s="19"/>
      <c r="E17745" s="57"/>
      <c r="H17745" s="18"/>
    </row>
    <row r="17746">
      <c r="C17746" s="18"/>
      <c r="D17746" s="19"/>
      <c r="E17746" s="57"/>
      <c r="H17746" s="18"/>
    </row>
    <row r="17747">
      <c r="C17747" s="18"/>
      <c r="D17747" s="19"/>
      <c r="E17747" s="57"/>
      <c r="H17747" s="18"/>
    </row>
    <row r="17748">
      <c r="C17748" s="18"/>
      <c r="D17748" s="19"/>
      <c r="E17748" s="57"/>
      <c r="H17748" s="18"/>
    </row>
    <row r="17749">
      <c r="C17749" s="18"/>
      <c r="D17749" s="19"/>
      <c r="E17749" s="57"/>
      <c r="H17749" s="18"/>
    </row>
    <row r="17750">
      <c r="C17750" s="18"/>
      <c r="D17750" s="19"/>
      <c r="E17750" s="57"/>
      <c r="H17750" s="18"/>
    </row>
    <row r="17751">
      <c r="C17751" s="18"/>
      <c r="D17751" s="19"/>
      <c r="E17751" s="57"/>
      <c r="H17751" s="18"/>
    </row>
    <row r="17752">
      <c r="C17752" s="18"/>
      <c r="D17752" s="19"/>
      <c r="E17752" s="57"/>
      <c r="H17752" s="18"/>
    </row>
    <row r="17753">
      <c r="C17753" s="18"/>
      <c r="D17753" s="19"/>
      <c r="E17753" s="57"/>
      <c r="H17753" s="18"/>
    </row>
    <row r="17754">
      <c r="C17754" s="18"/>
      <c r="D17754" s="19"/>
      <c r="E17754" s="57"/>
      <c r="H17754" s="18"/>
    </row>
    <row r="17755">
      <c r="C17755" s="18"/>
      <c r="D17755" s="19"/>
      <c r="E17755" s="57"/>
      <c r="H17755" s="18"/>
    </row>
    <row r="17756">
      <c r="C17756" s="18"/>
      <c r="D17756" s="19"/>
      <c r="E17756" s="57"/>
      <c r="H17756" s="18"/>
    </row>
    <row r="17757">
      <c r="C17757" s="18"/>
      <c r="D17757" s="19"/>
      <c r="E17757" s="57"/>
      <c r="H17757" s="18"/>
    </row>
    <row r="17758">
      <c r="C17758" s="18"/>
      <c r="D17758" s="19"/>
      <c r="E17758" s="57"/>
      <c r="H17758" s="18"/>
    </row>
    <row r="17759">
      <c r="C17759" s="18"/>
      <c r="D17759" s="19"/>
      <c r="E17759" s="57"/>
      <c r="H17759" s="18"/>
    </row>
    <row r="17760">
      <c r="C17760" s="18"/>
      <c r="D17760" s="19"/>
      <c r="E17760" s="57"/>
      <c r="H17760" s="18"/>
    </row>
    <row r="17761">
      <c r="C17761" s="18"/>
      <c r="D17761" s="19"/>
      <c r="E17761" s="57"/>
      <c r="H17761" s="18"/>
    </row>
    <row r="17762">
      <c r="C17762" s="18"/>
      <c r="D17762" s="19"/>
      <c r="E17762" s="57"/>
      <c r="H17762" s="18"/>
    </row>
    <row r="17763">
      <c r="C17763" s="18"/>
      <c r="D17763" s="19"/>
      <c r="E17763" s="57"/>
      <c r="H17763" s="18"/>
    </row>
    <row r="17764">
      <c r="C17764" s="18"/>
      <c r="D17764" s="19"/>
      <c r="E17764" s="57"/>
      <c r="H17764" s="18"/>
    </row>
    <row r="17765">
      <c r="C17765" s="18"/>
      <c r="D17765" s="19"/>
      <c r="E17765" s="57"/>
      <c r="H17765" s="18"/>
    </row>
    <row r="17766">
      <c r="C17766" s="18"/>
      <c r="D17766" s="19"/>
      <c r="E17766" s="57"/>
      <c r="H17766" s="18"/>
    </row>
    <row r="17767">
      <c r="C17767" s="18"/>
      <c r="D17767" s="19"/>
      <c r="E17767" s="57"/>
      <c r="H17767" s="18"/>
    </row>
    <row r="17768">
      <c r="C17768" s="18"/>
      <c r="D17768" s="19"/>
      <c r="E17768" s="57"/>
      <c r="H17768" s="18"/>
    </row>
    <row r="17769">
      <c r="C17769" s="18"/>
      <c r="D17769" s="19"/>
      <c r="E17769" s="57"/>
      <c r="H17769" s="18"/>
    </row>
    <row r="17770">
      <c r="C17770" s="18"/>
      <c r="D17770" s="19"/>
      <c r="E17770" s="57"/>
      <c r="H17770" s="18"/>
    </row>
    <row r="17771">
      <c r="C17771" s="18"/>
      <c r="D17771" s="19"/>
      <c r="E17771" s="57"/>
      <c r="H17771" s="18"/>
    </row>
    <row r="17772">
      <c r="C17772" s="18"/>
      <c r="D17772" s="19"/>
      <c r="E17772" s="57"/>
      <c r="H17772" s="18"/>
    </row>
    <row r="17773">
      <c r="C17773" s="18"/>
      <c r="D17773" s="19"/>
      <c r="E17773" s="57"/>
      <c r="H17773" s="18"/>
    </row>
    <row r="17774">
      <c r="C17774" s="18"/>
      <c r="D17774" s="19"/>
      <c r="E17774" s="57"/>
      <c r="H17774" s="18"/>
    </row>
    <row r="17775">
      <c r="C17775" s="18"/>
      <c r="D17775" s="19"/>
      <c r="E17775" s="57"/>
      <c r="H17775" s="18"/>
    </row>
    <row r="17776">
      <c r="C17776" s="18"/>
      <c r="D17776" s="19"/>
      <c r="E17776" s="57"/>
      <c r="H17776" s="18"/>
    </row>
    <row r="17777">
      <c r="C17777" s="18"/>
      <c r="D17777" s="19"/>
      <c r="E17777" s="57"/>
      <c r="H17777" s="18"/>
    </row>
    <row r="17778">
      <c r="C17778" s="18"/>
      <c r="D17778" s="19"/>
      <c r="E17778" s="57"/>
      <c r="H17778" s="18"/>
    </row>
    <row r="17779">
      <c r="C17779" s="18"/>
      <c r="D17779" s="19"/>
      <c r="E17779" s="57"/>
      <c r="H17779" s="18"/>
    </row>
    <row r="17780">
      <c r="C17780" s="18"/>
      <c r="D17780" s="19"/>
      <c r="E17780" s="57"/>
      <c r="H17780" s="18"/>
    </row>
    <row r="17781">
      <c r="C17781" s="18"/>
      <c r="D17781" s="19"/>
      <c r="E17781" s="57"/>
      <c r="H17781" s="18"/>
    </row>
    <row r="17782">
      <c r="C17782" s="18"/>
      <c r="D17782" s="19"/>
      <c r="E17782" s="57"/>
      <c r="H17782" s="18"/>
    </row>
    <row r="17783">
      <c r="C17783" s="18"/>
      <c r="D17783" s="19"/>
      <c r="E17783" s="57"/>
      <c r="H17783" s="18"/>
    </row>
    <row r="17784">
      <c r="C17784" s="18"/>
      <c r="D17784" s="19"/>
      <c r="E17784" s="57"/>
      <c r="H17784" s="18"/>
    </row>
    <row r="17785">
      <c r="C17785" s="18"/>
      <c r="D17785" s="19"/>
      <c r="E17785" s="57"/>
      <c r="H17785" s="18"/>
    </row>
    <row r="17786">
      <c r="C17786" s="18"/>
      <c r="D17786" s="19"/>
      <c r="E17786" s="57"/>
      <c r="H17786" s="18"/>
    </row>
    <row r="17787">
      <c r="C17787" s="18"/>
      <c r="D17787" s="19"/>
      <c r="E17787" s="57"/>
      <c r="H17787" s="18"/>
    </row>
    <row r="17788">
      <c r="C17788" s="18"/>
      <c r="D17788" s="19"/>
      <c r="E17788" s="57"/>
      <c r="H17788" s="18"/>
    </row>
    <row r="17789">
      <c r="C17789" s="18"/>
      <c r="D17789" s="19"/>
      <c r="E17789" s="57"/>
      <c r="H17789" s="18"/>
    </row>
    <row r="17790">
      <c r="C17790" s="18"/>
      <c r="D17790" s="19"/>
      <c r="E17790" s="57"/>
      <c r="H17790" s="18"/>
    </row>
    <row r="17791">
      <c r="C17791" s="18"/>
      <c r="D17791" s="19"/>
      <c r="E17791" s="57"/>
      <c r="H17791" s="18"/>
    </row>
    <row r="17792">
      <c r="C17792" s="18"/>
      <c r="D17792" s="19"/>
      <c r="E17792" s="57"/>
      <c r="H17792" s="18"/>
    </row>
    <row r="17793">
      <c r="C17793" s="18"/>
      <c r="D17793" s="19"/>
      <c r="E17793" s="57"/>
      <c r="H17793" s="18"/>
    </row>
    <row r="17794">
      <c r="C17794" s="18"/>
      <c r="D17794" s="19"/>
      <c r="E17794" s="57"/>
      <c r="H17794" s="18"/>
    </row>
    <row r="17795">
      <c r="C17795" s="18"/>
      <c r="D17795" s="19"/>
      <c r="E17795" s="57"/>
      <c r="H17795" s="18"/>
    </row>
    <row r="17796">
      <c r="C17796" s="18"/>
      <c r="D17796" s="19"/>
      <c r="E17796" s="57"/>
      <c r="H17796" s="18"/>
    </row>
    <row r="17797">
      <c r="C17797" s="18"/>
      <c r="D17797" s="19"/>
      <c r="E17797" s="57"/>
      <c r="H17797" s="18"/>
    </row>
    <row r="17798">
      <c r="C17798" s="18"/>
      <c r="D17798" s="19"/>
      <c r="E17798" s="57"/>
      <c r="H17798" s="18"/>
    </row>
    <row r="17799">
      <c r="C17799" s="18"/>
      <c r="D17799" s="19"/>
      <c r="E17799" s="57"/>
      <c r="H17799" s="18"/>
    </row>
    <row r="17800">
      <c r="C17800" s="18"/>
      <c r="D17800" s="19"/>
      <c r="E17800" s="57"/>
      <c r="H17800" s="18"/>
    </row>
    <row r="17801">
      <c r="C17801" s="18"/>
      <c r="D17801" s="19"/>
      <c r="E17801" s="57"/>
      <c r="H17801" s="18"/>
    </row>
    <row r="17802">
      <c r="C17802" s="18"/>
      <c r="D17802" s="19"/>
      <c r="E17802" s="57"/>
      <c r="H17802" s="18"/>
    </row>
    <row r="17803">
      <c r="C17803" s="18"/>
      <c r="D17803" s="19"/>
      <c r="E17803" s="57"/>
      <c r="H17803" s="18"/>
    </row>
    <row r="17804">
      <c r="C17804" s="18"/>
      <c r="D17804" s="19"/>
      <c r="E17804" s="57"/>
      <c r="H17804" s="18"/>
    </row>
    <row r="17805">
      <c r="C17805" s="18"/>
      <c r="D17805" s="19"/>
      <c r="E17805" s="57"/>
      <c r="H17805" s="18"/>
    </row>
    <row r="17806">
      <c r="C17806" s="18"/>
      <c r="D17806" s="19"/>
      <c r="E17806" s="57"/>
      <c r="H17806" s="18"/>
    </row>
    <row r="17807">
      <c r="C17807" s="18"/>
      <c r="D17807" s="19"/>
      <c r="E17807" s="57"/>
      <c r="H17807" s="18"/>
    </row>
    <row r="17808">
      <c r="C17808" s="18"/>
      <c r="D17808" s="19"/>
      <c r="E17808" s="57"/>
      <c r="H17808" s="18"/>
    </row>
    <row r="17809">
      <c r="C17809" s="18"/>
      <c r="D17809" s="19"/>
      <c r="E17809" s="57"/>
      <c r="H17809" s="18"/>
    </row>
    <row r="17810">
      <c r="C17810" s="18"/>
      <c r="D17810" s="19"/>
      <c r="E17810" s="57"/>
      <c r="H17810" s="18"/>
    </row>
    <row r="17811">
      <c r="C17811" s="18"/>
      <c r="D17811" s="19"/>
      <c r="E17811" s="57"/>
      <c r="H17811" s="18"/>
    </row>
    <row r="17812">
      <c r="C17812" s="18"/>
      <c r="D17812" s="19"/>
      <c r="E17812" s="57"/>
      <c r="H17812" s="18"/>
    </row>
    <row r="17813">
      <c r="C17813" s="18"/>
      <c r="D17813" s="19"/>
      <c r="E17813" s="57"/>
      <c r="H17813" s="18"/>
    </row>
    <row r="17814">
      <c r="C17814" s="18"/>
      <c r="D17814" s="19"/>
      <c r="E17814" s="57"/>
      <c r="H17814" s="18"/>
    </row>
    <row r="17815">
      <c r="C17815" s="18"/>
      <c r="D17815" s="19"/>
      <c r="E17815" s="57"/>
      <c r="H17815" s="18"/>
    </row>
    <row r="17816">
      <c r="C17816" s="18"/>
      <c r="D17816" s="19"/>
      <c r="E17816" s="57"/>
      <c r="H17816" s="18"/>
    </row>
    <row r="17817">
      <c r="C17817" s="18"/>
      <c r="D17817" s="19"/>
      <c r="E17817" s="57"/>
      <c r="H17817" s="18"/>
    </row>
    <row r="17818">
      <c r="C17818" s="18"/>
      <c r="D17818" s="19"/>
      <c r="E17818" s="57"/>
      <c r="H17818" s="18"/>
    </row>
    <row r="17819">
      <c r="C17819" s="18"/>
      <c r="D17819" s="19"/>
      <c r="E17819" s="57"/>
      <c r="H17819" s="18"/>
    </row>
    <row r="17820">
      <c r="C17820" s="18"/>
      <c r="D17820" s="19"/>
      <c r="E17820" s="57"/>
      <c r="H17820" s="18"/>
    </row>
    <row r="17821">
      <c r="C17821" s="18"/>
      <c r="D17821" s="19"/>
      <c r="E17821" s="57"/>
      <c r="H17821" s="18"/>
    </row>
    <row r="17822">
      <c r="C17822" s="18"/>
      <c r="D17822" s="19"/>
      <c r="E17822" s="57"/>
      <c r="H17822" s="18"/>
    </row>
    <row r="17823">
      <c r="C17823" s="18"/>
      <c r="D17823" s="19"/>
      <c r="E17823" s="57"/>
      <c r="H17823" s="18"/>
    </row>
    <row r="17824">
      <c r="C17824" s="18"/>
      <c r="D17824" s="19"/>
      <c r="E17824" s="57"/>
      <c r="H17824" s="18"/>
    </row>
    <row r="17825">
      <c r="C17825" s="18"/>
      <c r="D17825" s="19"/>
      <c r="E17825" s="57"/>
      <c r="H17825" s="18"/>
    </row>
    <row r="17826">
      <c r="C17826" s="18"/>
      <c r="D17826" s="19"/>
      <c r="E17826" s="57"/>
      <c r="H17826" s="18"/>
    </row>
    <row r="17827">
      <c r="C17827" s="18"/>
      <c r="D17827" s="19"/>
      <c r="E17827" s="57"/>
      <c r="H17827" s="18"/>
    </row>
    <row r="17828">
      <c r="C17828" s="18"/>
      <c r="D17828" s="19"/>
      <c r="E17828" s="57"/>
      <c r="H17828" s="18"/>
    </row>
    <row r="17829">
      <c r="C17829" s="18"/>
      <c r="D17829" s="19"/>
      <c r="E17829" s="57"/>
      <c r="H17829" s="18"/>
    </row>
    <row r="17830">
      <c r="C17830" s="18"/>
      <c r="D17830" s="19"/>
      <c r="E17830" s="57"/>
      <c r="H17830" s="18"/>
    </row>
    <row r="17831">
      <c r="C17831" s="18"/>
      <c r="D17831" s="19"/>
      <c r="E17831" s="57"/>
      <c r="H17831" s="18"/>
    </row>
    <row r="17832">
      <c r="C17832" s="18"/>
      <c r="D17832" s="19"/>
      <c r="E17832" s="57"/>
      <c r="H17832" s="18"/>
    </row>
    <row r="17833">
      <c r="C17833" s="18"/>
      <c r="D17833" s="19"/>
      <c r="E17833" s="57"/>
      <c r="H17833" s="18"/>
    </row>
    <row r="17834">
      <c r="C17834" s="18"/>
      <c r="D17834" s="19"/>
      <c r="E17834" s="57"/>
      <c r="H17834" s="18"/>
    </row>
    <row r="17835">
      <c r="C17835" s="18"/>
      <c r="D17835" s="19"/>
      <c r="E17835" s="57"/>
      <c r="H17835" s="18"/>
    </row>
    <row r="17836">
      <c r="C17836" s="18"/>
      <c r="D17836" s="19"/>
      <c r="E17836" s="57"/>
      <c r="H17836" s="18"/>
    </row>
    <row r="17837">
      <c r="C17837" s="18"/>
      <c r="D17837" s="19"/>
      <c r="E17837" s="57"/>
      <c r="H17837" s="18"/>
    </row>
    <row r="17838">
      <c r="C17838" s="18"/>
      <c r="D17838" s="19"/>
      <c r="E17838" s="57"/>
      <c r="H17838" s="18"/>
    </row>
    <row r="17839">
      <c r="C17839" s="18"/>
      <c r="D17839" s="19"/>
      <c r="E17839" s="57"/>
      <c r="H17839" s="18"/>
    </row>
    <row r="17840">
      <c r="C17840" s="18"/>
      <c r="D17840" s="19"/>
      <c r="E17840" s="57"/>
      <c r="H17840" s="18"/>
    </row>
    <row r="17841">
      <c r="C17841" s="18"/>
      <c r="D17841" s="19"/>
      <c r="E17841" s="57"/>
      <c r="H17841" s="18"/>
    </row>
    <row r="17842">
      <c r="C17842" s="18"/>
      <c r="D17842" s="19"/>
      <c r="E17842" s="57"/>
      <c r="H17842" s="18"/>
    </row>
    <row r="17843">
      <c r="C17843" s="18"/>
      <c r="D17843" s="19"/>
      <c r="E17843" s="57"/>
      <c r="H17843" s="18"/>
    </row>
    <row r="17844">
      <c r="C17844" s="18"/>
      <c r="D17844" s="19"/>
      <c r="E17844" s="57"/>
      <c r="H17844" s="18"/>
    </row>
    <row r="17845">
      <c r="C17845" s="18"/>
      <c r="D17845" s="19"/>
      <c r="E17845" s="57"/>
      <c r="H17845" s="18"/>
    </row>
    <row r="17846">
      <c r="C17846" s="18"/>
      <c r="D17846" s="19"/>
      <c r="E17846" s="57"/>
      <c r="H17846" s="18"/>
    </row>
    <row r="17847">
      <c r="C17847" s="18"/>
      <c r="D17847" s="19"/>
      <c r="E17847" s="57"/>
      <c r="H17847" s="18"/>
    </row>
    <row r="17848">
      <c r="C17848" s="18"/>
      <c r="D17848" s="19"/>
      <c r="E17848" s="57"/>
      <c r="H17848" s="18"/>
    </row>
    <row r="17849">
      <c r="C17849" s="18"/>
      <c r="D17849" s="19"/>
      <c r="E17849" s="57"/>
      <c r="H17849" s="18"/>
    </row>
    <row r="17850">
      <c r="C17850" s="18"/>
      <c r="D17850" s="19"/>
      <c r="E17850" s="57"/>
      <c r="H17850" s="18"/>
    </row>
    <row r="17851">
      <c r="C17851" s="18"/>
      <c r="D17851" s="19"/>
      <c r="E17851" s="57"/>
      <c r="H17851" s="18"/>
    </row>
    <row r="17852">
      <c r="C17852" s="18"/>
      <c r="D17852" s="19"/>
      <c r="E17852" s="57"/>
      <c r="H17852" s="18"/>
    </row>
    <row r="17853">
      <c r="C17853" s="18"/>
      <c r="D17853" s="19"/>
      <c r="E17853" s="57"/>
      <c r="H17853" s="18"/>
    </row>
    <row r="17854">
      <c r="C17854" s="18"/>
      <c r="D17854" s="19"/>
      <c r="E17854" s="57"/>
      <c r="H17854" s="18"/>
    </row>
    <row r="17855">
      <c r="C17855" s="18"/>
      <c r="D17855" s="19"/>
      <c r="E17855" s="57"/>
      <c r="H17855" s="18"/>
    </row>
    <row r="17856">
      <c r="C17856" s="18"/>
      <c r="D17856" s="19"/>
      <c r="E17856" s="57"/>
      <c r="H17856" s="18"/>
    </row>
    <row r="17857">
      <c r="C17857" s="18"/>
      <c r="D17857" s="19"/>
      <c r="E17857" s="57"/>
      <c r="H17857" s="18"/>
    </row>
    <row r="17858">
      <c r="C17858" s="18"/>
      <c r="D17858" s="19"/>
      <c r="E17858" s="57"/>
      <c r="H17858" s="18"/>
    </row>
    <row r="17859">
      <c r="C17859" s="18"/>
      <c r="D17859" s="19"/>
      <c r="E17859" s="57"/>
      <c r="H17859" s="18"/>
    </row>
    <row r="17860">
      <c r="C17860" s="18"/>
      <c r="D17860" s="19"/>
      <c r="E17860" s="57"/>
      <c r="H17860" s="18"/>
    </row>
    <row r="17861">
      <c r="C17861" s="18"/>
      <c r="D17861" s="19"/>
      <c r="E17861" s="57"/>
      <c r="H17861" s="18"/>
    </row>
    <row r="17862">
      <c r="C17862" s="18"/>
      <c r="D17862" s="19"/>
      <c r="E17862" s="57"/>
      <c r="H17862" s="18"/>
    </row>
    <row r="17863">
      <c r="C17863" s="18"/>
      <c r="D17863" s="19"/>
      <c r="E17863" s="57"/>
      <c r="H17863" s="18"/>
    </row>
    <row r="17864">
      <c r="C17864" s="18"/>
      <c r="D17864" s="19"/>
      <c r="E17864" s="57"/>
      <c r="H17864" s="18"/>
    </row>
    <row r="17865">
      <c r="C17865" s="18"/>
      <c r="D17865" s="19"/>
      <c r="E17865" s="57"/>
      <c r="H17865" s="18"/>
    </row>
    <row r="17866">
      <c r="C17866" s="18"/>
      <c r="D17866" s="19"/>
      <c r="E17866" s="57"/>
      <c r="H17866" s="18"/>
    </row>
    <row r="17867">
      <c r="C17867" s="18"/>
      <c r="D17867" s="19"/>
      <c r="E17867" s="57"/>
      <c r="H17867" s="18"/>
    </row>
    <row r="17868">
      <c r="C17868" s="18"/>
      <c r="D17868" s="19"/>
      <c r="E17868" s="57"/>
      <c r="H17868" s="18"/>
    </row>
    <row r="17869">
      <c r="C17869" s="18"/>
      <c r="D17869" s="19"/>
      <c r="E17869" s="57"/>
      <c r="H17869" s="18"/>
    </row>
    <row r="17870">
      <c r="C17870" s="18"/>
      <c r="D17870" s="19"/>
      <c r="E17870" s="57"/>
      <c r="H17870" s="18"/>
    </row>
    <row r="17871">
      <c r="C17871" s="18"/>
      <c r="D17871" s="19"/>
      <c r="E17871" s="57"/>
      <c r="H17871" s="18"/>
    </row>
    <row r="17872">
      <c r="C17872" s="18"/>
      <c r="D17872" s="19"/>
      <c r="E17872" s="57"/>
      <c r="H17872" s="18"/>
    </row>
    <row r="17873">
      <c r="C17873" s="18"/>
      <c r="D17873" s="19"/>
      <c r="E17873" s="57"/>
      <c r="H17873" s="18"/>
    </row>
    <row r="17874">
      <c r="C17874" s="18"/>
      <c r="D17874" s="19"/>
      <c r="E17874" s="57"/>
      <c r="H17874" s="18"/>
    </row>
    <row r="17875">
      <c r="C17875" s="18"/>
      <c r="D17875" s="19"/>
      <c r="E17875" s="57"/>
      <c r="H17875" s="18"/>
    </row>
    <row r="17876">
      <c r="C17876" s="18"/>
      <c r="D17876" s="19"/>
      <c r="E17876" s="57"/>
      <c r="H17876" s="18"/>
    </row>
    <row r="17877">
      <c r="C17877" s="18"/>
      <c r="D17877" s="19"/>
      <c r="E17877" s="57"/>
      <c r="H17877" s="18"/>
    </row>
    <row r="17878">
      <c r="C17878" s="18"/>
      <c r="D17878" s="19"/>
      <c r="E17878" s="57"/>
      <c r="H17878" s="18"/>
    </row>
    <row r="17879">
      <c r="C17879" s="18"/>
      <c r="D17879" s="19"/>
      <c r="E17879" s="57"/>
      <c r="H17879" s="18"/>
    </row>
    <row r="17880">
      <c r="C17880" s="18"/>
      <c r="D17880" s="19"/>
      <c r="E17880" s="57"/>
      <c r="H17880" s="18"/>
    </row>
    <row r="17881">
      <c r="C17881" s="18"/>
      <c r="D17881" s="19"/>
      <c r="E17881" s="57"/>
      <c r="H17881" s="18"/>
    </row>
    <row r="17882">
      <c r="C17882" s="18"/>
      <c r="D17882" s="19"/>
      <c r="E17882" s="57"/>
      <c r="H17882" s="18"/>
    </row>
    <row r="17883">
      <c r="C17883" s="18"/>
      <c r="D17883" s="19"/>
      <c r="E17883" s="57"/>
      <c r="H17883" s="18"/>
    </row>
    <row r="17884">
      <c r="C17884" s="18"/>
      <c r="D17884" s="19"/>
      <c r="E17884" s="57"/>
      <c r="H17884" s="18"/>
    </row>
    <row r="17885">
      <c r="C17885" s="18"/>
      <c r="D17885" s="19"/>
      <c r="E17885" s="57"/>
      <c r="H17885" s="18"/>
    </row>
    <row r="17886">
      <c r="C17886" s="18"/>
      <c r="D17886" s="19"/>
      <c r="E17886" s="57"/>
      <c r="H17886" s="18"/>
    </row>
    <row r="17887">
      <c r="C17887" s="18"/>
      <c r="D17887" s="19"/>
      <c r="E17887" s="57"/>
      <c r="H17887" s="18"/>
    </row>
    <row r="17888">
      <c r="C17888" s="18"/>
      <c r="D17888" s="19"/>
      <c r="E17888" s="57"/>
      <c r="H17888" s="18"/>
    </row>
    <row r="17889">
      <c r="C17889" s="18"/>
      <c r="D17889" s="19"/>
      <c r="E17889" s="57"/>
      <c r="H17889" s="18"/>
    </row>
    <row r="17890">
      <c r="C17890" s="18"/>
      <c r="D17890" s="19"/>
      <c r="E17890" s="57"/>
      <c r="H17890" s="18"/>
    </row>
    <row r="17891">
      <c r="C17891" s="18"/>
      <c r="D17891" s="19"/>
      <c r="E17891" s="57"/>
      <c r="H17891" s="18"/>
    </row>
    <row r="17892">
      <c r="C17892" s="18"/>
      <c r="D17892" s="19"/>
      <c r="E17892" s="57"/>
      <c r="H17892" s="18"/>
    </row>
    <row r="17893">
      <c r="C17893" s="18"/>
      <c r="D17893" s="19"/>
      <c r="E17893" s="57"/>
      <c r="H17893" s="18"/>
    </row>
    <row r="17894">
      <c r="C17894" s="18"/>
      <c r="D17894" s="19"/>
      <c r="E17894" s="57"/>
      <c r="H17894" s="18"/>
    </row>
    <row r="17895">
      <c r="C17895" s="18"/>
      <c r="D17895" s="19"/>
      <c r="E17895" s="57"/>
      <c r="H17895" s="18"/>
    </row>
    <row r="17896">
      <c r="C17896" s="18"/>
      <c r="D17896" s="19"/>
      <c r="E17896" s="57"/>
      <c r="H17896" s="18"/>
    </row>
    <row r="17897">
      <c r="C17897" s="18"/>
      <c r="D17897" s="19"/>
      <c r="E17897" s="57"/>
      <c r="H17897" s="18"/>
    </row>
    <row r="17898">
      <c r="C17898" s="18"/>
      <c r="D17898" s="19"/>
      <c r="E17898" s="57"/>
      <c r="H17898" s="18"/>
    </row>
    <row r="17899">
      <c r="C17899" s="18"/>
      <c r="D17899" s="19"/>
      <c r="E17899" s="57"/>
      <c r="H17899" s="18"/>
    </row>
    <row r="17900">
      <c r="C17900" s="18"/>
      <c r="D17900" s="19"/>
      <c r="E17900" s="57"/>
      <c r="H17900" s="18"/>
    </row>
    <row r="17901">
      <c r="C17901" s="18"/>
      <c r="D17901" s="19"/>
      <c r="E17901" s="57"/>
      <c r="H17901" s="18"/>
    </row>
    <row r="17902">
      <c r="C17902" s="18"/>
      <c r="D17902" s="19"/>
      <c r="E17902" s="57"/>
      <c r="H17902" s="18"/>
    </row>
    <row r="17903">
      <c r="C17903" s="18"/>
      <c r="D17903" s="19"/>
      <c r="E17903" s="57"/>
      <c r="H17903" s="18"/>
    </row>
    <row r="17904">
      <c r="C17904" s="18"/>
      <c r="D17904" s="19"/>
      <c r="E17904" s="57"/>
      <c r="H17904" s="18"/>
    </row>
    <row r="17905">
      <c r="C17905" s="18"/>
      <c r="D17905" s="19"/>
      <c r="E17905" s="57"/>
      <c r="H17905" s="18"/>
    </row>
    <row r="17906">
      <c r="C17906" s="18"/>
      <c r="D17906" s="19"/>
      <c r="E17906" s="57"/>
      <c r="H17906" s="18"/>
    </row>
    <row r="17907">
      <c r="C17907" s="18"/>
      <c r="D17907" s="19"/>
      <c r="E17907" s="57"/>
      <c r="H17907" s="18"/>
    </row>
    <row r="17908">
      <c r="C17908" s="18"/>
      <c r="D17908" s="19"/>
      <c r="E17908" s="57"/>
      <c r="H17908" s="18"/>
    </row>
    <row r="17909">
      <c r="C17909" s="18"/>
      <c r="D17909" s="19"/>
      <c r="E17909" s="57"/>
      <c r="H17909" s="18"/>
    </row>
    <row r="17910">
      <c r="C17910" s="18"/>
      <c r="D17910" s="19"/>
      <c r="E17910" s="57"/>
      <c r="H17910" s="18"/>
    </row>
    <row r="17911">
      <c r="C17911" s="18"/>
      <c r="D17911" s="19"/>
      <c r="E17911" s="57"/>
      <c r="H17911" s="18"/>
    </row>
    <row r="17912">
      <c r="C17912" s="18"/>
      <c r="D17912" s="19"/>
      <c r="E17912" s="57"/>
      <c r="H17912" s="18"/>
    </row>
    <row r="17913">
      <c r="C17913" s="18"/>
      <c r="D17913" s="19"/>
      <c r="E17913" s="57"/>
      <c r="H17913" s="18"/>
    </row>
    <row r="17914">
      <c r="C17914" s="18"/>
      <c r="D17914" s="19"/>
      <c r="E17914" s="57"/>
      <c r="H17914" s="18"/>
    </row>
    <row r="17915">
      <c r="C17915" s="18"/>
      <c r="D17915" s="19"/>
      <c r="E17915" s="57"/>
      <c r="H17915" s="18"/>
    </row>
    <row r="17916">
      <c r="C17916" s="18"/>
      <c r="D17916" s="19"/>
      <c r="E17916" s="57"/>
      <c r="H17916" s="18"/>
    </row>
    <row r="17917">
      <c r="C17917" s="18"/>
      <c r="D17917" s="19"/>
      <c r="E17917" s="57"/>
      <c r="H17917" s="18"/>
    </row>
    <row r="17918">
      <c r="C17918" s="18"/>
      <c r="D17918" s="19"/>
      <c r="E17918" s="57"/>
      <c r="H17918" s="18"/>
    </row>
    <row r="17919">
      <c r="C17919" s="18"/>
      <c r="D17919" s="19"/>
      <c r="E17919" s="57"/>
      <c r="H17919" s="18"/>
    </row>
    <row r="17920">
      <c r="C17920" s="18"/>
      <c r="D17920" s="19"/>
      <c r="E17920" s="57"/>
      <c r="H17920" s="18"/>
    </row>
    <row r="17921">
      <c r="C17921" s="18"/>
      <c r="D17921" s="19"/>
      <c r="E17921" s="57"/>
      <c r="H17921" s="18"/>
    </row>
    <row r="17922">
      <c r="C17922" s="18"/>
      <c r="D17922" s="19"/>
      <c r="E17922" s="57"/>
      <c r="H17922" s="18"/>
    </row>
    <row r="17923">
      <c r="C17923" s="18"/>
      <c r="D17923" s="19"/>
      <c r="E17923" s="57"/>
      <c r="H17923" s="18"/>
    </row>
    <row r="17924">
      <c r="C17924" s="18"/>
      <c r="D17924" s="19"/>
      <c r="E17924" s="57"/>
      <c r="H17924" s="18"/>
    </row>
    <row r="17925">
      <c r="C17925" s="18"/>
      <c r="D17925" s="19"/>
      <c r="E17925" s="57"/>
      <c r="H17925" s="18"/>
    </row>
    <row r="17926">
      <c r="C17926" s="18"/>
      <c r="D17926" s="19"/>
      <c r="E17926" s="57"/>
      <c r="H17926" s="18"/>
    </row>
    <row r="17927">
      <c r="C17927" s="18"/>
      <c r="D17927" s="19"/>
      <c r="E17927" s="57"/>
      <c r="H17927" s="18"/>
    </row>
    <row r="17928">
      <c r="C17928" s="18"/>
      <c r="D17928" s="19"/>
      <c r="E17928" s="57"/>
      <c r="H17928" s="18"/>
    </row>
    <row r="17929">
      <c r="C17929" s="18"/>
      <c r="D17929" s="19"/>
      <c r="E17929" s="57"/>
      <c r="H17929" s="18"/>
    </row>
    <row r="17930">
      <c r="C17930" s="18"/>
      <c r="D17930" s="19"/>
      <c r="E17930" s="57"/>
      <c r="H17930" s="18"/>
    </row>
    <row r="17931">
      <c r="C17931" s="18"/>
      <c r="D17931" s="19"/>
      <c r="E17931" s="57"/>
      <c r="H17931" s="18"/>
    </row>
    <row r="17932">
      <c r="C17932" s="18"/>
      <c r="D17932" s="19"/>
      <c r="E17932" s="57"/>
      <c r="H17932" s="18"/>
    </row>
    <row r="17933">
      <c r="C17933" s="18"/>
      <c r="D17933" s="19"/>
      <c r="E17933" s="57"/>
      <c r="H17933" s="18"/>
    </row>
    <row r="17934">
      <c r="C17934" s="18"/>
      <c r="D17934" s="19"/>
      <c r="E17934" s="57"/>
      <c r="H17934" s="18"/>
    </row>
    <row r="17935">
      <c r="C17935" s="18"/>
      <c r="D17935" s="19"/>
      <c r="E17935" s="57"/>
      <c r="H17935" s="18"/>
    </row>
    <row r="17936">
      <c r="C17936" s="18"/>
      <c r="D17936" s="19"/>
      <c r="E17936" s="57"/>
      <c r="H17936" s="18"/>
    </row>
    <row r="17937">
      <c r="C17937" s="18"/>
      <c r="D17937" s="19"/>
      <c r="E17937" s="57"/>
      <c r="H17937" s="18"/>
    </row>
    <row r="17938">
      <c r="C17938" s="18"/>
      <c r="D17938" s="19"/>
      <c r="E17938" s="57"/>
      <c r="H17938" s="18"/>
    </row>
    <row r="17939">
      <c r="C17939" s="18"/>
      <c r="D17939" s="19"/>
      <c r="E17939" s="57"/>
      <c r="H17939" s="18"/>
    </row>
    <row r="17940">
      <c r="C17940" s="18"/>
      <c r="D17940" s="19"/>
      <c r="E17940" s="57"/>
      <c r="H17940" s="18"/>
    </row>
    <row r="17941">
      <c r="C17941" s="18"/>
      <c r="D17941" s="19"/>
      <c r="E17941" s="57"/>
      <c r="H17941" s="18"/>
    </row>
    <row r="17942">
      <c r="C17942" s="18"/>
      <c r="D17942" s="19"/>
      <c r="E17942" s="57"/>
      <c r="H17942" s="18"/>
    </row>
    <row r="17943">
      <c r="C17943" s="18"/>
      <c r="D17943" s="19"/>
      <c r="E17943" s="57"/>
      <c r="H17943" s="18"/>
    </row>
    <row r="17944">
      <c r="C17944" s="18"/>
      <c r="D17944" s="19"/>
      <c r="E17944" s="57"/>
      <c r="H17944" s="18"/>
    </row>
    <row r="17945">
      <c r="C17945" s="18"/>
      <c r="D17945" s="19"/>
      <c r="E17945" s="57"/>
      <c r="H17945" s="18"/>
    </row>
    <row r="17946">
      <c r="C17946" s="18"/>
      <c r="D17946" s="19"/>
      <c r="E17946" s="57"/>
      <c r="H17946" s="18"/>
    </row>
    <row r="17947">
      <c r="C17947" s="18"/>
      <c r="D17947" s="19"/>
      <c r="E17947" s="57"/>
      <c r="H17947" s="18"/>
    </row>
    <row r="17948">
      <c r="C17948" s="18"/>
      <c r="D17948" s="19"/>
      <c r="E17948" s="57"/>
      <c r="H17948" s="18"/>
    </row>
    <row r="17949">
      <c r="C17949" s="18"/>
      <c r="D17949" s="19"/>
      <c r="E17949" s="57"/>
      <c r="H17949" s="18"/>
    </row>
    <row r="17950">
      <c r="C17950" s="18"/>
      <c r="D17950" s="19"/>
      <c r="E17950" s="57"/>
      <c r="H17950" s="18"/>
    </row>
    <row r="17951">
      <c r="C17951" s="18"/>
      <c r="D17951" s="19"/>
      <c r="E17951" s="57"/>
      <c r="H17951" s="18"/>
    </row>
    <row r="17952">
      <c r="C17952" s="18"/>
      <c r="D17952" s="19"/>
      <c r="E17952" s="57"/>
      <c r="H17952" s="18"/>
    </row>
    <row r="17953">
      <c r="C17953" s="18"/>
      <c r="D17953" s="19"/>
      <c r="E17953" s="57"/>
      <c r="H17953" s="18"/>
    </row>
    <row r="17954">
      <c r="C17954" s="18"/>
      <c r="D17954" s="19"/>
      <c r="E17954" s="57"/>
      <c r="H17954" s="18"/>
    </row>
    <row r="17955">
      <c r="C17955" s="18"/>
      <c r="D17955" s="19"/>
      <c r="E17955" s="57"/>
      <c r="H17955" s="18"/>
    </row>
    <row r="17956">
      <c r="C17956" s="18"/>
      <c r="D17956" s="19"/>
      <c r="E17956" s="57"/>
      <c r="H17956" s="18"/>
    </row>
    <row r="17957">
      <c r="C17957" s="18"/>
      <c r="D17957" s="19"/>
      <c r="E17957" s="57"/>
      <c r="H17957" s="18"/>
    </row>
    <row r="17958">
      <c r="C17958" s="18"/>
      <c r="D17958" s="19"/>
      <c r="E17958" s="57"/>
      <c r="H17958" s="18"/>
    </row>
    <row r="17959">
      <c r="C17959" s="18"/>
      <c r="D17959" s="19"/>
      <c r="E17959" s="57"/>
      <c r="H17959" s="18"/>
    </row>
    <row r="17960">
      <c r="C17960" s="18"/>
      <c r="D17960" s="19"/>
      <c r="E17960" s="57"/>
      <c r="H17960" s="18"/>
    </row>
    <row r="17961">
      <c r="C17961" s="18"/>
      <c r="D17961" s="19"/>
      <c r="E17961" s="57"/>
      <c r="H17961" s="18"/>
    </row>
    <row r="17962">
      <c r="C17962" s="18"/>
      <c r="D17962" s="19"/>
      <c r="E17962" s="57"/>
      <c r="H17962" s="18"/>
    </row>
    <row r="17963">
      <c r="C17963" s="18"/>
      <c r="D17963" s="19"/>
      <c r="E17963" s="57"/>
      <c r="H17963" s="18"/>
    </row>
    <row r="17964">
      <c r="C17964" s="18"/>
      <c r="D17964" s="19"/>
      <c r="E17964" s="57"/>
      <c r="H17964" s="18"/>
    </row>
    <row r="17965">
      <c r="C17965" s="18"/>
      <c r="D17965" s="19"/>
      <c r="E17965" s="57"/>
      <c r="H17965" s="18"/>
    </row>
    <row r="17966">
      <c r="C17966" s="18"/>
      <c r="D17966" s="19"/>
      <c r="E17966" s="57"/>
      <c r="H17966" s="18"/>
    </row>
    <row r="17967">
      <c r="C17967" s="18"/>
      <c r="D17967" s="19"/>
      <c r="E17967" s="57"/>
      <c r="H17967" s="18"/>
    </row>
    <row r="17968">
      <c r="C17968" s="18"/>
      <c r="D17968" s="19"/>
      <c r="E17968" s="57"/>
      <c r="H17968" s="18"/>
    </row>
    <row r="17969">
      <c r="C17969" s="18"/>
      <c r="D17969" s="19"/>
      <c r="E17969" s="57"/>
      <c r="H17969" s="18"/>
    </row>
    <row r="17970">
      <c r="C17970" s="18"/>
      <c r="D17970" s="19"/>
      <c r="E17970" s="57"/>
      <c r="H17970" s="18"/>
    </row>
    <row r="17971">
      <c r="C17971" s="18"/>
      <c r="D17971" s="19"/>
      <c r="E17971" s="57"/>
      <c r="H17971" s="18"/>
    </row>
    <row r="17972">
      <c r="C17972" s="18"/>
      <c r="D17972" s="19"/>
      <c r="E17972" s="57"/>
      <c r="H17972" s="18"/>
    </row>
    <row r="17973">
      <c r="C17973" s="18"/>
      <c r="D17973" s="19"/>
      <c r="E17973" s="57"/>
      <c r="H17973" s="18"/>
    </row>
    <row r="17974">
      <c r="C17974" s="18"/>
      <c r="D17974" s="19"/>
      <c r="E17974" s="57"/>
      <c r="H17974" s="18"/>
    </row>
    <row r="17975">
      <c r="C17975" s="18"/>
      <c r="D17975" s="19"/>
      <c r="E17975" s="57"/>
      <c r="H17975" s="18"/>
    </row>
    <row r="17976">
      <c r="C17976" s="18"/>
      <c r="D17976" s="19"/>
      <c r="E17976" s="57"/>
      <c r="H17976" s="18"/>
    </row>
    <row r="17977">
      <c r="C17977" s="18"/>
      <c r="D17977" s="19"/>
      <c r="E17977" s="57"/>
      <c r="H17977" s="18"/>
    </row>
    <row r="17978">
      <c r="C17978" s="18"/>
      <c r="D17978" s="19"/>
      <c r="E17978" s="57"/>
      <c r="H17978" s="18"/>
    </row>
    <row r="17979">
      <c r="C17979" s="18"/>
      <c r="D17979" s="19"/>
      <c r="E17979" s="57"/>
      <c r="H17979" s="18"/>
    </row>
    <row r="17980">
      <c r="C17980" s="18"/>
      <c r="D17980" s="19"/>
      <c r="E17980" s="57"/>
      <c r="H17980" s="18"/>
    </row>
    <row r="17981">
      <c r="C17981" s="18"/>
      <c r="D17981" s="19"/>
      <c r="E17981" s="57"/>
      <c r="H17981" s="18"/>
    </row>
    <row r="17982">
      <c r="C17982" s="18"/>
      <c r="D17982" s="19"/>
      <c r="E17982" s="57"/>
      <c r="H17982" s="18"/>
    </row>
    <row r="17983">
      <c r="C17983" s="18"/>
      <c r="D17983" s="19"/>
      <c r="E17983" s="57"/>
      <c r="H17983" s="18"/>
    </row>
    <row r="17984">
      <c r="C17984" s="18"/>
      <c r="D17984" s="19"/>
      <c r="E17984" s="57"/>
      <c r="H17984" s="18"/>
    </row>
    <row r="17985">
      <c r="C17985" s="18"/>
      <c r="D17985" s="19"/>
      <c r="E17985" s="57"/>
      <c r="H17985" s="18"/>
    </row>
    <row r="17986">
      <c r="C17986" s="18"/>
      <c r="D17986" s="19"/>
      <c r="E17986" s="57"/>
      <c r="H17986" s="18"/>
    </row>
    <row r="17987">
      <c r="C17987" s="18"/>
      <c r="D17987" s="19"/>
      <c r="E17987" s="57"/>
      <c r="H17987" s="18"/>
    </row>
    <row r="17988">
      <c r="C17988" s="18"/>
      <c r="D17988" s="19"/>
      <c r="E17988" s="57"/>
      <c r="H17988" s="18"/>
    </row>
    <row r="17989">
      <c r="C17989" s="18"/>
      <c r="D17989" s="19"/>
      <c r="E17989" s="57"/>
      <c r="H17989" s="18"/>
    </row>
    <row r="17990">
      <c r="C17990" s="18"/>
      <c r="D17990" s="19"/>
      <c r="E17990" s="57"/>
      <c r="H17990" s="18"/>
    </row>
    <row r="17991">
      <c r="C17991" s="18"/>
      <c r="D17991" s="19"/>
      <c r="E17991" s="57"/>
      <c r="H17991" s="18"/>
    </row>
    <row r="17992">
      <c r="C17992" s="18"/>
      <c r="D17992" s="19"/>
      <c r="E17992" s="57"/>
      <c r="H17992" s="18"/>
    </row>
    <row r="17993">
      <c r="C17993" s="18"/>
      <c r="D17993" s="19"/>
      <c r="E17993" s="57"/>
      <c r="H17993" s="18"/>
    </row>
    <row r="17994">
      <c r="C17994" s="18"/>
      <c r="D17994" s="19"/>
      <c r="E17994" s="57"/>
      <c r="H17994" s="18"/>
    </row>
    <row r="17995">
      <c r="C17995" s="18"/>
      <c r="D17995" s="19"/>
      <c r="E17995" s="57"/>
      <c r="H17995" s="18"/>
    </row>
    <row r="17996">
      <c r="C17996" s="18"/>
      <c r="D17996" s="19"/>
      <c r="E17996" s="57"/>
      <c r="H17996" s="18"/>
    </row>
    <row r="17997">
      <c r="C17997" s="18"/>
      <c r="D17997" s="19"/>
      <c r="E17997" s="57"/>
      <c r="H17997" s="18"/>
    </row>
    <row r="17998">
      <c r="C17998" s="18"/>
      <c r="D17998" s="19"/>
      <c r="E17998" s="57"/>
      <c r="H17998" s="18"/>
    </row>
    <row r="17999">
      <c r="C17999" s="18"/>
      <c r="D17999" s="19"/>
      <c r="E17999" s="57"/>
      <c r="H17999" s="18"/>
    </row>
    <row r="18000">
      <c r="C18000" s="18"/>
      <c r="D18000" s="19"/>
      <c r="E18000" s="57"/>
      <c r="H18000" s="18"/>
    </row>
    <row r="18001">
      <c r="C18001" s="18"/>
      <c r="D18001" s="19"/>
      <c r="E18001" s="57"/>
      <c r="H18001" s="18"/>
    </row>
    <row r="18002">
      <c r="C18002" s="18"/>
      <c r="D18002" s="19"/>
      <c r="E18002" s="57"/>
      <c r="H18002" s="18"/>
    </row>
    <row r="18003">
      <c r="C18003" s="18"/>
      <c r="D18003" s="19"/>
      <c r="E18003" s="57"/>
      <c r="H18003" s="18"/>
    </row>
    <row r="18004">
      <c r="C18004" s="18"/>
      <c r="D18004" s="19"/>
      <c r="E18004" s="57"/>
      <c r="H18004" s="18"/>
    </row>
    <row r="18005">
      <c r="C18005" s="18"/>
      <c r="D18005" s="19"/>
      <c r="E18005" s="57"/>
      <c r="H18005" s="18"/>
    </row>
    <row r="18006">
      <c r="C18006" s="18"/>
      <c r="D18006" s="19"/>
      <c r="E18006" s="57"/>
      <c r="H18006" s="18"/>
    </row>
    <row r="18007">
      <c r="C18007" s="18"/>
      <c r="D18007" s="19"/>
      <c r="E18007" s="57"/>
      <c r="H18007" s="18"/>
    </row>
    <row r="18008">
      <c r="C18008" s="18"/>
      <c r="D18008" s="19"/>
      <c r="E18008" s="57"/>
      <c r="H18008" s="18"/>
    </row>
    <row r="18009">
      <c r="C18009" s="18"/>
      <c r="D18009" s="19"/>
      <c r="E18009" s="57"/>
      <c r="H18009" s="18"/>
    </row>
    <row r="18010">
      <c r="C18010" s="18"/>
      <c r="D18010" s="19"/>
      <c r="E18010" s="57"/>
      <c r="H18010" s="18"/>
    </row>
    <row r="18011">
      <c r="C18011" s="18"/>
      <c r="D18011" s="19"/>
      <c r="E18011" s="57"/>
      <c r="H18011" s="18"/>
    </row>
    <row r="18012">
      <c r="C18012" s="18"/>
      <c r="D18012" s="19"/>
      <c r="E18012" s="57"/>
      <c r="H18012" s="18"/>
    </row>
    <row r="18013">
      <c r="C18013" s="18"/>
      <c r="D18013" s="19"/>
      <c r="E18013" s="57"/>
      <c r="H18013" s="18"/>
    </row>
    <row r="18014">
      <c r="C18014" s="18"/>
      <c r="D18014" s="19"/>
      <c r="E18014" s="57"/>
      <c r="H18014" s="18"/>
    </row>
    <row r="18015">
      <c r="C18015" s="18"/>
      <c r="D18015" s="19"/>
      <c r="E18015" s="57"/>
      <c r="H18015" s="18"/>
    </row>
    <row r="18016">
      <c r="C18016" s="18"/>
      <c r="D18016" s="19"/>
      <c r="E18016" s="57"/>
      <c r="H18016" s="18"/>
    </row>
    <row r="18017">
      <c r="C18017" s="18"/>
      <c r="D18017" s="19"/>
      <c r="E18017" s="57"/>
      <c r="H18017" s="18"/>
    </row>
    <row r="18018">
      <c r="C18018" s="18"/>
      <c r="D18018" s="19"/>
      <c r="E18018" s="57"/>
      <c r="H18018" s="18"/>
    </row>
    <row r="18019">
      <c r="C18019" s="18"/>
      <c r="D18019" s="19"/>
      <c r="E18019" s="57"/>
      <c r="H18019" s="18"/>
    </row>
    <row r="18020">
      <c r="C18020" s="18"/>
      <c r="D18020" s="19"/>
      <c r="E18020" s="57"/>
      <c r="H18020" s="18"/>
    </row>
    <row r="18021">
      <c r="C18021" s="18"/>
      <c r="D18021" s="19"/>
      <c r="E18021" s="57"/>
      <c r="H18021" s="18"/>
    </row>
    <row r="18022">
      <c r="C18022" s="18"/>
      <c r="D18022" s="19"/>
      <c r="E18022" s="57"/>
      <c r="H18022" s="18"/>
    </row>
    <row r="18023">
      <c r="C18023" s="18"/>
      <c r="D18023" s="19"/>
      <c r="E18023" s="57"/>
      <c r="H18023" s="18"/>
    </row>
    <row r="18024">
      <c r="C18024" s="18"/>
      <c r="D18024" s="19"/>
      <c r="E18024" s="57"/>
      <c r="H18024" s="18"/>
    </row>
    <row r="18025">
      <c r="C18025" s="18"/>
      <c r="D18025" s="19"/>
      <c r="E18025" s="57"/>
      <c r="H18025" s="18"/>
    </row>
    <row r="18026">
      <c r="C18026" s="18"/>
      <c r="D18026" s="19"/>
      <c r="E18026" s="57"/>
      <c r="H18026" s="18"/>
    </row>
    <row r="18027">
      <c r="C18027" s="18"/>
      <c r="D18027" s="19"/>
      <c r="E18027" s="57"/>
      <c r="H18027" s="18"/>
    </row>
    <row r="18028">
      <c r="C18028" s="18"/>
      <c r="D18028" s="19"/>
      <c r="E18028" s="57"/>
      <c r="H18028" s="18"/>
    </row>
    <row r="18029">
      <c r="C18029" s="18"/>
      <c r="D18029" s="19"/>
      <c r="E18029" s="57"/>
      <c r="H18029" s="18"/>
    </row>
    <row r="18030">
      <c r="C18030" s="18"/>
      <c r="D18030" s="19"/>
      <c r="E18030" s="57"/>
      <c r="H18030" s="18"/>
    </row>
    <row r="18031">
      <c r="C18031" s="18"/>
      <c r="D18031" s="19"/>
      <c r="E18031" s="57"/>
      <c r="H18031" s="18"/>
    </row>
    <row r="18032">
      <c r="C18032" s="18"/>
      <c r="D18032" s="19"/>
      <c r="E18032" s="57"/>
      <c r="H18032" s="18"/>
    </row>
    <row r="18033">
      <c r="C18033" s="18"/>
      <c r="D18033" s="19"/>
      <c r="E18033" s="57"/>
      <c r="H18033" s="18"/>
    </row>
    <row r="18034">
      <c r="C18034" s="18"/>
      <c r="D18034" s="19"/>
      <c r="E18034" s="57"/>
      <c r="H18034" s="18"/>
    </row>
    <row r="18035">
      <c r="C18035" s="18"/>
      <c r="D18035" s="19"/>
      <c r="E18035" s="57"/>
      <c r="H18035" s="18"/>
    </row>
    <row r="18036">
      <c r="C18036" s="18"/>
      <c r="D18036" s="19"/>
      <c r="E18036" s="57"/>
      <c r="H18036" s="18"/>
    </row>
    <row r="18037">
      <c r="C18037" s="18"/>
      <c r="D18037" s="19"/>
      <c r="E18037" s="57"/>
      <c r="H18037" s="18"/>
    </row>
    <row r="18038">
      <c r="C18038" s="18"/>
      <c r="D18038" s="19"/>
      <c r="E18038" s="57"/>
      <c r="H18038" s="18"/>
    </row>
    <row r="18039">
      <c r="C18039" s="18"/>
      <c r="D18039" s="19"/>
      <c r="E18039" s="57"/>
      <c r="H18039" s="18"/>
    </row>
    <row r="18040">
      <c r="C18040" s="18"/>
      <c r="D18040" s="19"/>
      <c r="E18040" s="57"/>
      <c r="H18040" s="18"/>
    </row>
    <row r="18041">
      <c r="C18041" s="18"/>
      <c r="D18041" s="19"/>
      <c r="E18041" s="57"/>
      <c r="H18041" s="18"/>
    </row>
    <row r="18042">
      <c r="C18042" s="18"/>
      <c r="D18042" s="19"/>
      <c r="E18042" s="57"/>
      <c r="H18042" s="18"/>
    </row>
    <row r="18043">
      <c r="C18043" s="18"/>
      <c r="D18043" s="19"/>
      <c r="E18043" s="57"/>
      <c r="H18043" s="18"/>
    </row>
    <row r="18044">
      <c r="C18044" s="18"/>
      <c r="D18044" s="19"/>
      <c r="E18044" s="57"/>
      <c r="H18044" s="18"/>
    </row>
    <row r="18045">
      <c r="C18045" s="18"/>
      <c r="D18045" s="19"/>
      <c r="E18045" s="57"/>
      <c r="H18045" s="18"/>
    </row>
    <row r="18046">
      <c r="C18046" s="18"/>
      <c r="D18046" s="19"/>
      <c r="E18046" s="57"/>
      <c r="H18046" s="18"/>
    </row>
    <row r="18047">
      <c r="C18047" s="18"/>
      <c r="D18047" s="19"/>
      <c r="E18047" s="57"/>
      <c r="H18047" s="18"/>
    </row>
    <row r="18048">
      <c r="C18048" s="18"/>
      <c r="D18048" s="19"/>
      <c r="E18048" s="57"/>
      <c r="H18048" s="18"/>
    </row>
    <row r="18049">
      <c r="C18049" s="18"/>
      <c r="D18049" s="19"/>
      <c r="E18049" s="57"/>
      <c r="H18049" s="18"/>
    </row>
    <row r="18050">
      <c r="C18050" s="18"/>
      <c r="D18050" s="19"/>
      <c r="E18050" s="57"/>
      <c r="H18050" s="18"/>
    </row>
    <row r="18051">
      <c r="C18051" s="18"/>
      <c r="D18051" s="19"/>
      <c r="E18051" s="57"/>
      <c r="H18051" s="18"/>
    </row>
    <row r="18052">
      <c r="C18052" s="18"/>
      <c r="D18052" s="19"/>
      <c r="E18052" s="57"/>
      <c r="H18052" s="18"/>
    </row>
    <row r="18053">
      <c r="C18053" s="18"/>
      <c r="D18053" s="19"/>
      <c r="E18053" s="57"/>
      <c r="H18053" s="18"/>
    </row>
    <row r="18054">
      <c r="C18054" s="18"/>
      <c r="D18054" s="19"/>
      <c r="E18054" s="57"/>
      <c r="H18054" s="18"/>
    </row>
    <row r="18055">
      <c r="C18055" s="18"/>
      <c r="D18055" s="19"/>
      <c r="E18055" s="57"/>
      <c r="H18055" s="18"/>
    </row>
    <row r="18056">
      <c r="C18056" s="18"/>
      <c r="D18056" s="19"/>
      <c r="E18056" s="57"/>
      <c r="H18056" s="18"/>
    </row>
    <row r="18057">
      <c r="C18057" s="18"/>
      <c r="D18057" s="19"/>
      <c r="E18057" s="57"/>
      <c r="H18057" s="18"/>
    </row>
    <row r="18058">
      <c r="C18058" s="18"/>
      <c r="D18058" s="19"/>
      <c r="E18058" s="57"/>
      <c r="H18058" s="18"/>
    </row>
    <row r="18059">
      <c r="C18059" s="18"/>
      <c r="D18059" s="19"/>
      <c r="E18059" s="57"/>
      <c r="H18059" s="18"/>
    </row>
    <row r="18060">
      <c r="C18060" s="18"/>
      <c r="D18060" s="19"/>
      <c r="E18060" s="57"/>
      <c r="H18060" s="18"/>
    </row>
    <row r="18061">
      <c r="C18061" s="18"/>
      <c r="D18061" s="19"/>
      <c r="E18061" s="57"/>
      <c r="H18061" s="18"/>
    </row>
    <row r="18062">
      <c r="C18062" s="18"/>
      <c r="D18062" s="19"/>
      <c r="E18062" s="57"/>
      <c r="H18062" s="18"/>
    </row>
    <row r="18063">
      <c r="C18063" s="18"/>
      <c r="D18063" s="19"/>
      <c r="E18063" s="57"/>
      <c r="H18063" s="18"/>
    </row>
    <row r="18064">
      <c r="C18064" s="18"/>
      <c r="D18064" s="19"/>
      <c r="E18064" s="57"/>
      <c r="H18064" s="18"/>
    </row>
    <row r="18065">
      <c r="C18065" s="18"/>
      <c r="D18065" s="19"/>
      <c r="E18065" s="57"/>
      <c r="H18065" s="18"/>
    </row>
    <row r="18066">
      <c r="C18066" s="18"/>
      <c r="D18066" s="19"/>
      <c r="E18066" s="57"/>
      <c r="H18066" s="18"/>
    </row>
    <row r="18067">
      <c r="C18067" s="18"/>
      <c r="D18067" s="19"/>
      <c r="E18067" s="57"/>
      <c r="H18067" s="18"/>
    </row>
    <row r="18068">
      <c r="C18068" s="18"/>
      <c r="D18068" s="19"/>
      <c r="E18068" s="57"/>
      <c r="H18068" s="18"/>
    </row>
    <row r="18069">
      <c r="C18069" s="18"/>
      <c r="D18069" s="19"/>
      <c r="E18069" s="57"/>
      <c r="H18069" s="18"/>
    </row>
    <row r="18070">
      <c r="C18070" s="18"/>
      <c r="D18070" s="19"/>
      <c r="E18070" s="57"/>
      <c r="H18070" s="18"/>
    </row>
    <row r="18071">
      <c r="C18071" s="18"/>
      <c r="D18071" s="19"/>
      <c r="E18071" s="57"/>
      <c r="H18071" s="18"/>
    </row>
    <row r="18072">
      <c r="C18072" s="18"/>
      <c r="D18072" s="19"/>
      <c r="E18072" s="57"/>
      <c r="H18072" s="18"/>
    </row>
    <row r="18073">
      <c r="C18073" s="18"/>
      <c r="D18073" s="19"/>
      <c r="E18073" s="57"/>
      <c r="H18073" s="18"/>
    </row>
    <row r="18074">
      <c r="C18074" s="18"/>
      <c r="D18074" s="19"/>
      <c r="E18074" s="57"/>
      <c r="H18074" s="18"/>
    </row>
    <row r="18075">
      <c r="C18075" s="18"/>
      <c r="D18075" s="19"/>
      <c r="E18075" s="57"/>
      <c r="H18075" s="18"/>
    </row>
    <row r="18076">
      <c r="C18076" s="18"/>
      <c r="D18076" s="19"/>
      <c r="E18076" s="57"/>
      <c r="H18076" s="18"/>
    </row>
    <row r="18077">
      <c r="C18077" s="18"/>
      <c r="D18077" s="19"/>
      <c r="E18077" s="57"/>
      <c r="H18077" s="18"/>
    </row>
    <row r="18078">
      <c r="C18078" s="18"/>
      <c r="D18078" s="19"/>
      <c r="E18078" s="57"/>
      <c r="H18078" s="18"/>
    </row>
    <row r="18079">
      <c r="C18079" s="18"/>
      <c r="D18079" s="19"/>
      <c r="E18079" s="57"/>
      <c r="H18079" s="18"/>
    </row>
    <row r="18080">
      <c r="C18080" s="18"/>
      <c r="D18080" s="19"/>
      <c r="E18080" s="57"/>
      <c r="H18080" s="18"/>
    </row>
    <row r="18081">
      <c r="C18081" s="18"/>
      <c r="D18081" s="19"/>
      <c r="E18081" s="57"/>
      <c r="H18081" s="18"/>
    </row>
    <row r="18082">
      <c r="C18082" s="18"/>
      <c r="D18082" s="19"/>
      <c r="E18082" s="57"/>
      <c r="H18082" s="18"/>
    </row>
    <row r="18083">
      <c r="C18083" s="18"/>
      <c r="D18083" s="19"/>
      <c r="E18083" s="57"/>
      <c r="H18083" s="18"/>
    </row>
    <row r="18084">
      <c r="C18084" s="18"/>
      <c r="D18084" s="19"/>
      <c r="E18084" s="57"/>
      <c r="H18084" s="18"/>
    </row>
    <row r="18085">
      <c r="C18085" s="18"/>
      <c r="D18085" s="19"/>
      <c r="E18085" s="57"/>
      <c r="H18085" s="18"/>
    </row>
    <row r="18086">
      <c r="C18086" s="18"/>
      <c r="D18086" s="19"/>
      <c r="E18086" s="57"/>
      <c r="H18086" s="18"/>
    </row>
    <row r="18087">
      <c r="C18087" s="18"/>
      <c r="D18087" s="19"/>
      <c r="E18087" s="57"/>
      <c r="H18087" s="18"/>
    </row>
    <row r="18088">
      <c r="C18088" s="18"/>
      <c r="D18088" s="19"/>
      <c r="E18088" s="57"/>
      <c r="H18088" s="18"/>
    </row>
    <row r="18089">
      <c r="C18089" s="18"/>
      <c r="D18089" s="19"/>
      <c r="E18089" s="57"/>
      <c r="H18089" s="18"/>
    </row>
    <row r="18090">
      <c r="C18090" s="18"/>
      <c r="D18090" s="19"/>
      <c r="E18090" s="57"/>
      <c r="H18090" s="18"/>
    </row>
    <row r="18091">
      <c r="C18091" s="18"/>
      <c r="D18091" s="19"/>
      <c r="E18091" s="57"/>
      <c r="H18091" s="18"/>
    </row>
    <row r="18092">
      <c r="C18092" s="18"/>
      <c r="D18092" s="19"/>
      <c r="E18092" s="57"/>
      <c r="H18092" s="18"/>
    </row>
    <row r="18093">
      <c r="C18093" s="18"/>
      <c r="D18093" s="19"/>
      <c r="E18093" s="57"/>
      <c r="H18093" s="18"/>
    </row>
    <row r="18094">
      <c r="C18094" s="18"/>
      <c r="D18094" s="19"/>
      <c r="E18094" s="57"/>
      <c r="H18094" s="18"/>
    </row>
    <row r="18095">
      <c r="C18095" s="18"/>
      <c r="D18095" s="19"/>
      <c r="E18095" s="57"/>
      <c r="H18095" s="18"/>
    </row>
    <row r="18096">
      <c r="C18096" s="18"/>
      <c r="D18096" s="19"/>
      <c r="E18096" s="57"/>
      <c r="H18096" s="18"/>
    </row>
    <row r="18097">
      <c r="C18097" s="18"/>
      <c r="D18097" s="19"/>
      <c r="E18097" s="57"/>
      <c r="H18097" s="18"/>
    </row>
    <row r="18098">
      <c r="C18098" s="18"/>
      <c r="D18098" s="19"/>
      <c r="E18098" s="57"/>
      <c r="H18098" s="18"/>
    </row>
    <row r="18099">
      <c r="C18099" s="18"/>
      <c r="D18099" s="19"/>
      <c r="E18099" s="57"/>
      <c r="H18099" s="18"/>
    </row>
    <row r="18100">
      <c r="C18100" s="18"/>
      <c r="D18100" s="19"/>
      <c r="E18100" s="57"/>
      <c r="H18100" s="18"/>
    </row>
    <row r="18101">
      <c r="C18101" s="18"/>
      <c r="D18101" s="19"/>
      <c r="E18101" s="57"/>
      <c r="H18101" s="18"/>
    </row>
    <row r="18102">
      <c r="C18102" s="18"/>
      <c r="D18102" s="19"/>
      <c r="E18102" s="57"/>
      <c r="H18102" s="18"/>
    </row>
    <row r="18103">
      <c r="C18103" s="18"/>
      <c r="D18103" s="19"/>
      <c r="E18103" s="57"/>
      <c r="H18103" s="18"/>
    </row>
    <row r="18104">
      <c r="C18104" s="18"/>
      <c r="D18104" s="19"/>
      <c r="E18104" s="57"/>
      <c r="H18104" s="18"/>
    </row>
    <row r="18105">
      <c r="C18105" s="18"/>
      <c r="D18105" s="19"/>
      <c r="E18105" s="57"/>
      <c r="H18105" s="18"/>
    </row>
    <row r="18106">
      <c r="C18106" s="18"/>
      <c r="D18106" s="19"/>
      <c r="E18106" s="57"/>
      <c r="H18106" s="18"/>
    </row>
    <row r="18107">
      <c r="C18107" s="18"/>
      <c r="D18107" s="19"/>
      <c r="E18107" s="57"/>
      <c r="H18107" s="18"/>
    </row>
    <row r="18108">
      <c r="C18108" s="18"/>
      <c r="D18108" s="19"/>
      <c r="E18108" s="57"/>
      <c r="H18108" s="18"/>
    </row>
    <row r="18109">
      <c r="C18109" s="18"/>
      <c r="D18109" s="19"/>
      <c r="E18109" s="57"/>
      <c r="H18109" s="18"/>
    </row>
    <row r="18110">
      <c r="C18110" s="18"/>
      <c r="D18110" s="19"/>
      <c r="E18110" s="57"/>
      <c r="H18110" s="18"/>
    </row>
    <row r="18111">
      <c r="C18111" s="18"/>
      <c r="D18111" s="19"/>
      <c r="E18111" s="57"/>
      <c r="H18111" s="18"/>
    </row>
    <row r="18112">
      <c r="C18112" s="18"/>
      <c r="D18112" s="19"/>
      <c r="E18112" s="57"/>
      <c r="H18112" s="18"/>
    </row>
    <row r="18113">
      <c r="C18113" s="18"/>
      <c r="D18113" s="19"/>
      <c r="E18113" s="57"/>
      <c r="H18113" s="18"/>
    </row>
    <row r="18114">
      <c r="C18114" s="18"/>
      <c r="D18114" s="19"/>
      <c r="E18114" s="57"/>
      <c r="H18114" s="18"/>
    </row>
    <row r="18115">
      <c r="C18115" s="18"/>
      <c r="D18115" s="19"/>
      <c r="E18115" s="57"/>
      <c r="H18115" s="18"/>
    </row>
    <row r="18116">
      <c r="C18116" s="18"/>
      <c r="D18116" s="19"/>
      <c r="E18116" s="57"/>
      <c r="H18116" s="18"/>
    </row>
    <row r="18117">
      <c r="C18117" s="18"/>
      <c r="D18117" s="19"/>
      <c r="E18117" s="57"/>
      <c r="H18117" s="18"/>
    </row>
    <row r="18118">
      <c r="C18118" s="18"/>
      <c r="D18118" s="19"/>
      <c r="E18118" s="57"/>
      <c r="H18118" s="18"/>
    </row>
    <row r="18119">
      <c r="C18119" s="18"/>
      <c r="D18119" s="19"/>
      <c r="E18119" s="57"/>
      <c r="H18119" s="18"/>
    </row>
    <row r="18120">
      <c r="C18120" s="18"/>
      <c r="D18120" s="19"/>
      <c r="E18120" s="57"/>
      <c r="H18120" s="18"/>
    </row>
    <row r="18121">
      <c r="C18121" s="18"/>
      <c r="D18121" s="19"/>
      <c r="E18121" s="57"/>
      <c r="H18121" s="18"/>
    </row>
    <row r="18122">
      <c r="C18122" s="18"/>
      <c r="D18122" s="19"/>
      <c r="E18122" s="57"/>
      <c r="H18122" s="18"/>
    </row>
    <row r="18123">
      <c r="C18123" s="18"/>
      <c r="D18123" s="19"/>
      <c r="E18123" s="57"/>
      <c r="H18123" s="18"/>
    </row>
    <row r="18124">
      <c r="C18124" s="18"/>
      <c r="D18124" s="19"/>
      <c r="E18124" s="57"/>
      <c r="H18124" s="18"/>
    </row>
    <row r="18125">
      <c r="C18125" s="18"/>
      <c r="D18125" s="19"/>
      <c r="E18125" s="57"/>
      <c r="H18125" s="18"/>
    </row>
    <row r="18126">
      <c r="C18126" s="18"/>
      <c r="D18126" s="19"/>
      <c r="E18126" s="57"/>
      <c r="H18126" s="18"/>
    </row>
    <row r="18127">
      <c r="C18127" s="18"/>
      <c r="D18127" s="19"/>
      <c r="E18127" s="57"/>
      <c r="H18127" s="18"/>
    </row>
    <row r="18128">
      <c r="C18128" s="18"/>
      <c r="D18128" s="19"/>
      <c r="E18128" s="57"/>
      <c r="H18128" s="18"/>
    </row>
    <row r="18129">
      <c r="C18129" s="18"/>
      <c r="D18129" s="19"/>
      <c r="E18129" s="57"/>
      <c r="H18129" s="18"/>
    </row>
    <row r="18130">
      <c r="C18130" s="18"/>
      <c r="D18130" s="19"/>
      <c r="E18130" s="57"/>
      <c r="H18130" s="18"/>
    </row>
    <row r="18131">
      <c r="C18131" s="18"/>
      <c r="D18131" s="19"/>
      <c r="E18131" s="57"/>
      <c r="H18131" s="18"/>
    </row>
    <row r="18132">
      <c r="C18132" s="18"/>
      <c r="D18132" s="19"/>
      <c r="E18132" s="57"/>
      <c r="H18132" s="18"/>
    </row>
    <row r="18133">
      <c r="C18133" s="18"/>
      <c r="D18133" s="19"/>
      <c r="E18133" s="57"/>
      <c r="H18133" s="18"/>
    </row>
    <row r="18134">
      <c r="C18134" s="18"/>
      <c r="D18134" s="19"/>
      <c r="E18134" s="57"/>
      <c r="H18134" s="18"/>
    </row>
    <row r="18135">
      <c r="C18135" s="18"/>
      <c r="D18135" s="19"/>
      <c r="E18135" s="57"/>
      <c r="H18135" s="18"/>
    </row>
    <row r="18136">
      <c r="C18136" s="18"/>
      <c r="D18136" s="19"/>
      <c r="E18136" s="57"/>
      <c r="H18136" s="18"/>
    </row>
    <row r="18137">
      <c r="C18137" s="18"/>
      <c r="D18137" s="19"/>
      <c r="E18137" s="57"/>
      <c r="H18137" s="18"/>
    </row>
    <row r="18138">
      <c r="C18138" s="18"/>
      <c r="D18138" s="19"/>
      <c r="E18138" s="57"/>
      <c r="H18138" s="18"/>
    </row>
    <row r="18139">
      <c r="C18139" s="18"/>
      <c r="D18139" s="19"/>
      <c r="E18139" s="57"/>
      <c r="H18139" s="18"/>
    </row>
    <row r="18140">
      <c r="C18140" s="18"/>
      <c r="D18140" s="19"/>
      <c r="E18140" s="57"/>
      <c r="H18140" s="18"/>
    </row>
    <row r="18141">
      <c r="C18141" s="18"/>
      <c r="D18141" s="19"/>
      <c r="E18141" s="57"/>
      <c r="H18141" s="18"/>
    </row>
    <row r="18142">
      <c r="C18142" s="18"/>
      <c r="D18142" s="19"/>
      <c r="E18142" s="57"/>
      <c r="H18142" s="18"/>
    </row>
    <row r="18143">
      <c r="C18143" s="18"/>
      <c r="D18143" s="19"/>
      <c r="E18143" s="57"/>
      <c r="H18143" s="18"/>
    </row>
    <row r="18144">
      <c r="C18144" s="18"/>
      <c r="D18144" s="19"/>
      <c r="E18144" s="57"/>
      <c r="H18144" s="18"/>
    </row>
    <row r="18145">
      <c r="C18145" s="18"/>
      <c r="D18145" s="19"/>
      <c r="E18145" s="57"/>
      <c r="H18145" s="18"/>
    </row>
    <row r="18146">
      <c r="C18146" s="18"/>
      <c r="D18146" s="19"/>
      <c r="E18146" s="57"/>
      <c r="H18146" s="18"/>
    </row>
    <row r="18147">
      <c r="C18147" s="18"/>
      <c r="D18147" s="19"/>
      <c r="E18147" s="57"/>
      <c r="H18147" s="18"/>
    </row>
    <row r="18148">
      <c r="C18148" s="18"/>
      <c r="D18148" s="19"/>
      <c r="E18148" s="57"/>
      <c r="H18148" s="18"/>
    </row>
    <row r="18149">
      <c r="C18149" s="18"/>
      <c r="D18149" s="19"/>
      <c r="E18149" s="57"/>
      <c r="H18149" s="18"/>
    </row>
    <row r="18150">
      <c r="C18150" s="18"/>
      <c r="D18150" s="19"/>
      <c r="E18150" s="57"/>
      <c r="H18150" s="18"/>
    </row>
    <row r="18151">
      <c r="C18151" s="18"/>
      <c r="D18151" s="19"/>
      <c r="E18151" s="57"/>
      <c r="H18151" s="18"/>
    </row>
    <row r="18152">
      <c r="C18152" s="18"/>
      <c r="D18152" s="19"/>
      <c r="E18152" s="57"/>
      <c r="H18152" s="18"/>
    </row>
    <row r="18153">
      <c r="C18153" s="18"/>
      <c r="D18153" s="19"/>
      <c r="E18153" s="57"/>
      <c r="H18153" s="18"/>
    </row>
    <row r="18154">
      <c r="C18154" s="18"/>
      <c r="D18154" s="19"/>
      <c r="E18154" s="57"/>
      <c r="H18154" s="18"/>
    </row>
    <row r="18155">
      <c r="C18155" s="18"/>
      <c r="D18155" s="19"/>
      <c r="E18155" s="57"/>
      <c r="H18155" s="18"/>
    </row>
    <row r="18156">
      <c r="C18156" s="18"/>
      <c r="D18156" s="19"/>
      <c r="E18156" s="57"/>
      <c r="H18156" s="18"/>
    </row>
    <row r="18157">
      <c r="C18157" s="18"/>
      <c r="D18157" s="19"/>
      <c r="E18157" s="57"/>
      <c r="H18157" s="18"/>
    </row>
    <row r="18158">
      <c r="C18158" s="18"/>
      <c r="D18158" s="19"/>
      <c r="E18158" s="57"/>
      <c r="H18158" s="18"/>
    </row>
    <row r="18159">
      <c r="C18159" s="18"/>
      <c r="D18159" s="19"/>
      <c r="E18159" s="57"/>
      <c r="H18159" s="18"/>
    </row>
    <row r="18160">
      <c r="C18160" s="18"/>
      <c r="D18160" s="19"/>
      <c r="E18160" s="57"/>
      <c r="H18160" s="18"/>
    </row>
    <row r="18161">
      <c r="C18161" s="18"/>
      <c r="D18161" s="19"/>
      <c r="E18161" s="57"/>
      <c r="H18161" s="18"/>
    </row>
    <row r="18162">
      <c r="C18162" s="18"/>
      <c r="D18162" s="19"/>
      <c r="E18162" s="57"/>
      <c r="H18162" s="18"/>
    </row>
    <row r="18163">
      <c r="C18163" s="18"/>
      <c r="D18163" s="19"/>
      <c r="E18163" s="57"/>
      <c r="H18163" s="18"/>
    </row>
    <row r="18164">
      <c r="C18164" s="18"/>
      <c r="D18164" s="19"/>
      <c r="E18164" s="57"/>
      <c r="H18164" s="18"/>
    </row>
    <row r="18165">
      <c r="C18165" s="18"/>
      <c r="D18165" s="19"/>
      <c r="E18165" s="57"/>
      <c r="H18165" s="18"/>
    </row>
    <row r="18166">
      <c r="C18166" s="18"/>
      <c r="D18166" s="19"/>
      <c r="E18166" s="57"/>
      <c r="H18166" s="18"/>
    </row>
    <row r="18167">
      <c r="C18167" s="18"/>
      <c r="D18167" s="19"/>
      <c r="E18167" s="57"/>
      <c r="H18167" s="18"/>
    </row>
    <row r="18168">
      <c r="C18168" s="18"/>
      <c r="D18168" s="19"/>
      <c r="E18168" s="57"/>
      <c r="H18168" s="18"/>
    </row>
    <row r="18169">
      <c r="C18169" s="18"/>
      <c r="D18169" s="19"/>
      <c r="E18169" s="57"/>
      <c r="H18169" s="18"/>
    </row>
    <row r="18170">
      <c r="C18170" s="18"/>
      <c r="D18170" s="19"/>
      <c r="E18170" s="57"/>
      <c r="H18170" s="18"/>
    </row>
    <row r="18171">
      <c r="C18171" s="18"/>
      <c r="D18171" s="19"/>
      <c r="E18171" s="57"/>
      <c r="H18171" s="18"/>
    </row>
    <row r="18172">
      <c r="C18172" s="18"/>
      <c r="D18172" s="19"/>
      <c r="E18172" s="57"/>
      <c r="H18172" s="18"/>
    </row>
    <row r="18173">
      <c r="C18173" s="18"/>
      <c r="D18173" s="19"/>
      <c r="E18173" s="57"/>
      <c r="H18173" s="18"/>
    </row>
    <row r="18174">
      <c r="C18174" s="18"/>
      <c r="D18174" s="19"/>
      <c r="E18174" s="57"/>
      <c r="H18174" s="18"/>
    </row>
    <row r="18175">
      <c r="C18175" s="18"/>
      <c r="D18175" s="19"/>
      <c r="E18175" s="57"/>
      <c r="H18175" s="18"/>
    </row>
    <row r="18176">
      <c r="C18176" s="18"/>
      <c r="D18176" s="19"/>
      <c r="E18176" s="57"/>
      <c r="H18176" s="18"/>
    </row>
    <row r="18177">
      <c r="C18177" s="18"/>
      <c r="D18177" s="19"/>
      <c r="E18177" s="57"/>
      <c r="H18177" s="18"/>
    </row>
    <row r="18178">
      <c r="C18178" s="18"/>
      <c r="D18178" s="19"/>
      <c r="E18178" s="57"/>
      <c r="H18178" s="18"/>
    </row>
    <row r="18179">
      <c r="C18179" s="18"/>
      <c r="D18179" s="19"/>
      <c r="E18179" s="57"/>
      <c r="H18179" s="18"/>
    </row>
    <row r="18180">
      <c r="C18180" s="18"/>
      <c r="D18180" s="19"/>
      <c r="E18180" s="57"/>
      <c r="H18180" s="18"/>
    </row>
    <row r="18181">
      <c r="C18181" s="18"/>
      <c r="D18181" s="19"/>
      <c r="E18181" s="57"/>
      <c r="H18181" s="18"/>
    </row>
    <row r="18182">
      <c r="C18182" s="18"/>
      <c r="D18182" s="19"/>
      <c r="E18182" s="57"/>
      <c r="H18182" s="18"/>
    </row>
    <row r="18183">
      <c r="C18183" s="18"/>
      <c r="D18183" s="19"/>
      <c r="E18183" s="57"/>
      <c r="H18183" s="18"/>
    </row>
    <row r="18184">
      <c r="C18184" s="18"/>
      <c r="D18184" s="19"/>
      <c r="E18184" s="57"/>
      <c r="H18184" s="18"/>
    </row>
    <row r="18185">
      <c r="C18185" s="18"/>
      <c r="D18185" s="19"/>
      <c r="E18185" s="57"/>
      <c r="H18185" s="18"/>
    </row>
    <row r="18186">
      <c r="C18186" s="18"/>
      <c r="D18186" s="19"/>
      <c r="E18186" s="57"/>
      <c r="H18186" s="18"/>
    </row>
    <row r="18187">
      <c r="C18187" s="18"/>
      <c r="D18187" s="19"/>
      <c r="E18187" s="57"/>
      <c r="H18187" s="18"/>
    </row>
    <row r="18188">
      <c r="C18188" s="18"/>
      <c r="D18188" s="19"/>
      <c r="E18188" s="57"/>
      <c r="H18188" s="18"/>
    </row>
    <row r="18189">
      <c r="C18189" s="18"/>
      <c r="D18189" s="19"/>
      <c r="E18189" s="57"/>
      <c r="H18189" s="18"/>
    </row>
    <row r="18190">
      <c r="C18190" s="18"/>
      <c r="D18190" s="19"/>
      <c r="E18190" s="57"/>
      <c r="H18190" s="18"/>
    </row>
    <row r="18191">
      <c r="C18191" s="18"/>
      <c r="D18191" s="19"/>
      <c r="E18191" s="57"/>
      <c r="H18191" s="18"/>
    </row>
    <row r="18192">
      <c r="C18192" s="18"/>
      <c r="D18192" s="19"/>
      <c r="E18192" s="57"/>
      <c r="H18192" s="18"/>
    </row>
    <row r="18193">
      <c r="C18193" s="18"/>
      <c r="D18193" s="19"/>
      <c r="E18193" s="57"/>
      <c r="H18193" s="18"/>
    </row>
    <row r="18194">
      <c r="C18194" s="18"/>
      <c r="D18194" s="19"/>
      <c r="E18194" s="57"/>
      <c r="H18194" s="18"/>
    </row>
    <row r="18195">
      <c r="C18195" s="18"/>
      <c r="D18195" s="19"/>
      <c r="E18195" s="57"/>
      <c r="H18195" s="18"/>
    </row>
    <row r="18196">
      <c r="C18196" s="18"/>
      <c r="D18196" s="19"/>
      <c r="E18196" s="57"/>
      <c r="H18196" s="18"/>
    </row>
    <row r="18197">
      <c r="C18197" s="18"/>
      <c r="D18197" s="19"/>
      <c r="E18197" s="57"/>
      <c r="H18197" s="18"/>
    </row>
    <row r="18198">
      <c r="C18198" s="18"/>
      <c r="D18198" s="19"/>
      <c r="E18198" s="57"/>
      <c r="H18198" s="18"/>
    </row>
    <row r="18199">
      <c r="C18199" s="18"/>
      <c r="D18199" s="19"/>
      <c r="E18199" s="57"/>
      <c r="H18199" s="18"/>
    </row>
    <row r="18200">
      <c r="C18200" s="18"/>
      <c r="D18200" s="19"/>
      <c r="E18200" s="57"/>
      <c r="H18200" s="18"/>
    </row>
    <row r="18201">
      <c r="C18201" s="18"/>
      <c r="D18201" s="19"/>
      <c r="E18201" s="57"/>
      <c r="H18201" s="18"/>
    </row>
    <row r="18202">
      <c r="C18202" s="18"/>
      <c r="D18202" s="19"/>
      <c r="E18202" s="57"/>
      <c r="H18202" s="18"/>
    </row>
    <row r="18203">
      <c r="C18203" s="18"/>
      <c r="D18203" s="19"/>
      <c r="E18203" s="57"/>
      <c r="H18203" s="18"/>
    </row>
    <row r="18204">
      <c r="C18204" s="18"/>
      <c r="D18204" s="19"/>
      <c r="E18204" s="57"/>
      <c r="H18204" s="18"/>
    </row>
    <row r="18205">
      <c r="C18205" s="18"/>
      <c r="D18205" s="19"/>
      <c r="E18205" s="57"/>
      <c r="H18205" s="18"/>
    </row>
    <row r="18206">
      <c r="C18206" s="18"/>
      <c r="D18206" s="19"/>
      <c r="E18206" s="57"/>
      <c r="H18206" s="18"/>
    </row>
    <row r="18207">
      <c r="C18207" s="18"/>
      <c r="D18207" s="19"/>
      <c r="E18207" s="57"/>
      <c r="H18207" s="18"/>
    </row>
    <row r="18208">
      <c r="C18208" s="18"/>
      <c r="D18208" s="19"/>
      <c r="E18208" s="57"/>
      <c r="H18208" s="18"/>
    </row>
    <row r="18209">
      <c r="C18209" s="18"/>
      <c r="D18209" s="19"/>
      <c r="E18209" s="57"/>
      <c r="H18209" s="18"/>
    </row>
    <row r="18210">
      <c r="C18210" s="18"/>
      <c r="D18210" s="19"/>
      <c r="E18210" s="57"/>
      <c r="H18210" s="18"/>
    </row>
    <row r="18211">
      <c r="C18211" s="18"/>
      <c r="D18211" s="19"/>
      <c r="E18211" s="57"/>
      <c r="H18211" s="18"/>
    </row>
    <row r="18212">
      <c r="C18212" s="18"/>
      <c r="D18212" s="19"/>
      <c r="E18212" s="57"/>
      <c r="H18212" s="18"/>
    </row>
    <row r="18213">
      <c r="C18213" s="18"/>
      <c r="D18213" s="19"/>
      <c r="E18213" s="57"/>
      <c r="H18213" s="18"/>
    </row>
    <row r="18214">
      <c r="C18214" s="18"/>
      <c r="D18214" s="19"/>
      <c r="E18214" s="57"/>
      <c r="H18214" s="18"/>
    </row>
    <row r="18215">
      <c r="C18215" s="18"/>
      <c r="D18215" s="19"/>
      <c r="E18215" s="57"/>
      <c r="H18215" s="18"/>
    </row>
    <row r="18216">
      <c r="C18216" s="18"/>
      <c r="D18216" s="19"/>
      <c r="E18216" s="57"/>
      <c r="H18216" s="18"/>
    </row>
    <row r="18217">
      <c r="C18217" s="18"/>
      <c r="D18217" s="19"/>
      <c r="E18217" s="57"/>
      <c r="H18217" s="18"/>
    </row>
    <row r="18218">
      <c r="C18218" s="18"/>
      <c r="D18218" s="19"/>
      <c r="E18218" s="57"/>
      <c r="H18218" s="18"/>
    </row>
    <row r="18219">
      <c r="C18219" s="18"/>
      <c r="D18219" s="19"/>
      <c r="E18219" s="57"/>
      <c r="H18219" s="18"/>
    </row>
    <row r="18220">
      <c r="C18220" s="18"/>
      <c r="D18220" s="19"/>
      <c r="E18220" s="57"/>
      <c r="H18220" s="18"/>
    </row>
    <row r="18221">
      <c r="C18221" s="18"/>
      <c r="D18221" s="19"/>
      <c r="E18221" s="57"/>
      <c r="H18221" s="18"/>
    </row>
    <row r="18222">
      <c r="C18222" s="18"/>
      <c r="D18222" s="19"/>
      <c r="E18222" s="57"/>
      <c r="H18222" s="18"/>
    </row>
    <row r="18223">
      <c r="C18223" s="18"/>
      <c r="D18223" s="19"/>
      <c r="E18223" s="57"/>
      <c r="H18223" s="18"/>
    </row>
    <row r="18224">
      <c r="C18224" s="18"/>
      <c r="D18224" s="19"/>
      <c r="E18224" s="57"/>
      <c r="H18224" s="18"/>
    </row>
    <row r="18225">
      <c r="C18225" s="18"/>
      <c r="D18225" s="19"/>
      <c r="E18225" s="57"/>
      <c r="H18225" s="18"/>
    </row>
    <row r="18226">
      <c r="C18226" s="18"/>
      <c r="D18226" s="19"/>
      <c r="E18226" s="57"/>
      <c r="H18226" s="18"/>
    </row>
    <row r="18227">
      <c r="C18227" s="18"/>
      <c r="D18227" s="19"/>
      <c r="E18227" s="57"/>
      <c r="H18227" s="18"/>
    </row>
    <row r="18228">
      <c r="C18228" s="18"/>
      <c r="D18228" s="19"/>
      <c r="E18228" s="57"/>
      <c r="H18228" s="18"/>
    </row>
    <row r="18229">
      <c r="C18229" s="18"/>
      <c r="D18229" s="19"/>
      <c r="E18229" s="57"/>
      <c r="H18229" s="18"/>
    </row>
    <row r="18230">
      <c r="C18230" s="18"/>
      <c r="D18230" s="19"/>
      <c r="E18230" s="57"/>
      <c r="H18230" s="18"/>
    </row>
    <row r="18231">
      <c r="C18231" s="18"/>
      <c r="D18231" s="19"/>
      <c r="E18231" s="57"/>
      <c r="H18231" s="18"/>
    </row>
    <row r="18232">
      <c r="C18232" s="18"/>
      <c r="D18232" s="19"/>
      <c r="E18232" s="57"/>
      <c r="H18232" s="18"/>
    </row>
    <row r="18233">
      <c r="C18233" s="18"/>
      <c r="D18233" s="19"/>
      <c r="E18233" s="57"/>
      <c r="H18233" s="18"/>
    </row>
    <row r="18234">
      <c r="C18234" s="18"/>
      <c r="D18234" s="19"/>
      <c r="E18234" s="57"/>
      <c r="H18234" s="18"/>
    </row>
    <row r="18235">
      <c r="C18235" s="18"/>
      <c r="D18235" s="19"/>
      <c r="E18235" s="57"/>
      <c r="H18235" s="18"/>
    </row>
    <row r="18236">
      <c r="C18236" s="18"/>
      <c r="D18236" s="19"/>
      <c r="E18236" s="57"/>
      <c r="H18236" s="18"/>
    </row>
    <row r="18237">
      <c r="C18237" s="18"/>
      <c r="D18237" s="19"/>
      <c r="E18237" s="57"/>
      <c r="H18237" s="18"/>
    </row>
    <row r="18238">
      <c r="C18238" s="18"/>
      <c r="D18238" s="19"/>
      <c r="E18238" s="57"/>
      <c r="H18238" s="18"/>
    </row>
    <row r="18239">
      <c r="C18239" s="18"/>
      <c r="D18239" s="19"/>
      <c r="E18239" s="57"/>
      <c r="H18239" s="18"/>
    </row>
    <row r="18240">
      <c r="C18240" s="18"/>
      <c r="D18240" s="19"/>
      <c r="E18240" s="57"/>
      <c r="H18240" s="18"/>
    </row>
    <row r="18241">
      <c r="C18241" s="18"/>
      <c r="D18241" s="19"/>
      <c r="E18241" s="57"/>
      <c r="H18241" s="18"/>
    </row>
    <row r="18242">
      <c r="C18242" s="18"/>
      <c r="D18242" s="19"/>
      <c r="E18242" s="57"/>
      <c r="H18242" s="18"/>
    </row>
    <row r="18243">
      <c r="C18243" s="18"/>
      <c r="D18243" s="19"/>
      <c r="E18243" s="57"/>
      <c r="H18243" s="18"/>
    </row>
    <row r="18244">
      <c r="C18244" s="18"/>
      <c r="D18244" s="19"/>
      <c r="E18244" s="57"/>
      <c r="H18244" s="18"/>
    </row>
    <row r="18245">
      <c r="C18245" s="18"/>
      <c r="D18245" s="19"/>
      <c r="E18245" s="57"/>
      <c r="H18245" s="18"/>
    </row>
    <row r="18246">
      <c r="C18246" s="18"/>
      <c r="D18246" s="19"/>
      <c r="E18246" s="57"/>
      <c r="H18246" s="18"/>
    </row>
    <row r="18247">
      <c r="C18247" s="18"/>
      <c r="D18247" s="19"/>
      <c r="E18247" s="57"/>
      <c r="H18247" s="18"/>
    </row>
    <row r="18248">
      <c r="C18248" s="18"/>
      <c r="D18248" s="19"/>
      <c r="E18248" s="57"/>
      <c r="H18248" s="18"/>
    </row>
    <row r="18249">
      <c r="C18249" s="18"/>
      <c r="D18249" s="19"/>
      <c r="E18249" s="57"/>
      <c r="H18249" s="18"/>
    </row>
    <row r="18250">
      <c r="C18250" s="18"/>
      <c r="D18250" s="19"/>
      <c r="E18250" s="57"/>
      <c r="H18250" s="18"/>
    </row>
    <row r="18251">
      <c r="C18251" s="18"/>
      <c r="D18251" s="19"/>
      <c r="E18251" s="57"/>
      <c r="H18251" s="18"/>
    </row>
    <row r="18252">
      <c r="C18252" s="18"/>
      <c r="D18252" s="19"/>
      <c r="E18252" s="57"/>
      <c r="H18252" s="18"/>
    </row>
    <row r="18253">
      <c r="C18253" s="18"/>
      <c r="D18253" s="19"/>
      <c r="E18253" s="57"/>
      <c r="H18253" s="18"/>
    </row>
    <row r="18254">
      <c r="C18254" s="18"/>
      <c r="D18254" s="19"/>
      <c r="E18254" s="57"/>
      <c r="H18254" s="18"/>
    </row>
    <row r="18255">
      <c r="C18255" s="18"/>
      <c r="D18255" s="19"/>
      <c r="E18255" s="57"/>
      <c r="H18255" s="18"/>
    </row>
    <row r="18256">
      <c r="C18256" s="18"/>
      <c r="D18256" s="19"/>
      <c r="E18256" s="57"/>
      <c r="H18256" s="18"/>
    </row>
    <row r="18257">
      <c r="C18257" s="18"/>
      <c r="D18257" s="19"/>
      <c r="E18257" s="57"/>
      <c r="H18257" s="18"/>
    </row>
    <row r="18258">
      <c r="C18258" s="18"/>
      <c r="D18258" s="19"/>
      <c r="E18258" s="57"/>
      <c r="H18258" s="18"/>
    </row>
    <row r="18259">
      <c r="C18259" s="18"/>
      <c r="D18259" s="19"/>
      <c r="E18259" s="57"/>
      <c r="H18259" s="18"/>
    </row>
    <row r="18260">
      <c r="C18260" s="18"/>
      <c r="D18260" s="19"/>
      <c r="E18260" s="57"/>
      <c r="H18260" s="18"/>
    </row>
    <row r="18261">
      <c r="C18261" s="18"/>
      <c r="D18261" s="19"/>
      <c r="E18261" s="57"/>
      <c r="H18261" s="18"/>
    </row>
    <row r="18262">
      <c r="C18262" s="18"/>
      <c r="D18262" s="19"/>
      <c r="E18262" s="57"/>
      <c r="H18262" s="18"/>
    </row>
    <row r="18263">
      <c r="C18263" s="18"/>
      <c r="D18263" s="19"/>
      <c r="E18263" s="57"/>
      <c r="H18263" s="18"/>
    </row>
    <row r="18264">
      <c r="C18264" s="18"/>
      <c r="D18264" s="19"/>
      <c r="E18264" s="57"/>
      <c r="H18264" s="18"/>
    </row>
    <row r="18265">
      <c r="C18265" s="18"/>
      <c r="D18265" s="19"/>
      <c r="E18265" s="57"/>
      <c r="H18265" s="18"/>
    </row>
    <row r="18266">
      <c r="C18266" s="18"/>
      <c r="D18266" s="19"/>
      <c r="E18266" s="57"/>
      <c r="H18266" s="18"/>
    </row>
    <row r="18267">
      <c r="C18267" s="18"/>
      <c r="D18267" s="19"/>
      <c r="E18267" s="57"/>
      <c r="H18267" s="18"/>
    </row>
    <row r="18268">
      <c r="C18268" s="18"/>
      <c r="D18268" s="19"/>
      <c r="E18268" s="57"/>
      <c r="H18268" s="18"/>
    </row>
    <row r="18269">
      <c r="C18269" s="18"/>
      <c r="D18269" s="19"/>
      <c r="E18269" s="57"/>
      <c r="H18269" s="18"/>
    </row>
    <row r="18270">
      <c r="C18270" s="18"/>
      <c r="D18270" s="19"/>
      <c r="E18270" s="57"/>
      <c r="H18270" s="18"/>
    </row>
    <row r="18271">
      <c r="C18271" s="18"/>
      <c r="D18271" s="19"/>
      <c r="E18271" s="57"/>
      <c r="H18271" s="18"/>
    </row>
    <row r="18272">
      <c r="C18272" s="18"/>
      <c r="D18272" s="19"/>
      <c r="E18272" s="57"/>
      <c r="H18272" s="18"/>
    </row>
    <row r="18273">
      <c r="C18273" s="18"/>
      <c r="D18273" s="19"/>
      <c r="E18273" s="57"/>
      <c r="H18273" s="18"/>
    </row>
    <row r="18274">
      <c r="C18274" s="18"/>
      <c r="D18274" s="19"/>
      <c r="E18274" s="57"/>
      <c r="H18274" s="18"/>
    </row>
    <row r="18275">
      <c r="C18275" s="18"/>
      <c r="D18275" s="19"/>
      <c r="E18275" s="57"/>
      <c r="H18275" s="18"/>
    </row>
    <row r="18276">
      <c r="C18276" s="18"/>
      <c r="D18276" s="19"/>
      <c r="E18276" s="57"/>
      <c r="H18276" s="18"/>
    </row>
    <row r="18277">
      <c r="C18277" s="18"/>
      <c r="D18277" s="19"/>
      <c r="E18277" s="57"/>
      <c r="H18277" s="18"/>
    </row>
    <row r="18278">
      <c r="C18278" s="18"/>
      <c r="D18278" s="19"/>
      <c r="E18278" s="57"/>
      <c r="H18278" s="18"/>
    </row>
    <row r="18279">
      <c r="C18279" s="18"/>
      <c r="D18279" s="19"/>
      <c r="E18279" s="57"/>
      <c r="H18279" s="18"/>
    </row>
    <row r="18280">
      <c r="C18280" s="18"/>
      <c r="D18280" s="19"/>
      <c r="E18280" s="57"/>
      <c r="H18280" s="18"/>
    </row>
    <row r="18281">
      <c r="C18281" s="18"/>
      <c r="D18281" s="19"/>
      <c r="E18281" s="57"/>
      <c r="H18281" s="18"/>
    </row>
    <row r="18282">
      <c r="C18282" s="18"/>
      <c r="D18282" s="19"/>
      <c r="E18282" s="57"/>
      <c r="H18282" s="18"/>
    </row>
    <row r="18283">
      <c r="C18283" s="18"/>
      <c r="D18283" s="19"/>
      <c r="E18283" s="57"/>
      <c r="H18283" s="18"/>
    </row>
    <row r="18284">
      <c r="C18284" s="18"/>
      <c r="D18284" s="19"/>
      <c r="E18284" s="57"/>
      <c r="H18284" s="18"/>
    </row>
    <row r="18285">
      <c r="C18285" s="18"/>
      <c r="D18285" s="19"/>
      <c r="E18285" s="57"/>
      <c r="H18285" s="18"/>
    </row>
    <row r="18286">
      <c r="C18286" s="18"/>
      <c r="D18286" s="19"/>
      <c r="E18286" s="57"/>
      <c r="H18286" s="18"/>
    </row>
    <row r="18287">
      <c r="C18287" s="18"/>
      <c r="D18287" s="19"/>
      <c r="E18287" s="57"/>
      <c r="H18287" s="18"/>
    </row>
    <row r="18288">
      <c r="C18288" s="18"/>
      <c r="D18288" s="19"/>
      <c r="E18288" s="57"/>
      <c r="H18288" s="18"/>
    </row>
    <row r="18289">
      <c r="C18289" s="18"/>
      <c r="D18289" s="19"/>
      <c r="E18289" s="57"/>
      <c r="H18289" s="18"/>
    </row>
    <row r="18290">
      <c r="C18290" s="18"/>
      <c r="D18290" s="19"/>
      <c r="E18290" s="57"/>
      <c r="H18290" s="18"/>
    </row>
    <row r="18291">
      <c r="C18291" s="18"/>
      <c r="D18291" s="19"/>
      <c r="E18291" s="57"/>
      <c r="H18291" s="18"/>
    </row>
    <row r="18292">
      <c r="C18292" s="18"/>
      <c r="D18292" s="19"/>
      <c r="E18292" s="57"/>
      <c r="H18292" s="18"/>
    </row>
    <row r="18293">
      <c r="C18293" s="18"/>
      <c r="D18293" s="19"/>
      <c r="E18293" s="57"/>
      <c r="H18293" s="18"/>
    </row>
    <row r="18294">
      <c r="C18294" s="18"/>
      <c r="D18294" s="19"/>
      <c r="E18294" s="57"/>
      <c r="H18294" s="18"/>
    </row>
    <row r="18295">
      <c r="C18295" s="18"/>
      <c r="D18295" s="19"/>
      <c r="E18295" s="57"/>
      <c r="H18295" s="18"/>
    </row>
    <row r="18296">
      <c r="C18296" s="18"/>
      <c r="D18296" s="19"/>
      <c r="E18296" s="57"/>
      <c r="H18296" s="18"/>
    </row>
    <row r="18297">
      <c r="C18297" s="18"/>
      <c r="D18297" s="19"/>
      <c r="E18297" s="57"/>
      <c r="H18297" s="18"/>
    </row>
    <row r="18298">
      <c r="C18298" s="18"/>
      <c r="D18298" s="19"/>
      <c r="E18298" s="57"/>
      <c r="H18298" s="18"/>
    </row>
    <row r="18299">
      <c r="C18299" s="18"/>
      <c r="D18299" s="19"/>
      <c r="E18299" s="57"/>
      <c r="H18299" s="18"/>
    </row>
    <row r="18300">
      <c r="C18300" s="18"/>
      <c r="D18300" s="19"/>
      <c r="E18300" s="57"/>
      <c r="H18300" s="18"/>
    </row>
    <row r="18301">
      <c r="C18301" s="18"/>
      <c r="D18301" s="19"/>
      <c r="E18301" s="57"/>
      <c r="H18301" s="18"/>
    </row>
    <row r="18302">
      <c r="C18302" s="18"/>
      <c r="D18302" s="19"/>
      <c r="E18302" s="57"/>
      <c r="H18302" s="18"/>
    </row>
    <row r="18303">
      <c r="C18303" s="18"/>
      <c r="D18303" s="19"/>
      <c r="E18303" s="57"/>
      <c r="H18303" s="18"/>
    </row>
    <row r="18304">
      <c r="C18304" s="18"/>
      <c r="D18304" s="19"/>
      <c r="E18304" s="57"/>
      <c r="H18304" s="18"/>
    </row>
    <row r="18305">
      <c r="C18305" s="18"/>
      <c r="D18305" s="19"/>
      <c r="E18305" s="57"/>
      <c r="H18305" s="18"/>
    </row>
    <row r="18306">
      <c r="C18306" s="18"/>
      <c r="D18306" s="19"/>
      <c r="E18306" s="57"/>
      <c r="H18306" s="18"/>
    </row>
    <row r="18307">
      <c r="C18307" s="18"/>
      <c r="D18307" s="19"/>
      <c r="E18307" s="57"/>
      <c r="H18307" s="18"/>
    </row>
    <row r="18308">
      <c r="C18308" s="18"/>
      <c r="D18308" s="19"/>
      <c r="E18308" s="57"/>
      <c r="H18308" s="18"/>
    </row>
    <row r="18309">
      <c r="C18309" s="18"/>
      <c r="D18309" s="19"/>
      <c r="E18309" s="57"/>
      <c r="H18309" s="18"/>
    </row>
    <row r="18310">
      <c r="C18310" s="18"/>
      <c r="D18310" s="19"/>
      <c r="E18310" s="57"/>
      <c r="H18310" s="18"/>
    </row>
    <row r="18311">
      <c r="C18311" s="18"/>
      <c r="D18311" s="19"/>
      <c r="E18311" s="57"/>
      <c r="H18311" s="18"/>
    </row>
    <row r="18312">
      <c r="C18312" s="18"/>
      <c r="D18312" s="19"/>
      <c r="E18312" s="57"/>
      <c r="H18312" s="18"/>
    </row>
    <row r="18313">
      <c r="C18313" s="18"/>
      <c r="D18313" s="19"/>
      <c r="E18313" s="57"/>
      <c r="H18313" s="18"/>
    </row>
    <row r="18314">
      <c r="C18314" s="18"/>
      <c r="D18314" s="19"/>
      <c r="E18314" s="57"/>
      <c r="H18314" s="18"/>
    </row>
    <row r="18315">
      <c r="C18315" s="18"/>
      <c r="D18315" s="19"/>
      <c r="E18315" s="57"/>
      <c r="H18315" s="18"/>
    </row>
    <row r="18316">
      <c r="C18316" s="18"/>
      <c r="D18316" s="19"/>
      <c r="E18316" s="57"/>
      <c r="H18316" s="18"/>
    </row>
    <row r="18317">
      <c r="C18317" s="18"/>
      <c r="D18317" s="19"/>
      <c r="E18317" s="57"/>
      <c r="H18317" s="18"/>
    </row>
    <row r="18318">
      <c r="C18318" s="18"/>
      <c r="D18318" s="19"/>
      <c r="E18318" s="57"/>
      <c r="H18318" s="18"/>
    </row>
    <row r="18319">
      <c r="C18319" s="18"/>
      <c r="D18319" s="19"/>
      <c r="E18319" s="57"/>
      <c r="H18319" s="18"/>
    </row>
    <row r="18320">
      <c r="C18320" s="18"/>
      <c r="D18320" s="19"/>
      <c r="E18320" s="57"/>
      <c r="H18320" s="18"/>
    </row>
    <row r="18321">
      <c r="C18321" s="18"/>
      <c r="D18321" s="19"/>
      <c r="E18321" s="57"/>
      <c r="H18321" s="18"/>
    </row>
    <row r="18322">
      <c r="C18322" s="18"/>
      <c r="D18322" s="19"/>
      <c r="E18322" s="57"/>
      <c r="H18322" s="18"/>
    </row>
    <row r="18323">
      <c r="C18323" s="18"/>
      <c r="D18323" s="19"/>
      <c r="E18323" s="57"/>
      <c r="H18323" s="18"/>
    </row>
    <row r="18324">
      <c r="C18324" s="18"/>
      <c r="D18324" s="19"/>
      <c r="E18324" s="57"/>
      <c r="H18324" s="18"/>
    </row>
    <row r="18325">
      <c r="C18325" s="18"/>
      <c r="D18325" s="19"/>
      <c r="E18325" s="57"/>
      <c r="H18325" s="18"/>
    </row>
    <row r="18326">
      <c r="C18326" s="18"/>
      <c r="D18326" s="19"/>
      <c r="E18326" s="57"/>
      <c r="H18326" s="18"/>
    </row>
    <row r="18327">
      <c r="C18327" s="18"/>
      <c r="D18327" s="19"/>
      <c r="E18327" s="57"/>
      <c r="H18327" s="18"/>
    </row>
    <row r="18328">
      <c r="C18328" s="18"/>
      <c r="D18328" s="19"/>
      <c r="E18328" s="57"/>
      <c r="H18328" s="18"/>
    </row>
    <row r="18329">
      <c r="C18329" s="18"/>
      <c r="D18329" s="19"/>
      <c r="E18329" s="57"/>
      <c r="H18329" s="18"/>
    </row>
    <row r="18330">
      <c r="C18330" s="18"/>
      <c r="D18330" s="19"/>
      <c r="E18330" s="57"/>
      <c r="H18330" s="18"/>
    </row>
    <row r="18331">
      <c r="C18331" s="18"/>
      <c r="D18331" s="19"/>
      <c r="E18331" s="57"/>
      <c r="H18331" s="18"/>
    </row>
    <row r="18332">
      <c r="C18332" s="18"/>
      <c r="D18332" s="19"/>
      <c r="E18332" s="57"/>
      <c r="H18332" s="18"/>
    </row>
    <row r="18333">
      <c r="C18333" s="18"/>
      <c r="D18333" s="19"/>
      <c r="E18333" s="57"/>
      <c r="H18333" s="18"/>
    </row>
    <row r="18334">
      <c r="C18334" s="18"/>
      <c r="D18334" s="19"/>
      <c r="E18334" s="57"/>
      <c r="H18334" s="18"/>
    </row>
    <row r="18335">
      <c r="C18335" s="18"/>
      <c r="D18335" s="19"/>
      <c r="E18335" s="57"/>
      <c r="H18335" s="18"/>
    </row>
    <row r="18336">
      <c r="C18336" s="18"/>
      <c r="D18336" s="19"/>
      <c r="E18336" s="57"/>
      <c r="H18336" s="18"/>
    </row>
    <row r="18337">
      <c r="C18337" s="18"/>
      <c r="D18337" s="19"/>
      <c r="E18337" s="57"/>
      <c r="H18337" s="18"/>
    </row>
    <row r="18338">
      <c r="C18338" s="18"/>
      <c r="D18338" s="19"/>
      <c r="E18338" s="57"/>
      <c r="H18338" s="18"/>
    </row>
    <row r="18339">
      <c r="C18339" s="18"/>
      <c r="D18339" s="19"/>
      <c r="E18339" s="57"/>
      <c r="H18339" s="18"/>
    </row>
    <row r="18340">
      <c r="C18340" s="18"/>
      <c r="D18340" s="19"/>
      <c r="E18340" s="57"/>
      <c r="H18340" s="18"/>
    </row>
    <row r="18341">
      <c r="C18341" s="18"/>
      <c r="D18341" s="19"/>
      <c r="E18341" s="57"/>
      <c r="H18341" s="18"/>
    </row>
    <row r="18342">
      <c r="C18342" s="18"/>
      <c r="D18342" s="19"/>
      <c r="E18342" s="57"/>
      <c r="H18342" s="18"/>
    </row>
    <row r="18343">
      <c r="C18343" s="18"/>
      <c r="D18343" s="19"/>
      <c r="E18343" s="57"/>
      <c r="H18343" s="18"/>
    </row>
    <row r="18344">
      <c r="C18344" s="18"/>
      <c r="D18344" s="19"/>
      <c r="E18344" s="57"/>
      <c r="H18344" s="18"/>
    </row>
    <row r="18345">
      <c r="C18345" s="18"/>
      <c r="D18345" s="19"/>
      <c r="E18345" s="57"/>
      <c r="H18345" s="18"/>
    </row>
    <row r="18346">
      <c r="C18346" s="18"/>
      <c r="D18346" s="19"/>
      <c r="E18346" s="57"/>
      <c r="H18346" s="18"/>
    </row>
    <row r="18347">
      <c r="C18347" s="18"/>
      <c r="D18347" s="19"/>
      <c r="E18347" s="57"/>
      <c r="H18347" s="18"/>
    </row>
    <row r="18348">
      <c r="C18348" s="18"/>
      <c r="D18348" s="19"/>
      <c r="E18348" s="57"/>
      <c r="H18348" s="18"/>
    </row>
    <row r="18349">
      <c r="C18349" s="18"/>
      <c r="D18349" s="19"/>
      <c r="E18349" s="57"/>
      <c r="H18349" s="18"/>
    </row>
    <row r="18350">
      <c r="C18350" s="18"/>
      <c r="D18350" s="19"/>
      <c r="E18350" s="57"/>
      <c r="H18350" s="18"/>
    </row>
    <row r="18351">
      <c r="C18351" s="18"/>
      <c r="D18351" s="19"/>
      <c r="E18351" s="57"/>
      <c r="H18351" s="18"/>
    </row>
    <row r="18352">
      <c r="C18352" s="18"/>
      <c r="D18352" s="19"/>
      <c r="E18352" s="57"/>
      <c r="H18352" s="18"/>
    </row>
    <row r="18353">
      <c r="C18353" s="18"/>
      <c r="D18353" s="19"/>
      <c r="E18353" s="57"/>
      <c r="H18353" s="18"/>
    </row>
    <row r="18354">
      <c r="C18354" s="18"/>
      <c r="D18354" s="19"/>
      <c r="E18354" s="57"/>
      <c r="H18354" s="18"/>
    </row>
    <row r="18355">
      <c r="C18355" s="18"/>
      <c r="D18355" s="19"/>
      <c r="E18355" s="57"/>
      <c r="H18355" s="18"/>
    </row>
    <row r="18356">
      <c r="C18356" s="18"/>
      <c r="D18356" s="19"/>
      <c r="E18356" s="57"/>
      <c r="H18356" s="18"/>
    </row>
    <row r="18357">
      <c r="C18357" s="18"/>
      <c r="D18357" s="19"/>
      <c r="E18357" s="57"/>
      <c r="H18357" s="18"/>
    </row>
    <row r="18358">
      <c r="C18358" s="18"/>
      <c r="D18358" s="19"/>
      <c r="E18358" s="57"/>
      <c r="H18358" s="18"/>
    </row>
    <row r="18359">
      <c r="C18359" s="18"/>
      <c r="D18359" s="19"/>
      <c r="E18359" s="57"/>
      <c r="H18359" s="18"/>
    </row>
    <row r="18360">
      <c r="C18360" s="18"/>
      <c r="D18360" s="19"/>
      <c r="E18360" s="57"/>
      <c r="H18360" s="18"/>
    </row>
    <row r="18361">
      <c r="C18361" s="18"/>
      <c r="D18361" s="19"/>
      <c r="E18361" s="57"/>
      <c r="H18361" s="18"/>
    </row>
    <row r="18362">
      <c r="C18362" s="18"/>
      <c r="D18362" s="19"/>
      <c r="E18362" s="57"/>
      <c r="H18362" s="18"/>
    </row>
    <row r="18363">
      <c r="C18363" s="18"/>
      <c r="D18363" s="19"/>
      <c r="E18363" s="57"/>
      <c r="H18363" s="18"/>
    </row>
    <row r="18364">
      <c r="C18364" s="18"/>
      <c r="D18364" s="19"/>
      <c r="E18364" s="57"/>
      <c r="H18364" s="18"/>
    </row>
    <row r="18365">
      <c r="C18365" s="18"/>
      <c r="D18365" s="19"/>
      <c r="E18365" s="57"/>
      <c r="H18365" s="18"/>
    </row>
    <row r="18366">
      <c r="C18366" s="18"/>
      <c r="D18366" s="19"/>
      <c r="E18366" s="57"/>
      <c r="H18366" s="18"/>
    </row>
    <row r="18367">
      <c r="C18367" s="18"/>
      <c r="D18367" s="19"/>
      <c r="E18367" s="57"/>
      <c r="H18367" s="18"/>
    </row>
    <row r="18368">
      <c r="C18368" s="18"/>
      <c r="D18368" s="19"/>
      <c r="E18368" s="57"/>
      <c r="H18368" s="18"/>
    </row>
    <row r="18369">
      <c r="C18369" s="18"/>
      <c r="D18369" s="19"/>
      <c r="E18369" s="57"/>
      <c r="H18369" s="18"/>
    </row>
    <row r="18370">
      <c r="C18370" s="18"/>
      <c r="D18370" s="19"/>
      <c r="E18370" s="57"/>
      <c r="H18370" s="18"/>
    </row>
    <row r="18371">
      <c r="C18371" s="18"/>
      <c r="D18371" s="19"/>
      <c r="E18371" s="57"/>
      <c r="H18371" s="18"/>
    </row>
    <row r="18372">
      <c r="C18372" s="18"/>
      <c r="D18372" s="19"/>
      <c r="E18372" s="57"/>
      <c r="H18372" s="18"/>
    </row>
    <row r="18373">
      <c r="C18373" s="18"/>
      <c r="D18373" s="19"/>
      <c r="E18373" s="57"/>
      <c r="H18373" s="18"/>
    </row>
    <row r="18374">
      <c r="C18374" s="18"/>
      <c r="D18374" s="19"/>
      <c r="E18374" s="57"/>
      <c r="H18374" s="18"/>
    </row>
    <row r="18375">
      <c r="C18375" s="18"/>
      <c r="D18375" s="19"/>
      <c r="E18375" s="57"/>
      <c r="H18375" s="18"/>
    </row>
    <row r="18376">
      <c r="C18376" s="18"/>
      <c r="D18376" s="19"/>
      <c r="E18376" s="57"/>
      <c r="H18376" s="18"/>
    </row>
    <row r="18377">
      <c r="C18377" s="18"/>
      <c r="D18377" s="19"/>
      <c r="E18377" s="57"/>
      <c r="H18377" s="18"/>
    </row>
    <row r="18378">
      <c r="C18378" s="18"/>
      <c r="D18378" s="19"/>
      <c r="E18378" s="57"/>
      <c r="H18378" s="18"/>
    </row>
    <row r="18379">
      <c r="C18379" s="18"/>
      <c r="D18379" s="19"/>
      <c r="E18379" s="57"/>
      <c r="H18379" s="18"/>
    </row>
    <row r="18380">
      <c r="C18380" s="18"/>
      <c r="D18380" s="19"/>
      <c r="E18380" s="57"/>
      <c r="H18380" s="18"/>
    </row>
    <row r="18381">
      <c r="C18381" s="18"/>
      <c r="D18381" s="19"/>
      <c r="E18381" s="57"/>
      <c r="H18381" s="18"/>
    </row>
    <row r="18382">
      <c r="C18382" s="18"/>
      <c r="D18382" s="19"/>
      <c r="E18382" s="57"/>
      <c r="H18382" s="18"/>
    </row>
    <row r="18383">
      <c r="C18383" s="18"/>
      <c r="D18383" s="19"/>
      <c r="E18383" s="57"/>
      <c r="H18383" s="18"/>
    </row>
    <row r="18384">
      <c r="C18384" s="18"/>
      <c r="D18384" s="19"/>
      <c r="E18384" s="57"/>
      <c r="H18384" s="18"/>
    </row>
    <row r="18385">
      <c r="C18385" s="18"/>
      <c r="D18385" s="19"/>
      <c r="E18385" s="57"/>
      <c r="H18385" s="18"/>
    </row>
    <row r="18386">
      <c r="C18386" s="18"/>
      <c r="D18386" s="19"/>
      <c r="E18386" s="57"/>
      <c r="H18386" s="18"/>
    </row>
    <row r="18387">
      <c r="C18387" s="18"/>
      <c r="D18387" s="19"/>
      <c r="E18387" s="57"/>
      <c r="H18387" s="18"/>
    </row>
    <row r="18388">
      <c r="C18388" s="18"/>
      <c r="D18388" s="19"/>
      <c r="E18388" s="57"/>
      <c r="H18388" s="18"/>
    </row>
    <row r="18389">
      <c r="C18389" s="18"/>
      <c r="D18389" s="19"/>
      <c r="E18389" s="57"/>
      <c r="H18389" s="18"/>
    </row>
    <row r="18390">
      <c r="C18390" s="18"/>
      <c r="D18390" s="19"/>
      <c r="E18390" s="57"/>
      <c r="H18390" s="18"/>
    </row>
    <row r="18391">
      <c r="C18391" s="18"/>
      <c r="D18391" s="19"/>
      <c r="E18391" s="57"/>
      <c r="H18391" s="18"/>
    </row>
    <row r="18392">
      <c r="C18392" s="18"/>
      <c r="D18392" s="19"/>
      <c r="E18392" s="57"/>
      <c r="H18392" s="18"/>
    </row>
    <row r="18393">
      <c r="C18393" s="18"/>
      <c r="D18393" s="19"/>
      <c r="E18393" s="57"/>
      <c r="H18393" s="18"/>
    </row>
    <row r="18394">
      <c r="C18394" s="18"/>
      <c r="D18394" s="19"/>
      <c r="E18394" s="57"/>
      <c r="H18394" s="18"/>
    </row>
    <row r="18395">
      <c r="C18395" s="18"/>
      <c r="D18395" s="19"/>
      <c r="E18395" s="57"/>
      <c r="H18395" s="18"/>
    </row>
    <row r="18396">
      <c r="C18396" s="18"/>
      <c r="D18396" s="19"/>
      <c r="E18396" s="57"/>
      <c r="H18396" s="18"/>
    </row>
    <row r="18397">
      <c r="C18397" s="18"/>
      <c r="D18397" s="19"/>
      <c r="E18397" s="57"/>
      <c r="H18397" s="18"/>
    </row>
    <row r="18398">
      <c r="C18398" s="18"/>
      <c r="D18398" s="19"/>
      <c r="E18398" s="57"/>
      <c r="H18398" s="18"/>
    </row>
    <row r="18399">
      <c r="C18399" s="18"/>
      <c r="D18399" s="19"/>
      <c r="E18399" s="57"/>
      <c r="H18399" s="18"/>
    </row>
    <row r="18400">
      <c r="C18400" s="18"/>
      <c r="D18400" s="19"/>
      <c r="E18400" s="57"/>
      <c r="H18400" s="18"/>
    </row>
    <row r="18401">
      <c r="C18401" s="18"/>
      <c r="D18401" s="19"/>
      <c r="E18401" s="57"/>
      <c r="H18401" s="18"/>
    </row>
    <row r="18402">
      <c r="C18402" s="18"/>
      <c r="D18402" s="19"/>
      <c r="E18402" s="57"/>
      <c r="H18402" s="18"/>
    </row>
    <row r="18403">
      <c r="C18403" s="18"/>
      <c r="D18403" s="19"/>
      <c r="E18403" s="57"/>
      <c r="H18403" s="18"/>
    </row>
    <row r="18404">
      <c r="C18404" s="18"/>
      <c r="D18404" s="19"/>
      <c r="E18404" s="57"/>
      <c r="H18404" s="18"/>
    </row>
    <row r="18405">
      <c r="C18405" s="18"/>
      <c r="D18405" s="19"/>
      <c r="E18405" s="57"/>
      <c r="H18405" s="18"/>
    </row>
    <row r="18406">
      <c r="C18406" s="18"/>
      <c r="D18406" s="19"/>
      <c r="E18406" s="57"/>
      <c r="H18406" s="18"/>
    </row>
    <row r="18407">
      <c r="C18407" s="18"/>
      <c r="D18407" s="19"/>
      <c r="E18407" s="57"/>
      <c r="H18407" s="18"/>
    </row>
    <row r="18408">
      <c r="C18408" s="18"/>
      <c r="D18408" s="19"/>
      <c r="E18408" s="57"/>
      <c r="H18408" s="18"/>
    </row>
    <row r="18409">
      <c r="C18409" s="18"/>
      <c r="D18409" s="19"/>
      <c r="E18409" s="57"/>
      <c r="H18409" s="18"/>
    </row>
    <row r="18410">
      <c r="C18410" s="18"/>
      <c r="D18410" s="19"/>
      <c r="E18410" s="57"/>
      <c r="H18410" s="18"/>
    </row>
    <row r="18411">
      <c r="C18411" s="18"/>
      <c r="D18411" s="19"/>
      <c r="E18411" s="57"/>
      <c r="H18411" s="18"/>
    </row>
    <row r="18412">
      <c r="C18412" s="18"/>
      <c r="D18412" s="19"/>
      <c r="E18412" s="57"/>
      <c r="H18412" s="18"/>
    </row>
    <row r="18413">
      <c r="C18413" s="18"/>
      <c r="D18413" s="19"/>
      <c r="E18413" s="57"/>
      <c r="H18413" s="18"/>
    </row>
    <row r="18414">
      <c r="C18414" s="18"/>
      <c r="D18414" s="19"/>
      <c r="E18414" s="57"/>
      <c r="H18414" s="18"/>
    </row>
    <row r="18415">
      <c r="C18415" s="18"/>
      <c r="D18415" s="19"/>
      <c r="E18415" s="57"/>
      <c r="H18415" s="18"/>
    </row>
    <row r="18416">
      <c r="C18416" s="18"/>
      <c r="D18416" s="19"/>
      <c r="E18416" s="57"/>
      <c r="H18416" s="18"/>
    </row>
    <row r="18417">
      <c r="C18417" s="18"/>
      <c r="D18417" s="19"/>
      <c r="E18417" s="57"/>
      <c r="H18417" s="18"/>
    </row>
    <row r="18418">
      <c r="C18418" s="18"/>
      <c r="D18418" s="19"/>
      <c r="E18418" s="57"/>
      <c r="H18418" s="18"/>
    </row>
    <row r="18419">
      <c r="C18419" s="18"/>
      <c r="D18419" s="19"/>
      <c r="E18419" s="57"/>
      <c r="H18419" s="18"/>
    </row>
    <row r="18420">
      <c r="C18420" s="18"/>
      <c r="D18420" s="19"/>
      <c r="E18420" s="57"/>
      <c r="H18420" s="18"/>
    </row>
    <row r="18421">
      <c r="C18421" s="18"/>
      <c r="D18421" s="19"/>
      <c r="E18421" s="57"/>
      <c r="H18421" s="18"/>
    </row>
    <row r="18422">
      <c r="C18422" s="18"/>
      <c r="D18422" s="19"/>
      <c r="E18422" s="57"/>
      <c r="H18422" s="18"/>
    </row>
    <row r="18423">
      <c r="C18423" s="18"/>
      <c r="D18423" s="19"/>
      <c r="E18423" s="57"/>
      <c r="H18423" s="18"/>
    </row>
    <row r="18424">
      <c r="C18424" s="18"/>
      <c r="D18424" s="19"/>
      <c r="E18424" s="57"/>
      <c r="H18424" s="18"/>
    </row>
    <row r="18425">
      <c r="C18425" s="18"/>
      <c r="D18425" s="19"/>
      <c r="E18425" s="57"/>
      <c r="H18425" s="18"/>
    </row>
    <row r="18426">
      <c r="C18426" s="18"/>
      <c r="D18426" s="19"/>
      <c r="E18426" s="57"/>
      <c r="H18426" s="18"/>
    </row>
    <row r="18427">
      <c r="C18427" s="18"/>
      <c r="D18427" s="19"/>
      <c r="E18427" s="57"/>
      <c r="H18427" s="18"/>
    </row>
    <row r="18428">
      <c r="C18428" s="18"/>
      <c r="D18428" s="19"/>
      <c r="E18428" s="57"/>
      <c r="H18428" s="18"/>
    </row>
    <row r="18429">
      <c r="C18429" s="18"/>
      <c r="D18429" s="19"/>
      <c r="E18429" s="57"/>
      <c r="H18429" s="18"/>
    </row>
    <row r="18430">
      <c r="C18430" s="18"/>
      <c r="D18430" s="19"/>
      <c r="E18430" s="57"/>
      <c r="H18430" s="18"/>
    </row>
    <row r="18431">
      <c r="C18431" s="18"/>
      <c r="D18431" s="19"/>
      <c r="E18431" s="57"/>
      <c r="H18431" s="18"/>
    </row>
    <row r="18432">
      <c r="C18432" s="18"/>
      <c r="D18432" s="19"/>
      <c r="E18432" s="57"/>
      <c r="H18432" s="18"/>
    </row>
    <row r="18433">
      <c r="C18433" s="18"/>
      <c r="D18433" s="19"/>
      <c r="E18433" s="57"/>
      <c r="H18433" s="18"/>
    </row>
    <row r="18434">
      <c r="C18434" s="18"/>
      <c r="D18434" s="19"/>
      <c r="E18434" s="57"/>
      <c r="H18434" s="18"/>
    </row>
    <row r="18435">
      <c r="C18435" s="18"/>
      <c r="D18435" s="19"/>
      <c r="E18435" s="57"/>
      <c r="H18435" s="18"/>
    </row>
    <row r="18436">
      <c r="C18436" s="18"/>
      <c r="D18436" s="19"/>
      <c r="E18436" s="57"/>
      <c r="H18436" s="18"/>
    </row>
    <row r="18437">
      <c r="C18437" s="18"/>
      <c r="D18437" s="19"/>
      <c r="E18437" s="57"/>
      <c r="H18437" s="18"/>
    </row>
    <row r="18438">
      <c r="C18438" s="18"/>
      <c r="D18438" s="19"/>
      <c r="E18438" s="57"/>
      <c r="H18438" s="18"/>
    </row>
    <row r="18439">
      <c r="C18439" s="18"/>
      <c r="D18439" s="19"/>
      <c r="E18439" s="57"/>
      <c r="H18439" s="18"/>
    </row>
    <row r="18440">
      <c r="C18440" s="18"/>
      <c r="D18440" s="19"/>
      <c r="E18440" s="57"/>
      <c r="H18440" s="18"/>
    </row>
    <row r="18441">
      <c r="C18441" s="18"/>
      <c r="D18441" s="19"/>
      <c r="E18441" s="57"/>
      <c r="H18441" s="18"/>
    </row>
    <row r="18442">
      <c r="C18442" s="18"/>
      <c r="D18442" s="19"/>
      <c r="E18442" s="57"/>
      <c r="H18442" s="18"/>
    </row>
    <row r="18443">
      <c r="C18443" s="18"/>
      <c r="D18443" s="19"/>
      <c r="E18443" s="57"/>
      <c r="H18443" s="18"/>
    </row>
    <row r="18444">
      <c r="C18444" s="18"/>
      <c r="D18444" s="19"/>
      <c r="E18444" s="57"/>
      <c r="H18444" s="18"/>
    </row>
    <row r="18445">
      <c r="C18445" s="18"/>
      <c r="D18445" s="19"/>
      <c r="E18445" s="57"/>
      <c r="H18445" s="18"/>
    </row>
    <row r="18446">
      <c r="C18446" s="18"/>
      <c r="D18446" s="19"/>
      <c r="E18446" s="57"/>
      <c r="H18446" s="18"/>
    </row>
    <row r="18447">
      <c r="C18447" s="18"/>
      <c r="D18447" s="19"/>
      <c r="E18447" s="57"/>
      <c r="H18447" s="18"/>
    </row>
    <row r="18448">
      <c r="C18448" s="18"/>
      <c r="D18448" s="19"/>
      <c r="E18448" s="57"/>
      <c r="H18448" s="18"/>
    </row>
    <row r="18449">
      <c r="C18449" s="18"/>
      <c r="D18449" s="19"/>
      <c r="E18449" s="57"/>
      <c r="H18449" s="18"/>
    </row>
    <row r="18450">
      <c r="C18450" s="18"/>
      <c r="D18450" s="19"/>
      <c r="E18450" s="57"/>
      <c r="H18450" s="18"/>
    </row>
    <row r="18451">
      <c r="C18451" s="18"/>
      <c r="D18451" s="19"/>
      <c r="E18451" s="57"/>
      <c r="H18451" s="18"/>
    </row>
    <row r="18452">
      <c r="C18452" s="18"/>
      <c r="D18452" s="19"/>
      <c r="E18452" s="57"/>
      <c r="H18452" s="18"/>
    </row>
    <row r="18453">
      <c r="C18453" s="18"/>
      <c r="D18453" s="19"/>
      <c r="E18453" s="57"/>
      <c r="H18453" s="18"/>
    </row>
    <row r="18454">
      <c r="C18454" s="18"/>
      <c r="D18454" s="19"/>
      <c r="E18454" s="57"/>
      <c r="H18454" s="18"/>
    </row>
    <row r="18455">
      <c r="C18455" s="18"/>
      <c r="D18455" s="19"/>
      <c r="E18455" s="57"/>
      <c r="H18455" s="18"/>
    </row>
    <row r="18456">
      <c r="C18456" s="18"/>
      <c r="D18456" s="19"/>
      <c r="E18456" s="57"/>
      <c r="H18456" s="18"/>
    </row>
    <row r="18457">
      <c r="C18457" s="18"/>
      <c r="D18457" s="19"/>
      <c r="E18457" s="57"/>
      <c r="H18457" s="18"/>
    </row>
    <row r="18458">
      <c r="C18458" s="18"/>
      <c r="D18458" s="19"/>
      <c r="E18458" s="57"/>
      <c r="H18458" s="18"/>
    </row>
    <row r="18459">
      <c r="C18459" s="18"/>
      <c r="D18459" s="19"/>
      <c r="E18459" s="57"/>
      <c r="H18459" s="18"/>
    </row>
    <row r="18460">
      <c r="C18460" s="18"/>
      <c r="D18460" s="19"/>
      <c r="E18460" s="57"/>
      <c r="H18460" s="18"/>
    </row>
    <row r="18461">
      <c r="C18461" s="18"/>
      <c r="D18461" s="19"/>
      <c r="E18461" s="57"/>
      <c r="H18461" s="18"/>
    </row>
    <row r="18462">
      <c r="C18462" s="18"/>
      <c r="D18462" s="19"/>
      <c r="E18462" s="57"/>
      <c r="H18462" s="18"/>
    </row>
    <row r="18463">
      <c r="C18463" s="18"/>
      <c r="D18463" s="19"/>
      <c r="E18463" s="57"/>
      <c r="H18463" s="18"/>
    </row>
    <row r="18464">
      <c r="C18464" s="18"/>
      <c r="D18464" s="19"/>
      <c r="E18464" s="57"/>
      <c r="H18464" s="18"/>
    </row>
    <row r="18465">
      <c r="C18465" s="18"/>
      <c r="D18465" s="19"/>
      <c r="E18465" s="57"/>
      <c r="H18465" s="18"/>
    </row>
    <row r="18466">
      <c r="C18466" s="18"/>
      <c r="D18466" s="19"/>
      <c r="E18466" s="57"/>
      <c r="H18466" s="18"/>
    </row>
    <row r="18467">
      <c r="C18467" s="18"/>
      <c r="D18467" s="19"/>
      <c r="E18467" s="57"/>
      <c r="H18467" s="18"/>
    </row>
    <row r="18468">
      <c r="C18468" s="18"/>
      <c r="D18468" s="19"/>
      <c r="E18468" s="57"/>
      <c r="H18468" s="18"/>
    </row>
    <row r="18469">
      <c r="C18469" s="18"/>
      <c r="D18469" s="19"/>
      <c r="E18469" s="57"/>
      <c r="H18469" s="18"/>
    </row>
    <row r="18470">
      <c r="C18470" s="18"/>
      <c r="D18470" s="19"/>
      <c r="E18470" s="57"/>
      <c r="H18470" s="18"/>
    </row>
    <row r="18471">
      <c r="C18471" s="18"/>
      <c r="D18471" s="19"/>
      <c r="E18471" s="57"/>
      <c r="H18471" s="18"/>
    </row>
    <row r="18472">
      <c r="C18472" s="18"/>
      <c r="D18472" s="19"/>
      <c r="E18472" s="57"/>
      <c r="H18472" s="18"/>
    </row>
    <row r="18473">
      <c r="C18473" s="18"/>
      <c r="D18473" s="19"/>
      <c r="E18473" s="57"/>
      <c r="H18473" s="18"/>
    </row>
    <row r="18474">
      <c r="C18474" s="18"/>
      <c r="D18474" s="19"/>
      <c r="E18474" s="57"/>
      <c r="H18474" s="18"/>
    </row>
    <row r="18475">
      <c r="C18475" s="18"/>
      <c r="D18475" s="19"/>
      <c r="E18475" s="57"/>
      <c r="H18475" s="18"/>
    </row>
    <row r="18476">
      <c r="C18476" s="18"/>
      <c r="D18476" s="19"/>
      <c r="E18476" s="57"/>
      <c r="H18476" s="18"/>
    </row>
    <row r="18477">
      <c r="C18477" s="18"/>
      <c r="D18477" s="19"/>
      <c r="E18477" s="57"/>
      <c r="H18477" s="18"/>
    </row>
    <row r="18478">
      <c r="C18478" s="18"/>
      <c r="D18478" s="19"/>
      <c r="E18478" s="57"/>
      <c r="H18478" s="18"/>
    </row>
    <row r="18479">
      <c r="C18479" s="18"/>
      <c r="D18479" s="19"/>
      <c r="E18479" s="57"/>
      <c r="H18479" s="18"/>
    </row>
    <row r="18480">
      <c r="C18480" s="18"/>
      <c r="D18480" s="19"/>
      <c r="E18480" s="57"/>
      <c r="H18480" s="18"/>
    </row>
    <row r="18481">
      <c r="C18481" s="18"/>
      <c r="D18481" s="19"/>
      <c r="E18481" s="57"/>
      <c r="H18481" s="18"/>
    </row>
    <row r="18482">
      <c r="C18482" s="18"/>
      <c r="D18482" s="19"/>
      <c r="E18482" s="57"/>
      <c r="H18482" s="18"/>
    </row>
    <row r="18483">
      <c r="C18483" s="18"/>
      <c r="D18483" s="19"/>
      <c r="E18483" s="57"/>
      <c r="H18483" s="18"/>
    </row>
    <row r="18484">
      <c r="C18484" s="18"/>
      <c r="D18484" s="19"/>
      <c r="E18484" s="57"/>
      <c r="H18484" s="18"/>
    </row>
    <row r="18485">
      <c r="C18485" s="18"/>
      <c r="D18485" s="19"/>
      <c r="E18485" s="57"/>
      <c r="H18485" s="18"/>
    </row>
    <row r="18486">
      <c r="C18486" s="18"/>
      <c r="D18486" s="19"/>
      <c r="E18486" s="57"/>
      <c r="H18486" s="18"/>
    </row>
    <row r="18487">
      <c r="C18487" s="18"/>
      <c r="D18487" s="19"/>
      <c r="E18487" s="57"/>
      <c r="H18487" s="18"/>
    </row>
    <row r="18488">
      <c r="C18488" s="18"/>
      <c r="D18488" s="19"/>
      <c r="E18488" s="57"/>
      <c r="H18488" s="18"/>
    </row>
    <row r="18489">
      <c r="C18489" s="18"/>
      <c r="D18489" s="19"/>
      <c r="E18489" s="57"/>
      <c r="H18489" s="18"/>
    </row>
    <row r="18490">
      <c r="C18490" s="18"/>
      <c r="D18490" s="19"/>
      <c r="E18490" s="57"/>
      <c r="H18490" s="18"/>
    </row>
    <row r="18491">
      <c r="C18491" s="18"/>
      <c r="D18491" s="19"/>
      <c r="E18491" s="57"/>
      <c r="H18491" s="18"/>
    </row>
    <row r="18492">
      <c r="C18492" s="18"/>
      <c r="D18492" s="19"/>
      <c r="E18492" s="57"/>
      <c r="H18492" s="18"/>
    </row>
    <row r="18493">
      <c r="C18493" s="18"/>
      <c r="D18493" s="19"/>
      <c r="E18493" s="57"/>
      <c r="H18493" s="18"/>
    </row>
    <row r="18494">
      <c r="C18494" s="18"/>
      <c r="D18494" s="19"/>
      <c r="E18494" s="57"/>
      <c r="H18494" s="18"/>
    </row>
    <row r="18495">
      <c r="C18495" s="18"/>
      <c r="D18495" s="19"/>
      <c r="E18495" s="57"/>
      <c r="H18495" s="18"/>
    </row>
    <row r="18496">
      <c r="C18496" s="18"/>
      <c r="D18496" s="19"/>
      <c r="E18496" s="57"/>
      <c r="H18496" s="18"/>
    </row>
    <row r="18497">
      <c r="C18497" s="18"/>
      <c r="D18497" s="19"/>
      <c r="E18497" s="57"/>
      <c r="H18497" s="18"/>
    </row>
    <row r="18498">
      <c r="C18498" s="18"/>
      <c r="D18498" s="19"/>
      <c r="E18498" s="57"/>
      <c r="H18498" s="18"/>
    </row>
    <row r="18499">
      <c r="C18499" s="18"/>
      <c r="D18499" s="19"/>
      <c r="E18499" s="57"/>
      <c r="H18499" s="18"/>
    </row>
    <row r="18500">
      <c r="C18500" s="18"/>
      <c r="D18500" s="19"/>
      <c r="E18500" s="57"/>
      <c r="H18500" s="18"/>
    </row>
    <row r="18501">
      <c r="C18501" s="18"/>
      <c r="D18501" s="19"/>
      <c r="E18501" s="57"/>
      <c r="H18501" s="18"/>
    </row>
    <row r="18502">
      <c r="C18502" s="18"/>
      <c r="D18502" s="19"/>
      <c r="E18502" s="57"/>
      <c r="H18502" s="18"/>
    </row>
    <row r="18503">
      <c r="C18503" s="18"/>
      <c r="D18503" s="19"/>
      <c r="E18503" s="57"/>
      <c r="H18503" s="18"/>
    </row>
    <row r="18504">
      <c r="C18504" s="18"/>
      <c r="D18504" s="19"/>
      <c r="E18504" s="57"/>
      <c r="H18504" s="18"/>
    </row>
    <row r="18505">
      <c r="C18505" s="18"/>
      <c r="D18505" s="19"/>
      <c r="E18505" s="57"/>
      <c r="H18505" s="18"/>
    </row>
    <row r="18506">
      <c r="C18506" s="18"/>
      <c r="D18506" s="19"/>
      <c r="E18506" s="57"/>
      <c r="H18506" s="18"/>
    </row>
    <row r="18507">
      <c r="C18507" s="18"/>
      <c r="D18507" s="19"/>
      <c r="E18507" s="57"/>
      <c r="H18507" s="18"/>
    </row>
    <row r="18508">
      <c r="C18508" s="18"/>
      <c r="D18508" s="19"/>
      <c r="E18508" s="57"/>
      <c r="H18508" s="18"/>
    </row>
    <row r="18509">
      <c r="C18509" s="18"/>
      <c r="D18509" s="19"/>
      <c r="E18509" s="57"/>
      <c r="H18509" s="18"/>
    </row>
    <row r="18510">
      <c r="C18510" s="18"/>
      <c r="D18510" s="19"/>
      <c r="E18510" s="57"/>
      <c r="H18510" s="18"/>
    </row>
    <row r="18511">
      <c r="C18511" s="18"/>
      <c r="D18511" s="19"/>
      <c r="E18511" s="57"/>
      <c r="H18511" s="18"/>
    </row>
    <row r="18512">
      <c r="C18512" s="18"/>
      <c r="D18512" s="19"/>
      <c r="E18512" s="57"/>
      <c r="H18512" s="18"/>
    </row>
    <row r="18513">
      <c r="C18513" s="18"/>
      <c r="D18513" s="19"/>
      <c r="E18513" s="57"/>
      <c r="H18513" s="18"/>
    </row>
    <row r="18514">
      <c r="C18514" s="18"/>
      <c r="D18514" s="19"/>
      <c r="E18514" s="57"/>
      <c r="H18514" s="18"/>
    </row>
    <row r="18515">
      <c r="C18515" s="18"/>
      <c r="D18515" s="19"/>
      <c r="E18515" s="57"/>
      <c r="H18515" s="18"/>
    </row>
    <row r="18516">
      <c r="C18516" s="18"/>
      <c r="D18516" s="19"/>
      <c r="E18516" s="57"/>
      <c r="H18516" s="18"/>
    </row>
    <row r="18517">
      <c r="C18517" s="18"/>
      <c r="D18517" s="19"/>
      <c r="E18517" s="57"/>
      <c r="H18517" s="18"/>
    </row>
    <row r="18518">
      <c r="C18518" s="18"/>
      <c r="D18518" s="19"/>
      <c r="E18518" s="57"/>
      <c r="H18518" s="18"/>
    </row>
    <row r="18519">
      <c r="C18519" s="18"/>
      <c r="D18519" s="19"/>
      <c r="E18519" s="57"/>
      <c r="H18519" s="18"/>
    </row>
    <row r="18520">
      <c r="C18520" s="18"/>
      <c r="D18520" s="19"/>
      <c r="E18520" s="57"/>
      <c r="H18520" s="18"/>
    </row>
    <row r="18521">
      <c r="C18521" s="18"/>
      <c r="D18521" s="19"/>
      <c r="E18521" s="57"/>
      <c r="H18521" s="18"/>
    </row>
    <row r="18522">
      <c r="C18522" s="18"/>
      <c r="D18522" s="19"/>
      <c r="E18522" s="57"/>
      <c r="H18522" s="18"/>
    </row>
    <row r="18523">
      <c r="C18523" s="18"/>
      <c r="D18523" s="19"/>
      <c r="E18523" s="57"/>
      <c r="H18523" s="18"/>
    </row>
    <row r="18524">
      <c r="C18524" s="18"/>
      <c r="D18524" s="19"/>
      <c r="E18524" s="57"/>
      <c r="H18524" s="18"/>
    </row>
    <row r="18525">
      <c r="C18525" s="18"/>
      <c r="D18525" s="19"/>
      <c r="E18525" s="57"/>
      <c r="H18525" s="18"/>
    </row>
    <row r="18526">
      <c r="C18526" s="18"/>
      <c r="D18526" s="19"/>
      <c r="E18526" s="57"/>
      <c r="H18526" s="18"/>
    </row>
    <row r="18527">
      <c r="C18527" s="18"/>
      <c r="D18527" s="19"/>
      <c r="E18527" s="57"/>
      <c r="H18527" s="18"/>
    </row>
    <row r="18528">
      <c r="C18528" s="18"/>
      <c r="D18528" s="19"/>
      <c r="E18528" s="57"/>
      <c r="H18528" s="18"/>
    </row>
    <row r="18529">
      <c r="C18529" s="18"/>
      <c r="D18529" s="19"/>
      <c r="E18529" s="57"/>
      <c r="H18529" s="18"/>
    </row>
    <row r="18530">
      <c r="C18530" s="18"/>
      <c r="D18530" s="19"/>
      <c r="E18530" s="57"/>
      <c r="H18530" s="18"/>
    </row>
    <row r="18531">
      <c r="C18531" s="18"/>
      <c r="D18531" s="19"/>
      <c r="E18531" s="57"/>
      <c r="H18531" s="18"/>
    </row>
    <row r="18532">
      <c r="C18532" s="18"/>
      <c r="D18532" s="19"/>
      <c r="E18532" s="57"/>
      <c r="H18532" s="18"/>
    </row>
    <row r="18533">
      <c r="C18533" s="18"/>
      <c r="D18533" s="19"/>
      <c r="E18533" s="57"/>
      <c r="H18533" s="18"/>
    </row>
    <row r="18534">
      <c r="C18534" s="18"/>
      <c r="D18534" s="19"/>
      <c r="E18534" s="57"/>
      <c r="H18534" s="18"/>
    </row>
    <row r="18535">
      <c r="C18535" s="18"/>
      <c r="D18535" s="19"/>
      <c r="E18535" s="57"/>
      <c r="H18535" s="18"/>
    </row>
    <row r="18536">
      <c r="C18536" s="18"/>
      <c r="D18536" s="19"/>
      <c r="E18536" s="57"/>
      <c r="H18536" s="18"/>
    </row>
    <row r="18537">
      <c r="C18537" s="18"/>
      <c r="D18537" s="19"/>
      <c r="E18537" s="57"/>
      <c r="H18537" s="18"/>
    </row>
    <row r="18538">
      <c r="C18538" s="18"/>
      <c r="D18538" s="19"/>
      <c r="E18538" s="57"/>
      <c r="H18538" s="18"/>
    </row>
    <row r="18539">
      <c r="C18539" s="18"/>
      <c r="D18539" s="19"/>
      <c r="E18539" s="57"/>
      <c r="H18539" s="18"/>
    </row>
    <row r="18540">
      <c r="C18540" s="18"/>
      <c r="D18540" s="19"/>
      <c r="E18540" s="57"/>
      <c r="H18540" s="18"/>
    </row>
    <row r="18541">
      <c r="C18541" s="18"/>
      <c r="D18541" s="19"/>
      <c r="E18541" s="57"/>
      <c r="H18541" s="18"/>
    </row>
    <row r="18542">
      <c r="C18542" s="18"/>
      <c r="D18542" s="19"/>
      <c r="E18542" s="57"/>
      <c r="H18542" s="18"/>
    </row>
    <row r="18543">
      <c r="C18543" s="18"/>
      <c r="D18543" s="19"/>
      <c r="E18543" s="57"/>
      <c r="H18543" s="18"/>
    </row>
    <row r="18544">
      <c r="C18544" s="18"/>
      <c r="D18544" s="19"/>
      <c r="E18544" s="57"/>
      <c r="H18544" s="18"/>
    </row>
    <row r="18545">
      <c r="C18545" s="18"/>
      <c r="D18545" s="19"/>
      <c r="E18545" s="57"/>
      <c r="H18545" s="18"/>
    </row>
    <row r="18546">
      <c r="C18546" s="18"/>
      <c r="D18546" s="19"/>
      <c r="E18546" s="57"/>
      <c r="H18546" s="18"/>
    </row>
    <row r="18547">
      <c r="C18547" s="18"/>
      <c r="D18547" s="19"/>
      <c r="E18547" s="57"/>
      <c r="H18547" s="18"/>
    </row>
    <row r="18548">
      <c r="C18548" s="18"/>
      <c r="D18548" s="19"/>
      <c r="E18548" s="57"/>
      <c r="H18548" s="18"/>
    </row>
    <row r="18549">
      <c r="C18549" s="18"/>
      <c r="D18549" s="19"/>
      <c r="E18549" s="57"/>
      <c r="H18549" s="18"/>
    </row>
    <row r="18550">
      <c r="C18550" s="18"/>
      <c r="D18550" s="19"/>
      <c r="E18550" s="57"/>
      <c r="H18550" s="18"/>
    </row>
    <row r="18551">
      <c r="C18551" s="18"/>
      <c r="D18551" s="19"/>
      <c r="E18551" s="57"/>
      <c r="H18551" s="18"/>
    </row>
    <row r="18552">
      <c r="C18552" s="18"/>
      <c r="D18552" s="19"/>
      <c r="E18552" s="57"/>
      <c r="H18552" s="18"/>
    </row>
    <row r="18553">
      <c r="C18553" s="18"/>
      <c r="D18553" s="19"/>
      <c r="E18553" s="57"/>
      <c r="H18553" s="18"/>
    </row>
    <row r="18554">
      <c r="C18554" s="18"/>
      <c r="D18554" s="19"/>
      <c r="E18554" s="57"/>
      <c r="H18554" s="18"/>
    </row>
    <row r="18555">
      <c r="C18555" s="18"/>
      <c r="D18555" s="19"/>
      <c r="E18555" s="57"/>
      <c r="H18555" s="18"/>
    </row>
    <row r="18556">
      <c r="C18556" s="18"/>
      <c r="D18556" s="19"/>
      <c r="E18556" s="57"/>
      <c r="H18556" s="18"/>
    </row>
    <row r="18557">
      <c r="C18557" s="18"/>
      <c r="D18557" s="19"/>
      <c r="E18557" s="57"/>
      <c r="H18557" s="18"/>
    </row>
    <row r="18558">
      <c r="C18558" s="18"/>
      <c r="D18558" s="19"/>
      <c r="E18558" s="57"/>
      <c r="H18558" s="18"/>
    </row>
    <row r="18559">
      <c r="C18559" s="18"/>
      <c r="D18559" s="19"/>
      <c r="E18559" s="57"/>
      <c r="H18559" s="18"/>
    </row>
    <row r="18560">
      <c r="C18560" s="18"/>
      <c r="D18560" s="19"/>
      <c r="E18560" s="57"/>
      <c r="H18560" s="18"/>
    </row>
    <row r="18561">
      <c r="C18561" s="18"/>
      <c r="D18561" s="19"/>
      <c r="E18561" s="57"/>
      <c r="H18561" s="18"/>
    </row>
    <row r="18562">
      <c r="C18562" s="18"/>
      <c r="D18562" s="19"/>
      <c r="E18562" s="57"/>
      <c r="H18562" s="18"/>
    </row>
    <row r="18563">
      <c r="C18563" s="18"/>
      <c r="D18563" s="19"/>
      <c r="E18563" s="57"/>
      <c r="H18563" s="18"/>
    </row>
    <row r="18564">
      <c r="C18564" s="18"/>
      <c r="D18564" s="19"/>
      <c r="E18564" s="57"/>
      <c r="H18564" s="18"/>
    </row>
    <row r="18565">
      <c r="C18565" s="18"/>
      <c r="D18565" s="19"/>
      <c r="E18565" s="57"/>
      <c r="H18565" s="18"/>
    </row>
    <row r="18566">
      <c r="C18566" s="18"/>
      <c r="D18566" s="19"/>
      <c r="E18566" s="57"/>
      <c r="H18566" s="18"/>
    </row>
    <row r="18567">
      <c r="C18567" s="18"/>
      <c r="D18567" s="19"/>
      <c r="E18567" s="57"/>
      <c r="H18567" s="18"/>
    </row>
    <row r="18568">
      <c r="C18568" s="18"/>
      <c r="D18568" s="19"/>
      <c r="E18568" s="57"/>
      <c r="H18568" s="18"/>
    </row>
    <row r="18569">
      <c r="C18569" s="18"/>
      <c r="D18569" s="19"/>
      <c r="E18569" s="57"/>
      <c r="H18569" s="18"/>
    </row>
    <row r="18570">
      <c r="C18570" s="18"/>
      <c r="D18570" s="19"/>
      <c r="E18570" s="57"/>
      <c r="H18570" s="18"/>
    </row>
    <row r="18571">
      <c r="C18571" s="18"/>
      <c r="D18571" s="19"/>
      <c r="E18571" s="57"/>
      <c r="H18571" s="18"/>
    </row>
    <row r="18572">
      <c r="C18572" s="18"/>
      <c r="D18572" s="19"/>
      <c r="E18572" s="57"/>
      <c r="H18572" s="18"/>
    </row>
    <row r="18573">
      <c r="C18573" s="18"/>
      <c r="D18573" s="19"/>
      <c r="E18573" s="57"/>
      <c r="H18573" s="18"/>
    </row>
    <row r="18574">
      <c r="C18574" s="18"/>
      <c r="D18574" s="19"/>
      <c r="E18574" s="57"/>
      <c r="H18574" s="18"/>
    </row>
    <row r="18575">
      <c r="C18575" s="18"/>
      <c r="D18575" s="19"/>
      <c r="E18575" s="57"/>
      <c r="H18575" s="18"/>
    </row>
    <row r="18576">
      <c r="C18576" s="18"/>
      <c r="D18576" s="19"/>
      <c r="E18576" s="57"/>
      <c r="H18576" s="18"/>
    </row>
    <row r="18577">
      <c r="C18577" s="18"/>
      <c r="D18577" s="19"/>
      <c r="E18577" s="57"/>
      <c r="H18577" s="18"/>
    </row>
    <row r="18578">
      <c r="C18578" s="18"/>
      <c r="D18578" s="19"/>
      <c r="E18578" s="57"/>
      <c r="H18578" s="18"/>
    </row>
    <row r="18579">
      <c r="C18579" s="18"/>
      <c r="D18579" s="19"/>
      <c r="E18579" s="57"/>
      <c r="H18579" s="18"/>
    </row>
    <row r="18580">
      <c r="C18580" s="18"/>
      <c r="D18580" s="19"/>
      <c r="E18580" s="57"/>
      <c r="H18580" s="18"/>
    </row>
    <row r="18581">
      <c r="C18581" s="18"/>
      <c r="D18581" s="19"/>
      <c r="E18581" s="57"/>
      <c r="H18581" s="18"/>
    </row>
    <row r="18582">
      <c r="C18582" s="18"/>
      <c r="D18582" s="19"/>
      <c r="E18582" s="57"/>
      <c r="H18582" s="18"/>
    </row>
    <row r="18583">
      <c r="C18583" s="18"/>
      <c r="D18583" s="19"/>
      <c r="E18583" s="57"/>
      <c r="H18583" s="18"/>
    </row>
    <row r="18584">
      <c r="C18584" s="18"/>
      <c r="D18584" s="19"/>
      <c r="E18584" s="57"/>
      <c r="H18584" s="18"/>
    </row>
    <row r="18585">
      <c r="C18585" s="18"/>
      <c r="D18585" s="19"/>
      <c r="E18585" s="57"/>
      <c r="H18585" s="18"/>
    </row>
    <row r="18586">
      <c r="C18586" s="18"/>
      <c r="D18586" s="19"/>
      <c r="E18586" s="57"/>
      <c r="H18586" s="18"/>
    </row>
    <row r="18587">
      <c r="C18587" s="18"/>
      <c r="D18587" s="19"/>
      <c r="E18587" s="57"/>
      <c r="H18587" s="18"/>
    </row>
    <row r="18588">
      <c r="C18588" s="18"/>
      <c r="D18588" s="19"/>
      <c r="E18588" s="57"/>
      <c r="H18588" s="18"/>
    </row>
    <row r="18589">
      <c r="C18589" s="18"/>
      <c r="D18589" s="19"/>
      <c r="E18589" s="57"/>
      <c r="H18589" s="18"/>
    </row>
    <row r="18590">
      <c r="C18590" s="18"/>
      <c r="D18590" s="19"/>
      <c r="E18590" s="57"/>
      <c r="H18590" s="18"/>
    </row>
    <row r="18591">
      <c r="C18591" s="18"/>
      <c r="D18591" s="19"/>
      <c r="E18591" s="57"/>
      <c r="H18591" s="18"/>
    </row>
    <row r="18592">
      <c r="C18592" s="18"/>
      <c r="D18592" s="19"/>
      <c r="E18592" s="57"/>
      <c r="H18592" s="18"/>
    </row>
    <row r="18593">
      <c r="C18593" s="18"/>
      <c r="D18593" s="19"/>
      <c r="E18593" s="57"/>
      <c r="H18593" s="18"/>
    </row>
    <row r="18594">
      <c r="C18594" s="18"/>
      <c r="D18594" s="19"/>
      <c r="E18594" s="57"/>
      <c r="H18594" s="18"/>
    </row>
    <row r="18595">
      <c r="C18595" s="18"/>
      <c r="D18595" s="19"/>
      <c r="E18595" s="57"/>
      <c r="H18595" s="18"/>
    </row>
    <row r="18596">
      <c r="C18596" s="18"/>
      <c r="D18596" s="19"/>
      <c r="E18596" s="57"/>
      <c r="H18596" s="18"/>
    </row>
    <row r="18597">
      <c r="C18597" s="18"/>
      <c r="D18597" s="19"/>
      <c r="E18597" s="57"/>
      <c r="H18597" s="18"/>
    </row>
    <row r="18598">
      <c r="C18598" s="18"/>
      <c r="D18598" s="19"/>
      <c r="E18598" s="57"/>
      <c r="H18598" s="18"/>
    </row>
    <row r="18599">
      <c r="C18599" s="18"/>
      <c r="D18599" s="19"/>
      <c r="E18599" s="57"/>
      <c r="H18599" s="18"/>
    </row>
    <row r="18600">
      <c r="C18600" s="18"/>
      <c r="D18600" s="19"/>
      <c r="E18600" s="57"/>
      <c r="H18600" s="18"/>
    </row>
    <row r="18601">
      <c r="C18601" s="18"/>
      <c r="D18601" s="19"/>
      <c r="E18601" s="57"/>
      <c r="H18601" s="18"/>
    </row>
    <row r="18602">
      <c r="C18602" s="18"/>
      <c r="D18602" s="19"/>
      <c r="E18602" s="57"/>
      <c r="H18602" s="18"/>
    </row>
    <row r="18603">
      <c r="C18603" s="18"/>
      <c r="D18603" s="19"/>
      <c r="E18603" s="57"/>
      <c r="H18603" s="18"/>
    </row>
    <row r="18604">
      <c r="C18604" s="18"/>
      <c r="D18604" s="19"/>
      <c r="E18604" s="57"/>
      <c r="H18604" s="18"/>
    </row>
    <row r="18605">
      <c r="C18605" s="18"/>
      <c r="D18605" s="19"/>
      <c r="E18605" s="57"/>
      <c r="H18605" s="18"/>
    </row>
    <row r="18606">
      <c r="C18606" s="18"/>
      <c r="D18606" s="19"/>
      <c r="E18606" s="57"/>
      <c r="H18606" s="18"/>
    </row>
    <row r="18607">
      <c r="C18607" s="18"/>
      <c r="D18607" s="19"/>
      <c r="E18607" s="57"/>
      <c r="H18607" s="18"/>
    </row>
    <row r="18608">
      <c r="C18608" s="18"/>
      <c r="D18608" s="19"/>
      <c r="E18608" s="57"/>
      <c r="H18608" s="18"/>
    </row>
    <row r="18609">
      <c r="C18609" s="18"/>
      <c r="D18609" s="19"/>
      <c r="E18609" s="57"/>
      <c r="H18609" s="18"/>
    </row>
    <row r="18610">
      <c r="C18610" s="18"/>
      <c r="D18610" s="19"/>
      <c r="E18610" s="57"/>
      <c r="H18610" s="18"/>
    </row>
    <row r="18611">
      <c r="C18611" s="18"/>
      <c r="D18611" s="19"/>
      <c r="E18611" s="57"/>
      <c r="H18611" s="18"/>
    </row>
    <row r="18612">
      <c r="C18612" s="18"/>
      <c r="D18612" s="19"/>
      <c r="E18612" s="57"/>
      <c r="H18612" s="18"/>
    </row>
    <row r="18613">
      <c r="C18613" s="18"/>
      <c r="D18613" s="19"/>
      <c r="E18613" s="57"/>
      <c r="H18613" s="18"/>
    </row>
    <row r="18614">
      <c r="C18614" s="18"/>
      <c r="D18614" s="19"/>
      <c r="E18614" s="57"/>
      <c r="H18614" s="18"/>
    </row>
    <row r="18615">
      <c r="C18615" s="18"/>
      <c r="D18615" s="19"/>
      <c r="E18615" s="57"/>
      <c r="H18615" s="18"/>
    </row>
    <row r="18616">
      <c r="C18616" s="18"/>
      <c r="D18616" s="19"/>
      <c r="E18616" s="57"/>
      <c r="H18616" s="18"/>
    </row>
    <row r="18617">
      <c r="C18617" s="18"/>
      <c r="D18617" s="19"/>
      <c r="E18617" s="57"/>
      <c r="H18617" s="18"/>
    </row>
    <row r="18618">
      <c r="C18618" s="18"/>
      <c r="D18618" s="19"/>
      <c r="E18618" s="57"/>
      <c r="H18618" s="18"/>
    </row>
    <row r="18619">
      <c r="C18619" s="18"/>
      <c r="D18619" s="19"/>
      <c r="E18619" s="57"/>
      <c r="H18619" s="18"/>
    </row>
    <row r="18620">
      <c r="C18620" s="18"/>
      <c r="D18620" s="19"/>
      <c r="E18620" s="57"/>
      <c r="H18620" s="18"/>
    </row>
    <row r="18621">
      <c r="C18621" s="18"/>
      <c r="D18621" s="19"/>
      <c r="E18621" s="57"/>
      <c r="H18621" s="18"/>
    </row>
    <row r="18622">
      <c r="C18622" s="18"/>
      <c r="D18622" s="19"/>
      <c r="E18622" s="57"/>
      <c r="H18622" s="18"/>
    </row>
    <row r="18623">
      <c r="C18623" s="18"/>
      <c r="D18623" s="19"/>
      <c r="E18623" s="57"/>
      <c r="H18623" s="18"/>
    </row>
    <row r="18624">
      <c r="C18624" s="18"/>
      <c r="D18624" s="19"/>
      <c r="E18624" s="57"/>
      <c r="H18624" s="18"/>
    </row>
    <row r="18625">
      <c r="C18625" s="18"/>
      <c r="D18625" s="19"/>
      <c r="E18625" s="57"/>
      <c r="H18625" s="18"/>
    </row>
    <row r="18626">
      <c r="C18626" s="18"/>
      <c r="D18626" s="19"/>
      <c r="E18626" s="57"/>
      <c r="H18626" s="18"/>
    </row>
    <row r="18627">
      <c r="C18627" s="18"/>
      <c r="D18627" s="19"/>
      <c r="E18627" s="57"/>
      <c r="H18627" s="18"/>
    </row>
    <row r="18628">
      <c r="C18628" s="18"/>
      <c r="D18628" s="19"/>
      <c r="E18628" s="57"/>
      <c r="H18628" s="18"/>
    </row>
    <row r="18629">
      <c r="C18629" s="18"/>
      <c r="D18629" s="19"/>
      <c r="E18629" s="57"/>
      <c r="H18629" s="18"/>
    </row>
    <row r="18630">
      <c r="C18630" s="18"/>
      <c r="D18630" s="19"/>
      <c r="E18630" s="57"/>
      <c r="H18630" s="18"/>
    </row>
    <row r="18631">
      <c r="C18631" s="18"/>
      <c r="D18631" s="19"/>
      <c r="E18631" s="57"/>
      <c r="H18631" s="18"/>
    </row>
    <row r="18632">
      <c r="C18632" s="18"/>
      <c r="D18632" s="19"/>
      <c r="E18632" s="57"/>
      <c r="H18632" s="18"/>
    </row>
    <row r="18633">
      <c r="C18633" s="18"/>
      <c r="D18633" s="19"/>
      <c r="E18633" s="57"/>
      <c r="H18633" s="18"/>
    </row>
    <row r="18634">
      <c r="C18634" s="18"/>
      <c r="D18634" s="19"/>
      <c r="E18634" s="57"/>
      <c r="H18634" s="18"/>
    </row>
    <row r="18635">
      <c r="C18635" s="18"/>
      <c r="D18635" s="19"/>
      <c r="E18635" s="57"/>
      <c r="H18635" s="18"/>
    </row>
    <row r="18636">
      <c r="C18636" s="18"/>
      <c r="D18636" s="19"/>
      <c r="E18636" s="57"/>
      <c r="H18636" s="18"/>
    </row>
    <row r="18637">
      <c r="C18637" s="18"/>
      <c r="D18637" s="19"/>
      <c r="E18637" s="57"/>
      <c r="H18637" s="18"/>
    </row>
    <row r="18638">
      <c r="C18638" s="18"/>
      <c r="D18638" s="19"/>
      <c r="E18638" s="57"/>
      <c r="H18638" s="18"/>
    </row>
    <row r="18639">
      <c r="C18639" s="18"/>
      <c r="D18639" s="19"/>
      <c r="E18639" s="57"/>
      <c r="H18639" s="18"/>
    </row>
    <row r="18640">
      <c r="C18640" s="18"/>
      <c r="D18640" s="19"/>
      <c r="E18640" s="57"/>
      <c r="H18640" s="18"/>
    </row>
    <row r="18641">
      <c r="C18641" s="18"/>
      <c r="D18641" s="19"/>
      <c r="E18641" s="57"/>
      <c r="H18641" s="18"/>
    </row>
    <row r="18642">
      <c r="C18642" s="18"/>
      <c r="D18642" s="19"/>
      <c r="E18642" s="57"/>
      <c r="H18642" s="18"/>
    </row>
    <row r="18643">
      <c r="C18643" s="18"/>
      <c r="D18643" s="19"/>
      <c r="E18643" s="57"/>
      <c r="H18643" s="18"/>
    </row>
    <row r="18644">
      <c r="C18644" s="18"/>
      <c r="D18644" s="19"/>
      <c r="E18644" s="57"/>
      <c r="H18644" s="18"/>
    </row>
    <row r="18645">
      <c r="C18645" s="18"/>
      <c r="D18645" s="19"/>
      <c r="E18645" s="57"/>
      <c r="H18645" s="18"/>
    </row>
    <row r="18646">
      <c r="C18646" s="18"/>
      <c r="D18646" s="19"/>
      <c r="E18646" s="57"/>
      <c r="H18646" s="18"/>
    </row>
    <row r="18647">
      <c r="C18647" s="18"/>
      <c r="D18647" s="19"/>
      <c r="E18647" s="57"/>
      <c r="H18647" s="18"/>
    </row>
    <row r="18648">
      <c r="C18648" s="18"/>
      <c r="D18648" s="19"/>
      <c r="E18648" s="57"/>
      <c r="H18648" s="18"/>
    </row>
    <row r="18649">
      <c r="C18649" s="18"/>
      <c r="D18649" s="19"/>
      <c r="E18649" s="57"/>
      <c r="H18649" s="18"/>
    </row>
    <row r="18650">
      <c r="C18650" s="18"/>
      <c r="D18650" s="19"/>
      <c r="E18650" s="57"/>
      <c r="H18650" s="18"/>
    </row>
    <row r="18651">
      <c r="C18651" s="18"/>
      <c r="D18651" s="19"/>
      <c r="E18651" s="57"/>
      <c r="H18651" s="18"/>
    </row>
    <row r="18652">
      <c r="C18652" s="18"/>
      <c r="D18652" s="19"/>
      <c r="E18652" s="57"/>
      <c r="H18652" s="18"/>
    </row>
    <row r="18653">
      <c r="C18653" s="18"/>
      <c r="D18653" s="19"/>
      <c r="E18653" s="57"/>
      <c r="H18653" s="18"/>
    </row>
    <row r="18654">
      <c r="C18654" s="18"/>
      <c r="D18654" s="19"/>
      <c r="E18654" s="57"/>
      <c r="H18654" s="18"/>
    </row>
    <row r="18655">
      <c r="C18655" s="18"/>
      <c r="D18655" s="19"/>
      <c r="E18655" s="57"/>
      <c r="H18655" s="18"/>
    </row>
    <row r="18656">
      <c r="C18656" s="18"/>
      <c r="D18656" s="19"/>
      <c r="E18656" s="57"/>
      <c r="H18656" s="18"/>
    </row>
    <row r="18657">
      <c r="C18657" s="18"/>
      <c r="D18657" s="19"/>
      <c r="E18657" s="57"/>
      <c r="H18657" s="18"/>
    </row>
    <row r="18658">
      <c r="C18658" s="18"/>
      <c r="D18658" s="19"/>
      <c r="E18658" s="57"/>
      <c r="H18658" s="18"/>
    </row>
    <row r="18659">
      <c r="C18659" s="18"/>
      <c r="D18659" s="19"/>
      <c r="E18659" s="57"/>
      <c r="H18659" s="18"/>
    </row>
    <row r="18660">
      <c r="C18660" s="18"/>
      <c r="D18660" s="19"/>
      <c r="E18660" s="57"/>
      <c r="H18660" s="18"/>
    </row>
    <row r="18661">
      <c r="C18661" s="18"/>
      <c r="D18661" s="19"/>
      <c r="E18661" s="57"/>
      <c r="H18661" s="18"/>
    </row>
    <row r="18662">
      <c r="C18662" s="18"/>
      <c r="D18662" s="19"/>
      <c r="E18662" s="57"/>
      <c r="H18662" s="18"/>
    </row>
    <row r="18663">
      <c r="C18663" s="18"/>
      <c r="D18663" s="19"/>
      <c r="E18663" s="57"/>
      <c r="H18663" s="18"/>
    </row>
    <row r="18664">
      <c r="C18664" s="18"/>
      <c r="D18664" s="19"/>
      <c r="E18664" s="57"/>
      <c r="H18664" s="18"/>
    </row>
    <row r="18665">
      <c r="C18665" s="18"/>
      <c r="D18665" s="19"/>
      <c r="E18665" s="57"/>
      <c r="H18665" s="18"/>
    </row>
    <row r="18666">
      <c r="C18666" s="18"/>
      <c r="D18666" s="19"/>
      <c r="E18666" s="57"/>
      <c r="H18666" s="18"/>
    </row>
    <row r="18667">
      <c r="C18667" s="18"/>
      <c r="D18667" s="19"/>
      <c r="E18667" s="57"/>
      <c r="H18667" s="18"/>
    </row>
    <row r="18668">
      <c r="C18668" s="18"/>
      <c r="D18668" s="19"/>
      <c r="E18668" s="57"/>
      <c r="H18668" s="18"/>
    </row>
    <row r="18669">
      <c r="C18669" s="18"/>
      <c r="D18669" s="19"/>
      <c r="E18669" s="57"/>
      <c r="H18669" s="18"/>
    </row>
    <row r="18670">
      <c r="C18670" s="18"/>
      <c r="D18670" s="19"/>
      <c r="E18670" s="57"/>
      <c r="H18670" s="18"/>
    </row>
    <row r="18671">
      <c r="C18671" s="18"/>
      <c r="D18671" s="19"/>
      <c r="E18671" s="57"/>
      <c r="H18671" s="18"/>
    </row>
    <row r="18672">
      <c r="C18672" s="18"/>
      <c r="D18672" s="19"/>
      <c r="E18672" s="57"/>
      <c r="H18672" s="18"/>
    </row>
    <row r="18673">
      <c r="C18673" s="18"/>
      <c r="D18673" s="19"/>
      <c r="E18673" s="57"/>
      <c r="H18673" s="18"/>
    </row>
    <row r="18674">
      <c r="C18674" s="18"/>
      <c r="D18674" s="19"/>
      <c r="E18674" s="57"/>
      <c r="H18674" s="18"/>
    </row>
    <row r="18675">
      <c r="C18675" s="18"/>
      <c r="D18675" s="19"/>
      <c r="E18675" s="57"/>
      <c r="H18675" s="18"/>
    </row>
    <row r="18676">
      <c r="C18676" s="18"/>
      <c r="D18676" s="19"/>
      <c r="E18676" s="57"/>
      <c r="H18676" s="18"/>
    </row>
    <row r="18677">
      <c r="C18677" s="18"/>
      <c r="D18677" s="19"/>
      <c r="E18677" s="57"/>
      <c r="H18677" s="18"/>
    </row>
    <row r="18678">
      <c r="C18678" s="18"/>
      <c r="D18678" s="19"/>
      <c r="E18678" s="57"/>
      <c r="H18678" s="18"/>
    </row>
    <row r="18679">
      <c r="C18679" s="18"/>
      <c r="D18679" s="19"/>
      <c r="E18679" s="57"/>
      <c r="H18679" s="18"/>
    </row>
    <row r="18680">
      <c r="C18680" s="18"/>
      <c r="D18680" s="19"/>
      <c r="E18680" s="57"/>
      <c r="H18680" s="18"/>
    </row>
    <row r="18681">
      <c r="C18681" s="18"/>
      <c r="D18681" s="19"/>
      <c r="E18681" s="57"/>
      <c r="H18681" s="18"/>
    </row>
    <row r="18682">
      <c r="C18682" s="18"/>
      <c r="D18682" s="19"/>
      <c r="E18682" s="57"/>
      <c r="H18682" s="18"/>
    </row>
    <row r="18683">
      <c r="C18683" s="18"/>
      <c r="D18683" s="19"/>
      <c r="E18683" s="57"/>
      <c r="H18683" s="18"/>
    </row>
    <row r="18684">
      <c r="C18684" s="18"/>
      <c r="D18684" s="19"/>
      <c r="E18684" s="57"/>
      <c r="H18684" s="18"/>
    </row>
    <row r="18685">
      <c r="C18685" s="18"/>
      <c r="D18685" s="19"/>
      <c r="E18685" s="57"/>
      <c r="H18685" s="18"/>
    </row>
    <row r="18686">
      <c r="C18686" s="18"/>
      <c r="D18686" s="19"/>
      <c r="E18686" s="57"/>
      <c r="H18686" s="18"/>
    </row>
    <row r="18687">
      <c r="C18687" s="18"/>
      <c r="D18687" s="19"/>
      <c r="E18687" s="57"/>
      <c r="H18687" s="18"/>
    </row>
    <row r="18688">
      <c r="C18688" s="18"/>
      <c r="D18688" s="19"/>
      <c r="E18688" s="57"/>
      <c r="H18688" s="18"/>
    </row>
    <row r="18689">
      <c r="C18689" s="18"/>
      <c r="D18689" s="19"/>
      <c r="E18689" s="57"/>
      <c r="H18689" s="18"/>
    </row>
    <row r="18690">
      <c r="C18690" s="18"/>
      <c r="D18690" s="19"/>
      <c r="E18690" s="57"/>
      <c r="H18690" s="18"/>
    </row>
    <row r="18691">
      <c r="C18691" s="18"/>
      <c r="D18691" s="19"/>
      <c r="E18691" s="57"/>
      <c r="H18691" s="18"/>
    </row>
    <row r="18692">
      <c r="C18692" s="18"/>
      <c r="D18692" s="19"/>
      <c r="E18692" s="57"/>
      <c r="H18692" s="18"/>
    </row>
    <row r="18693">
      <c r="C18693" s="18"/>
      <c r="D18693" s="19"/>
      <c r="E18693" s="57"/>
      <c r="H18693" s="18"/>
    </row>
    <row r="18694">
      <c r="C18694" s="18"/>
      <c r="D18694" s="19"/>
      <c r="E18694" s="57"/>
      <c r="H18694" s="18"/>
    </row>
    <row r="18695">
      <c r="C18695" s="18"/>
      <c r="D18695" s="19"/>
      <c r="E18695" s="57"/>
      <c r="H18695" s="18"/>
    </row>
    <row r="18696">
      <c r="C18696" s="18"/>
      <c r="D18696" s="19"/>
      <c r="E18696" s="57"/>
      <c r="H18696" s="18"/>
    </row>
    <row r="18697">
      <c r="C18697" s="18"/>
      <c r="D18697" s="19"/>
      <c r="E18697" s="57"/>
      <c r="H18697" s="18"/>
    </row>
    <row r="18698">
      <c r="C18698" s="18"/>
      <c r="D18698" s="19"/>
      <c r="E18698" s="57"/>
      <c r="H18698" s="18"/>
    </row>
    <row r="18699">
      <c r="C18699" s="18"/>
      <c r="D18699" s="19"/>
      <c r="E18699" s="57"/>
      <c r="H18699" s="18"/>
    </row>
    <row r="18700">
      <c r="C18700" s="18"/>
      <c r="D18700" s="19"/>
      <c r="E18700" s="57"/>
      <c r="H18700" s="18"/>
    </row>
    <row r="18701">
      <c r="C18701" s="18"/>
      <c r="D18701" s="19"/>
      <c r="E18701" s="57"/>
      <c r="H18701" s="18"/>
    </row>
    <row r="18702">
      <c r="C18702" s="18"/>
      <c r="D18702" s="19"/>
      <c r="E18702" s="57"/>
      <c r="H18702" s="18"/>
    </row>
    <row r="18703">
      <c r="C18703" s="18"/>
      <c r="D18703" s="19"/>
      <c r="E18703" s="57"/>
      <c r="H18703" s="18"/>
    </row>
    <row r="18704">
      <c r="C18704" s="18"/>
      <c r="D18704" s="19"/>
      <c r="E18704" s="57"/>
      <c r="H18704" s="18"/>
    </row>
    <row r="18705">
      <c r="C18705" s="18"/>
      <c r="D18705" s="19"/>
      <c r="E18705" s="57"/>
      <c r="H18705" s="18"/>
    </row>
    <row r="18706">
      <c r="C18706" s="18"/>
      <c r="D18706" s="19"/>
      <c r="E18706" s="57"/>
      <c r="H18706" s="18"/>
    </row>
    <row r="18707">
      <c r="C18707" s="18"/>
      <c r="D18707" s="19"/>
      <c r="E18707" s="57"/>
      <c r="H18707" s="18"/>
    </row>
    <row r="18708">
      <c r="C18708" s="18"/>
      <c r="D18708" s="19"/>
      <c r="E18708" s="57"/>
      <c r="H18708" s="18"/>
    </row>
    <row r="18709">
      <c r="C18709" s="18"/>
      <c r="D18709" s="19"/>
      <c r="E18709" s="57"/>
      <c r="H18709" s="18"/>
    </row>
    <row r="18710">
      <c r="C18710" s="18"/>
      <c r="D18710" s="19"/>
      <c r="E18710" s="57"/>
      <c r="H18710" s="18"/>
    </row>
    <row r="18711">
      <c r="C18711" s="18"/>
      <c r="D18711" s="19"/>
      <c r="E18711" s="57"/>
      <c r="H18711" s="18"/>
    </row>
    <row r="18712">
      <c r="C18712" s="18"/>
      <c r="D18712" s="19"/>
      <c r="E18712" s="57"/>
      <c r="H18712" s="18"/>
    </row>
    <row r="18713">
      <c r="C18713" s="18"/>
      <c r="D18713" s="19"/>
      <c r="E18713" s="57"/>
      <c r="H18713" s="18"/>
    </row>
    <row r="18714">
      <c r="C18714" s="18"/>
      <c r="D18714" s="19"/>
      <c r="E18714" s="57"/>
      <c r="H18714" s="18"/>
    </row>
    <row r="18715">
      <c r="C18715" s="18"/>
      <c r="D18715" s="19"/>
      <c r="E18715" s="57"/>
      <c r="H18715" s="18"/>
    </row>
    <row r="18716">
      <c r="C18716" s="18"/>
      <c r="D18716" s="19"/>
      <c r="E18716" s="57"/>
      <c r="H18716" s="18"/>
    </row>
    <row r="18717">
      <c r="C18717" s="18"/>
      <c r="D18717" s="19"/>
      <c r="E18717" s="57"/>
      <c r="H18717" s="18"/>
    </row>
    <row r="18718">
      <c r="C18718" s="18"/>
      <c r="D18718" s="19"/>
      <c r="E18718" s="57"/>
      <c r="H18718" s="18"/>
    </row>
    <row r="18719">
      <c r="C18719" s="18"/>
      <c r="D18719" s="19"/>
      <c r="E18719" s="57"/>
      <c r="H18719" s="18"/>
    </row>
    <row r="18720">
      <c r="C18720" s="18"/>
      <c r="D18720" s="19"/>
      <c r="E18720" s="57"/>
      <c r="H18720" s="18"/>
    </row>
    <row r="18721">
      <c r="C18721" s="18"/>
      <c r="D18721" s="19"/>
      <c r="E18721" s="57"/>
      <c r="H18721" s="18"/>
    </row>
    <row r="18722">
      <c r="C18722" s="18"/>
      <c r="D18722" s="19"/>
      <c r="E18722" s="57"/>
      <c r="H18722" s="18"/>
    </row>
    <row r="18723">
      <c r="C18723" s="18"/>
      <c r="D18723" s="19"/>
      <c r="E18723" s="57"/>
      <c r="H18723" s="18"/>
    </row>
    <row r="18724">
      <c r="C18724" s="18"/>
      <c r="D18724" s="19"/>
      <c r="E18724" s="57"/>
      <c r="H18724" s="18"/>
    </row>
    <row r="18725">
      <c r="C18725" s="18"/>
      <c r="D18725" s="19"/>
      <c r="E18725" s="57"/>
      <c r="H18725" s="18"/>
    </row>
    <row r="18726">
      <c r="C18726" s="18"/>
      <c r="D18726" s="19"/>
      <c r="E18726" s="57"/>
      <c r="H18726" s="18"/>
    </row>
    <row r="18727">
      <c r="C18727" s="18"/>
      <c r="D18727" s="19"/>
      <c r="E18727" s="57"/>
      <c r="H18727" s="18"/>
    </row>
    <row r="18728">
      <c r="C18728" s="18"/>
      <c r="D18728" s="19"/>
      <c r="E18728" s="57"/>
      <c r="H18728" s="18"/>
    </row>
    <row r="18729">
      <c r="C18729" s="18"/>
      <c r="D18729" s="19"/>
      <c r="E18729" s="57"/>
      <c r="H18729" s="18"/>
    </row>
    <row r="18730">
      <c r="C18730" s="18"/>
      <c r="D18730" s="19"/>
      <c r="E18730" s="57"/>
      <c r="H18730" s="18"/>
    </row>
    <row r="18731">
      <c r="C18731" s="18"/>
      <c r="D18731" s="19"/>
      <c r="E18731" s="57"/>
      <c r="H18731" s="18"/>
    </row>
    <row r="18732">
      <c r="C18732" s="18"/>
      <c r="D18732" s="19"/>
      <c r="E18732" s="57"/>
      <c r="H18732" s="18"/>
    </row>
    <row r="18733">
      <c r="C18733" s="18"/>
      <c r="D18733" s="19"/>
      <c r="E18733" s="57"/>
      <c r="H18733" s="18"/>
    </row>
    <row r="18734">
      <c r="C18734" s="18"/>
      <c r="D18734" s="19"/>
      <c r="E18734" s="57"/>
      <c r="H18734" s="18"/>
    </row>
    <row r="18735">
      <c r="C18735" s="18"/>
      <c r="D18735" s="19"/>
      <c r="E18735" s="57"/>
      <c r="H18735" s="18"/>
    </row>
    <row r="18736">
      <c r="C18736" s="18"/>
      <c r="D18736" s="19"/>
      <c r="E18736" s="57"/>
      <c r="H18736" s="18"/>
    </row>
    <row r="18737">
      <c r="C18737" s="18"/>
      <c r="D18737" s="19"/>
      <c r="E18737" s="57"/>
      <c r="H18737" s="18"/>
    </row>
    <row r="18738">
      <c r="C18738" s="18"/>
      <c r="D18738" s="19"/>
      <c r="E18738" s="57"/>
      <c r="H18738" s="18"/>
    </row>
    <row r="18739">
      <c r="C18739" s="18"/>
      <c r="D18739" s="19"/>
      <c r="E18739" s="57"/>
      <c r="H18739" s="18"/>
    </row>
    <row r="18740">
      <c r="C18740" s="18"/>
      <c r="D18740" s="19"/>
      <c r="E18740" s="57"/>
      <c r="H18740" s="18"/>
    </row>
    <row r="18741">
      <c r="C18741" s="18"/>
      <c r="D18741" s="19"/>
      <c r="E18741" s="57"/>
      <c r="H18741" s="18"/>
    </row>
    <row r="18742">
      <c r="C18742" s="18"/>
      <c r="D18742" s="19"/>
      <c r="E18742" s="57"/>
      <c r="H18742" s="18"/>
    </row>
    <row r="18743">
      <c r="C18743" s="18"/>
      <c r="D18743" s="19"/>
      <c r="E18743" s="57"/>
      <c r="H18743" s="18"/>
    </row>
    <row r="18744">
      <c r="C18744" s="18"/>
      <c r="D18744" s="19"/>
      <c r="E18744" s="57"/>
      <c r="H18744" s="18"/>
    </row>
    <row r="18745">
      <c r="C18745" s="18"/>
      <c r="D18745" s="19"/>
      <c r="E18745" s="57"/>
      <c r="H18745" s="18"/>
    </row>
    <row r="18746">
      <c r="C18746" s="18"/>
      <c r="D18746" s="19"/>
      <c r="E18746" s="57"/>
      <c r="H18746" s="18"/>
    </row>
    <row r="18747">
      <c r="C18747" s="18"/>
      <c r="D18747" s="19"/>
      <c r="E18747" s="57"/>
      <c r="H18747" s="18"/>
    </row>
    <row r="18748">
      <c r="C18748" s="18"/>
      <c r="D18748" s="19"/>
      <c r="E18748" s="57"/>
      <c r="H18748" s="18"/>
    </row>
    <row r="18749">
      <c r="C18749" s="18"/>
      <c r="D18749" s="19"/>
      <c r="E18749" s="57"/>
      <c r="H18749" s="18"/>
    </row>
    <row r="18750">
      <c r="C18750" s="18"/>
      <c r="D18750" s="19"/>
      <c r="E18750" s="57"/>
      <c r="H18750" s="18"/>
    </row>
    <row r="18751">
      <c r="C18751" s="18"/>
      <c r="D18751" s="19"/>
      <c r="E18751" s="57"/>
      <c r="H18751" s="18"/>
    </row>
    <row r="18752">
      <c r="C18752" s="18"/>
      <c r="D18752" s="19"/>
      <c r="E18752" s="57"/>
      <c r="H18752" s="18"/>
    </row>
    <row r="18753">
      <c r="C18753" s="18"/>
      <c r="D18753" s="19"/>
      <c r="E18753" s="57"/>
      <c r="H18753" s="18"/>
    </row>
    <row r="18754">
      <c r="C18754" s="18"/>
      <c r="D18754" s="19"/>
      <c r="E18754" s="57"/>
      <c r="H18754" s="18"/>
    </row>
    <row r="18755">
      <c r="C18755" s="18"/>
      <c r="D18755" s="19"/>
      <c r="E18755" s="57"/>
      <c r="H18755" s="18"/>
    </row>
    <row r="18756">
      <c r="C18756" s="18"/>
      <c r="D18756" s="19"/>
      <c r="E18756" s="57"/>
      <c r="H18756" s="18"/>
    </row>
    <row r="18757">
      <c r="C18757" s="18"/>
      <c r="D18757" s="19"/>
      <c r="E18757" s="57"/>
      <c r="H18757" s="18"/>
    </row>
    <row r="18758">
      <c r="C18758" s="18"/>
      <c r="D18758" s="19"/>
      <c r="E18758" s="57"/>
      <c r="H18758" s="18"/>
    </row>
    <row r="18759">
      <c r="C18759" s="18"/>
      <c r="D18759" s="19"/>
      <c r="E18759" s="57"/>
      <c r="H18759" s="18"/>
    </row>
    <row r="18760">
      <c r="C18760" s="18"/>
      <c r="D18760" s="19"/>
      <c r="E18760" s="57"/>
      <c r="H18760" s="18"/>
    </row>
    <row r="18761">
      <c r="C18761" s="18"/>
      <c r="D18761" s="19"/>
      <c r="E18761" s="57"/>
      <c r="H18761" s="18"/>
    </row>
    <row r="18762">
      <c r="C18762" s="18"/>
      <c r="D18762" s="19"/>
      <c r="E18762" s="57"/>
      <c r="H18762" s="18"/>
    </row>
    <row r="18763">
      <c r="C18763" s="18"/>
      <c r="D18763" s="19"/>
      <c r="E18763" s="57"/>
      <c r="H18763" s="18"/>
    </row>
    <row r="18764">
      <c r="C18764" s="18"/>
      <c r="D18764" s="19"/>
      <c r="E18764" s="57"/>
      <c r="H18764" s="18"/>
    </row>
    <row r="18765">
      <c r="C18765" s="18"/>
      <c r="D18765" s="19"/>
      <c r="E18765" s="57"/>
      <c r="H18765" s="18"/>
    </row>
    <row r="18766">
      <c r="C18766" s="18"/>
      <c r="D18766" s="19"/>
      <c r="E18766" s="57"/>
      <c r="H18766" s="18"/>
    </row>
    <row r="18767">
      <c r="C18767" s="18"/>
      <c r="D18767" s="19"/>
      <c r="E18767" s="57"/>
      <c r="H18767" s="18"/>
    </row>
    <row r="18768">
      <c r="C18768" s="18"/>
      <c r="D18768" s="19"/>
      <c r="E18768" s="57"/>
      <c r="H18768" s="18"/>
    </row>
    <row r="18769">
      <c r="C18769" s="18"/>
      <c r="D18769" s="19"/>
      <c r="E18769" s="57"/>
      <c r="H18769" s="18"/>
    </row>
    <row r="18770">
      <c r="C18770" s="18"/>
      <c r="D18770" s="19"/>
      <c r="E18770" s="57"/>
      <c r="H18770" s="18"/>
    </row>
    <row r="18771">
      <c r="C18771" s="18"/>
      <c r="D18771" s="19"/>
      <c r="E18771" s="57"/>
      <c r="H18771" s="18"/>
    </row>
    <row r="18772">
      <c r="C18772" s="18"/>
      <c r="D18772" s="19"/>
      <c r="E18772" s="57"/>
      <c r="H18772" s="18"/>
    </row>
    <row r="18773">
      <c r="C18773" s="18"/>
      <c r="D18773" s="19"/>
      <c r="E18773" s="57"/>
      <c r="H18773" s="18"/>
    </row>
    <row r="18774">
      <c r="C18774" s="18"/>
      <c r="D18774" s="19"/>
      <c r="E18774" s="57"/>
      <c r="H18774" s="18"/>
    </row>
    <row r="18775">
      <c r="C18775" s="18"/>
      <c r="D18775" s="19"/>
      <c r="E18775" s="57"/>
      <c r="H18775" s="18"/>
    </row>
    <row r="18776">
      <c r="C18776" s="18"/>
      <c r="D18776" s="19"/>
      <c r="E18776" s="57"/>
      <c r="H18776" s="18"/>
    </row>
    <row r="18777">
      <c r="C18777" s="18"/>
      <c r="D18777" s="19"/>
      <c r="E18777" s="57"/>
      <c r="H18777" s="18"/>
    </row>
    <row r="18778">
      <c r="C18778" s="18"/>
      <c r="D18778" s="19"/>
      <c r="E18778" s="57"/>
      <c r="H18778" s="18"/>
    </row>
    <row r="18779">
      <c r="C18779" s="18"/>
      <c r="D18779" s="19"/>
      <c r="E18779" s="57"/>
      <c r="H18779" s="18"/>
    </row>
    <row r="18780">
      <c r="C18780" s="18"/>
      <c r="D18780" s="19"/>
      <c r="E18780" s="57"/>
      <c r="H18780" s="18"/>
    </row>
    <row r="18781">
      <c r="C18781" s="18"/>
      <c r="D18781" s="19"/>
      <c r="E18781" s="57"/>
      <c r="H18781" s="18"/>
    </row>
    <row r="18782">
      <c r="C18782" s="18"/>
      <c r="D18782" s="19"/>
      <c r="E18782" s="57"/>
      <c r="H18782" s="18"/>
    </row>
    <row r="18783">
      <c r="C18783" s="18"/>
      <c r="D18783" s="19"/>
      <c r="E18783" s="57"/>
      <c r="H18783" s="18"/>
    </row>
    <row r="18784">
      <c r="C18784" s="18"/>
      <c r="D18784" s="19"/>
      <c r="E18784" s="57"/>
      <c r="H18784" s="18"/>
    </row>
    <row r="18785">
      <c r="C18785" s="18"/>
      <c r="D18785" s="19"/>
      <c r="E18785" s="57"/>
      <c r="H18785" s="18"/>
    </row>
    <row r="18786">
      <c r="C18786" s="18"/>
      <c r="D18786" s="19"/>
      <c r="E18786" s="57"/>
      <c r="H18786" s="18"/>
    </row>
    <row r="18787">
      <c r="C18787" s="18"/>
      <c r="D18787" s="19"/>
      <c r="E18787" s="57"/>
      <c r="H18787" s="18"/>
    </row>
    <row r="18788">
      <c r="C18788" s="18"/>
      <c r="D18788" s="19"/>
      <c r="E18788" s="57"/>
      <c r="H18788" s="18"/>
    </row>
    <row r="18789">
      <c r="C18789" s="18"/>
      <c r="D18789" s="19"/>
      <c r="E18789" s="57"/>
      <c r="H18789" s="18"/>
    </row>
    <row r="18790">
      <c r="C18790" s="18"/>
      <c r="D18790" s="19"/>
      <c r="E18790" s="57"/>
      <c r="H18790" s="18"/>
    </row>
    <row r="18791">
      <c r="C18791" s="18"/>
      <c r="D18791" s="19"/>
      <c r="E18791" s="57"/>
      <c r="H18791" s="18"/>
    </row>
    <row r="18792">
      <c r="C18792" s="18"/>
      <c r="D18792" s="19"/>
      <c r="E18792" s="57"/>
      <c r="H18792" s="18"/>
    </row>
    <row r="18793">
      <c r="C18793" s="18"/>
      <c r="D18793" s="19"/>
      <c r="E18793" s="57"/>
      <c r="H18793" s="18"/>
    </row>
    <row r="18794">
      <c r="C18794" s="18"/>
      <c r="D18794" s="19"/>
      <c r="E18794" s="57"/>
      <c r="H18794" s="18"/>
    </row>
    <row r="18795">
      <c r="C18795" s="18"/>
      <c r="D18795" s="19"/>
      <c r="E18795" s="57"/>
      <c r="H18795" s="18"/>
    </row>
    <row r="18796">
      <c r="C18796" s="18"/>
      <c r="D18796" s="19"/>
      <c r="E18796" s="57"/>
      <c r="H18796" s="18"/>
    </row>
    <row r="18797">
      <c r="C18797" s="18"/>
      <c r="D18797" s="19"/>
      <c r="E18797" s="57"/>
      <c r="H18797" s="18"/>
    </row>
    <row r="18798">
      <c r="C18798" s="18"/>
      <c r="D18798" s="19"/>
      <c r="E18798" s="57"/>
      <c r="H18798" s="18"/>
    </row>
    <row r="18799">
      <c r="C18799" s="18"/>
      <c r="D18799" s="19"/>
      <c r="E18799" s="57"/>
      <c r="H18799" s="18"/>
    </row>
    <row r="18800">
      <c r="C18800" s="18"/>
      <c r="D18800" s="19"/>
      <c r="E18800" s="57"/>
      <c r="H18800" s="18"/>
    </row>
    <row r="18801">
      <c r="C18801" s="18"/>
      <c r="D18801" s="19"/>
      <c r="E18801" s="57"/>
      <c r="H18801" s="18"/>
    </row>
    <row r="18802">
      <c r="C18802" s="18"/>
      <c r="D18802" s="19"/>
      <c r="E18802" s="57"/>
      <c r="H18802" s="18"/>
    </row>
    <row r="18803">
      <c r="C18803" s="18"/>
      <c r="D18803" s="19"/>
      <c r="E18803" s="57"/>
      <c r="H18803" s="18"/>
    </row>
    <row r="18804">
      <c r="C18804" s="18"/>
      <c r="D18804" s="19"/>
      <c r="E18804" s="57"/>
      <c r="H18804" s="18"/>
    </row>
    <row r="18805">
      <c r="C18805" s="18"/>
      <c r="D18805" s="19"/>
      <c r="E18805" s="57"/>
      <c r="H18805" s="18"/>
    </row>
    <row r="18806">
      <c r="C18806" s="18"/>
      <c r="D18806" s="19"/>
      <c r="E18806" s="57"/>
      <c r="H18806" s="18"/>
    </row>
    <row r="18807">
      <c r="C18807" s="18"/>
      <c r="D18807" s="19"/>
      <c r="E18807" s="57"/>
      <c r="H18807" s="18"/>
    </row>
    <row r="18808">
      <c r="C18808" s="18"/>
      <c r="D18808" s="19"/>
      <c r="E18808" s="57"/>
      <c r="H18808" s="18"/>
    </row>
    <row r="18809">
      <c r="C18809" s="18"/>
      <c r="D18809" s="19"/>
      <c r="E18809" s="57"/>
      <c r="H18809" s="18"/>
    </row>
    <row r="18810">
      <c r="C18810" s="18"/>
      <c r="D18810" s="19"/>
      <c r="E18810" s="57"/>
      <c r="H18810" s="18"/>
    </row>
    <row r="18811">
      <c r="C18811" s="18"/>
      <c r="D18811" s="19"/>
      <c r="E18811" s="57"/>
      <c r="H18811" s="18"/>
    </row>
    <row r="18812">
      <c r="C18812" s="18"/>
      <c r="D18812" s="19"/>
      <c r="E18812" s="57"/>
      <c r="H18812" s="18"/>
    </row>
    <row r="18813">
      <c r="C18813" s="18"/>
      <c r="D18813" s="19"/>
      <c r="E18813" s="57"/>
      <c r="H18813" s="18"/>
    </row>
    <row r="18814">
      <c r="C18814" s="18"/>
      <c r="D18814" s="19"/>
      <c r="E18814" s="57"/>
      <c r="H18814" s="18"/>
    </row>
    <row r="18815">
      <c r="C18815" s="18"/>
      <c r="D18815" s="19"/>
      <c r="E18815" s="57"/>
      <c r="H18815" s="18"/>
    </row>
    <row r="18816">
      <c r="C18816" s="18"/>
      <c r="D18816" s="19"/>
      <c r="E18816" s="57"/>
      <c r="H18816" s="18"/>
    </row>
    <row r="18817">
      <c r="C18817" s="18"/>
      <c r="D18817" s="19"/>
      <c r="E18817" s="57"/>
      <c r="H18817" s="18"/>
    </row>
    <row r="18818">
      <c r="C18818" s="18"/>
      <c r="D18818" s="19"/>
      <c r="E18818" s="57"/>
      <c r="H18818" s="18"/>
    </row>
    <row r="18819">
      <c r="C18819" s="18"/>
      <c r="D18819" s="19"/>
      <c r="E18819" s="57"/>
      <c r="H18819" s="18"/>
    </row>
    <row r="18820">
      <c r="C18820" s="18"/>
      <c r="D18820" s="19"/>
      <c r="E18820" s="57"/>
      <c r="H18820" s="18"/>
    </row>
    <row r="18821">
      <c r="C18821" s="18"/>
      <c r="D18821" s="19"/>
      <c r="E18821" s="57"/>
      <c r="H18821" s="18"/>
    </row>
    <row r="18822">
      <c r="C18822" s="18"/>
      <c r="D18822" s="19"/>
      <c r="E18822" s="57"/>
      <c r="H18822" s="18"/>
    </row>
    <row r="18823">
      <c r="C18823" s="18"/>
      <c r="D18823" s="19"/>
      <c r="E18823" s="57"/>
      <c r="H18823" s="18"/>
    </row>
    <row r="18824">
      <c r="C18824" s="18"/>
      <c r="D18824" s="19"/>
      <c r="E18824" s="57"/>
      <c r="H18824" s="18"/>
    </row>
    <row r="18825">
      <c r="C18825" s="18"/>
      <c r="D18825" s="19"/>
      <c r="E18825" s="57"/>
      <c r="H18825" s="18"/>
    </row>
    <row r="18826">
      <c r="C18826" s="18"/>
      <c r="D18826" s="19"/>
      <c r="E18826" s="57"/>
      <c r="H18826" s="18"/>
    </row>
    <row r="18827">
      <c r="C18827" s="18"/>
      <c r="D18827" s="19"/>
      <c r="E18827" s="57"/>
      <c r="H18827" s="18"/>
    </row>
    <row r="18828">
      <c r="C18828" s="18"/>
      <c r="D18828" s="19"/>
      <c r="E18828" s="57"/>
      <c r="H18828" s="18"/>
    </row>
    <row r="18829">
      <c r="C18829" s="18"/>
      <c r="D18829" s="19"/>
      <c r="E18829" s="57"/>
      <c r="H18829" s="18"/>
    </row>
    <row r="18830">
      <c r="C18830" s="18"/>
      <c r="D18830" s="19"/>
      <c r="E18830" s="57"/>
      <c r="H18830" s="18"/>
    </row>
    <row r="18831">
      <c r="C18831" s="18"/>
      <c r="D18831" s="19"/>
      <c r="E18831" s="57"/>
      <c r="H18831" s="18"/>
    </row>
    <row r="18832">
      <c r="C18832" s="18"/>
      <c r="D18832" s="19"/>
      <c r="E18832" s="57"/>
      <c r="H18832" s="18"/>
    </row>
    <row r="18833">
      <c r="C18833" s="18"/>
      <c r="D18833" s="19"/>
      <c r="E18833" s="57"/>
      <c r="H18833" s="18"/>
    </row>
    <row r="18834">
      <c r="C18834" s="18"/>
      <c r="D18834" s="19"/>
      <c r="E18834" s="57"/>
      <c r="H18834" s="18"/>
    </row>
    <row r="18835">
      <c r="C18835" s="18"/>
      <c r="D18835" s="19"/>
      <c r="E18835" s="57"/>
      <c r="H18835" s="18"/>
    </row>
    <row r="18836">
      <c r="C18836" s="18"/>
      <c r="D18836" s="19"/>
      <c r="E18836" s="57"/>
      <c r="H18836" s="18"/>
    </row>
    <row r="18837">
      <c r="C18837" s="18"/>
      <c r="D18837" s="19"/>
      <c r="E18837" s="57"/>
      <c r="H18837" s="18"/>
    </row>
    <row r="18838">
      <c r="C18838" s="18"/>
      <c r="D18838" s="19"/>
      <c r="E18838" s="57"/>
      <c r="H18838" s="18"/>
    </row>
    <row r="18839">
      <c r="C18839" s="18"/>
      <c r="D18839" s="19"/>
      <c r="E18839" s="57"/>
      <c r="H18839" s="18"/>
    </row>
    <row r="18840">
      <c r="C18840" s="18"/>
      <c r="D18840" s="19"/>
      <c r="E18840" s="57"/>
      <c r="H18840" s="18"/>
    </row>
    <row r="18841">
      <c r="C18841" s="18"/>
      <c r="D18841" s="19"/>
      <c r="E18841" s="57"/>
      <c r="H18841" s="18"/>
    </row>
    <row r="18842">
      <c r="C18842" s="18"/>
      <c r="D18842" s="19"/>
      <c r="E18842" s="57"/>
      <c r="H18842" s="18"/>
    </row>
    <row r="18843">
      <c r="C18843" s="18"/>
      <c r="D18843" s="19"/>
      <c r="E18843" s="57"/>
      <c r="H18843" s="18"/>
    </row>
    <row r="18844">
      <c r="C18844" s="18"/>
      <c r="D18844" s="19"/>
      <c r="E18844" s="57"/>
      <c r="H18844" s="18"/>
    </row>
    <row r="18845">
      <c r="C18845" s="18"/>
      <c r="D18845" s="19"/>
      <c r="E18845" s="57"/>
      <c r="H18845" s="18"/>
    </row>
    <row r="18846">
      <c r="C18846" s="18"/>
      <c r="D18846" s="19"/>
      <c r="E18846" s="57"/>
      <c r="H18846" s="18"/>
    </row>
    <row r="18847">
      <c r="C18847" s="18"/>
      <c r="D18847" s="19"/>
      <c r="E18847" s="57"/>
      <c r="H18847" s="18"/>
    </row>
    <row r="18848">
      <c r="C18848" s="18"/>
      <c r="D18848" s="19"/>
      <c r="E18848" s="57"/>
      <c r="H18848" s="18"/>
    </row>
    <row r="18849">
      <c r="C18849" s="18"/>
      <c r="D18849" s="19"/>
      <c r="E18849" s="57"/>
      <c r="H18849" s="18"/>
    </row>
    <row r="18850">
      <c r="C18850" s="18"/>
      <c r="D18850" s="19"/>
      <c r="E18850" s="57"/>
      <c r="H18850" s="18"/>
    </row>
    <row r="18851">
      <c r="C18851" s="18"/>
      <c r="D18851" s="19"/>
      <c r="E18851" s="57"/>
      <c r="H18851" s="18"/>
    </row>
    <row r="18852">
      <c r="C18852" s="18"/>
      <c r="D18852" s="19"/>
      <c r="E18852" s="57"/>
      <c r="H18852" s="18"/>
    </row>
    <row r="18853">
      <c r="C18853" s="18"/>
      <c r="D18853" s="19"/>
      <c r="E18853" s="57"/>
      <c r="H18853" s="18"/>
    </row>
    <row r="18854">
      <c r="C18854" s="18"/>
      <c r="D18854" s="19"/>
      <c r="E18854" s="57"/>
      <c r="H18854" s="18"/>
    </row>
    <row r="18855">
      <c r="C18855" s="18"/>
      <c r="D18855" s="19"/>
      <c r="E18855" s="57"/>
      <c r="H18855" s="18"/>
    </row>
    <row r="18856">
      <c r="C18856" s="18"/>
      <c r="D18856" s="19"/>
      <c r="E18856" s="57"/>
      <c r="H18856" s="18"/>
    </row>
    <row r="18857">
      <c r="C18857" s="18"/>
      <c r="D18857" s="19"/>
      <c r="E18857" s="57"/>
      <c r="H18857" s="18"/>
    </row>
    <row r="18858">
      <c r="C18858" s="18"/>
      <c r="D18858" s="19"/>
      <c r="E18858" s="57"/>
      <c r="H18858" s="18"/>
    </row>
    <row r="18859">
      <c r="C18859" s="18"/>
      <c r="D18859" s="19"/>
      <c r="E18859" s="57"/>
      <c r="H18859" s="18"/>
    </row>
    <row r="18860">
      <c r="C18860" s="18"/>
      <c r="D18860" s="19"/>
      <c r="E18860" s="57"/>
      <c r="H18860" s="18"/>
    </row>
    <row r="18861">
      <c r="C18861" s="18"/>
      <c r="D18861" s="19"/>
      <c r="E18861" s="57"/>
      <c r="H18861" s="18"/>
    </row>
    <row r="18862">
      <c r="C18862" s="18"/>
      <c r="D18862" s="19"/>
      <c r="E18862" s="57"/>
      <c r="H18862" s="18"/>
    </row>
    <row r="18863">
      <c r="C18863" s="18"/>
      <c r="D18863" s="19"/>
      <c r="E18863" s="57"/>
      <c r="H18863" s="18"/>
    </row>
    <row r="18864">
      <c r="C18864" s="18"/>
      <c r="D18864" s="19"/>
      <c r="E18864" s="57"/>
      <c r="H18864" s="18"/>
    </row>
    <row r="18865">
      <c r="C18865" s="18"/>
      <c r="D18865" s="19"/>
      <c r="E18865" s="57"/>
      <c r="H18865" s="18"/>
    </row>
    <row r="18866">
      <c r="C18866" s="18"/>
      <c r="D18866" s="19"/>
      <c r="E18866" s="57"/>
      <c r="H18866" s="18"/>
    </row>
    <row r="18867">
      <c r="C18867" s="18"/>
      <c r="D18867" s="19"/>
      <c r="E18867" s="57"/>
      <c r="H18867" s="18"/>
    </row>
    <row r="18868">
      <c r="C18868" s="18"/>
      <c r="D18868" s="19"/>
      <c r="E18868" s="57"/>
      <c r="H18868" s="18"/>
    </row>
    <row r="18869">
      <c r="C18869" s="18"/>
      <c r="D18869" s="19"/>
      <c r="E18869" s="57"/>
      <c r="H18869" s="18"/>
    </row>
    <row r="18870">
      <c r="C18870" s="18"/>
      <c r="D18870" s="19"/>
      <c r="E18870" s="57"/>
      <c r="H18870" s="18"/>
    </row>
    <row r="18871">
      <c r="C18871" s="18"/>
      <c r="D18871" s="19"/>
      <c r="E18871" s="57"/>
      <c r="H18871" s="18"/>
    </row>
    <row r="18872">
      <c r="C18872" s="18"/>
      <c r="D18872" s="19"/>
      <c r="E18872" s="57"/>
      <c r="H18872" s="18"/>
    </row>
    <row r="18873">
      <c r="C18873" s="18"/>
      <c r="D18873" s="19"/>
      <c r="E18873" s="57"/>
      <c r="H18873" s="18"/>
    </row>
    <row r="18874">
      <c r="C18874" s="18"/>
      <c r="D18874" s="19"/>
      <c r="E18874" s="57"/>
      <c r="H18874" s="18"/>
    </row>
    <row r="18875">
      <c r="C18875" s="18"/>
      <c r="D18875" s="19"/>
      <c r="E18875" s="57"/>
      <c r="H18875" s="18"/>
    </row>
    <row r="18876">
      <c r="C18876" s="18"/>
      <c r="D18876" s="19"/>
      <c r="E18876" s="57"/>
      <c r="H18876" s="18"/>
    </row>
    <row r="18877">
      <c r="C18877" s="18"/>
      <c r="D18877" s="19"/>
      <c r="E18877" s="57"/>
      <c r="H18877" s="18"/>
    </row>
    <row r="18878">
      <c r="C18878" s="18"/>
      <c r="D18878" s="19"/>
      <c r="E18878" s="57"/>
      <c r="H18878" s="18"/>
    </row>
    <row r="18879">
      <c r="C18879" s="18"/>
      <c r="D18879" s="19"/>
      <c r="E18879" s="57"/>
      <c r="H18879" s="18"/>
    </row>
    <row r="18880">
      <c r="C18880" s="18"/>
      <c r="D18880" s="19"/>
      <c r="E18880" s="57"/>
      <c r="H18880" s="18"/>
    </row>
    <row r="18881">
      <c r="C18881" s="18"/>
      <c r="D18881" s="19"/>
      <c r="E18881" s="57"/>
      <c r="H18881" s="18"/>
    </row>
    <row r="18882">
      <c r="C18882" s="18"/>
      <c r="D18882" s="19"/>
      <c r="E18882" s="57"/>
      <c r="H18882" s="18"/>
    </row>
    <row r="18883">
      <c r="C18883" s="18"/>
      <c r="D18883" s="19"/>
      <c r="E18883" s="57"/>
      <c r="H18883" s="18"/>
    </row>
    <row r="18884">
      <c r="C18884" s="18"/>
      <c r="D18884" s="19"/>
      <c r="E18884" s="57"/>
      <c r="H18884" s="18"/>
    </row>
    <row r="18885">
      <c r="C18885" s="18"/>
      <c r="D18885" s="19"/>
      <c r="E18885" s="57"/>
      <c r="H18885" s="18"/>
    </row>
    <row r="18886">
      <c r="C18886" s="18"/>
      <c r="D18886" s="19"/>
      <c r="E18886" s="57"/>
      <c r="H18886" s="18"/>
    </row>
    <row r="18887">
      <c r="C18887" s="18"/>
      <c r="D18887" s="19"/>
      <c r="E18887" s="57"/>
      <c r="H18887" s="18"/>
    </row>
    <row r="18888">
      <c r="C18888" s="18"/>
      <c r="D18888" s="19"/>
      <c r="E18888" s="57"/>
      <c r="H18888" s="18"/>
    </row>
    <row r="18889">
      <c r="C18889" s="18"/>
      <c r="D18889" s="19"/>
      <c r="E18889" s="57"/>
      <c r="H18889" s="18"/>
    </row>
    <row r="18890">
      <c r="C18890" s="18"/>
      <c r="D18890" s="19"/>
      <c r="E18890" s="57"/>
      <c r="H18890" s="18"/>
    </row>
    <row r="18891">
      <c r="C18891" s="18"/>
      <c r="D18891" s="19"/>
      <c r="E18891" s="57"/>
      <c r="H18891" s="18"/>
    </row>
    <row r="18892">
      <c r="C18892" s="18"/>
      <c r="D18892" s="19"/>
      <c r="E18892" s="57"/>
      <c r="H18892" s="18"/>
    </row>
    <row r="18893">
      <c r="C18893" s="18"/>
      <c r="D18893" s="19"/>
      <c r="E18893" s="57"/>
      <c r="H18893" s="18"/>
    </row>
    <row r="18894">
      <c r="C18894" s="18"/>
      <c r="D18894" s="19"/>
      <c r="E18894" s="57"/>
      <c r="H18894" s="18"/>
    </row>
    <row r="18895">
      <c r="C18895" s="18"/>
      <c r="D18895" s="19"/>
      <c r="E18895" s="57"/>
      <c r="H18895" s="18"/>
    </row>
    <row r="18896">
      <c r="C18896" s="18"/>
      <c r="D18896" s="19"/>
      <c r="E18896" s="57"/>
      <c r="H18896" s="18"/>
    </row>
    <row r="18897">
      <c r="C18897" s="18"/>
      <c r="D18897" s="19"/>
      <c r="E18897" s="57"/>
      <c r="H18897" s="18"/>
    </row>
    <row r="18898">
      <c r="C18898" s="18"/>
      <c r="D18898" s="19"/>
      <c r="E18898" s="57"/>
      <c r="H18898" s="18"/>
    </row>
    <row r="18899">
      <c r="C18899" s="18"/>
      <c r="D18899" s="19"/>
      <c r="E18899" s="57"/>
      <c r="H18899" s="18"/>
    </row>
    <row r="18900">
      <c r="C18900" s="18"/>
      <c r="D18900" s="19"/>
      <c r="E18900" s="57"/>
      <c r="H18900" s="18"/>
    </row>
    <row r="18901">
      <c r="C18901" s="18"/>
      <c r="D18901" s="19"/>
      <c r="E18901" s="57"/>
      <c r="H18901" s="18"/>
    </row>
    <row r="18902">
      <c r="C18902" s="18"/>
      <c r="D18902" s="19"/>
      <c r="E18902" s="57"/>
      <c r="H18902" s="18"/>
    </row>
    <row r="18903">
      <c r="C18903" s="18"/>
      <c r="D18903" s="19"/>
      <c r="E18903" s="57"/>
      <c r="H18903" s="18"/>
    </row>
    <row r="18904">
      <c r="C18904" s="18"/>
      <c r="D18904" s="19"/>
      <c r="E18904" s="57"/>
      <c r="H18904" s="18"/>
    </row>
    <row r="18905">
      <c r="C18905" s="18"/>
      <c r="D18905" s="19"/>
      <c r="E18905" s="57"/>
      <c r="H18905" s="18"/>
    </row>
    <row r="18906">
      <c r="C18906" s="18"/>
      <c r="D18906" s="19"/>
      <c r="E18906" s="57"/>
      <c r="H18906" s="18"/>
    </row>
    <row r="18907">
      <c r="C18907" s="18"/>
      <c r="D18907" s="19"/>
      <c r="E18907" s="57"/>
      <c r="H18907" s="18"/>
    </row>
    <row r="18908">
      <c r="C18908" s="18"/>
      <c r="D18908" s="19"/>
      <c r="E18908" s="57"/>
      <c r="H18908" s="18"/>
    </row>
    <row r="18909">
      <c r="C18909" s="18"/>
      <c r="D18909" s="19"/>
      <c r="E18909" s="57"/>
      <c r="H18909" s="18"/>
    </row>
    <row r="18910">
      <c r="C18910" s="18"/>
      <c r="D18910" s="19"/>
      <c r="E18910" s="57"/>
      <c r="H18910" s="18"/>
    </row>
    <row r="18911">
      <c r="C18911" s="18"/>
      <c r="D18911" s="19"/>
      <c r="E18911" s="57"/>
      <c r="H18911" s="18"/>
    </row>
    <row r="18912">
      <c r="C18912" s="18"/>
      <c r="D18912" s="19"/>
      <c r="E18912" s="57"/>
      <c r="H18912" s="18"/>
    </row>
    <row r="18913">
      <c r="C18913" s="18"/>
      <c r="D18913" s="19"/>
      <c r="E18913" s="57"/>
      <c r="H18913" s="18"/>
    </row>
    <row r="18914">
      <c r="C18914" s="18"/>
      <c r="D18914" s="19"/>
      <c r="E18914" s="57"/>
      <c r="H18914" s="18"/>
    </row>
    <row r="18915">
      <c r="C18915" s="18"/>
      <c r="D18915" s="19"/>
      <c r="E18915" s="57"/>
      <c r="H18915" s="18"/>
    </row>
    <row r="18916">
      <c r="C18916" s="18"/>
      <c r="D18916" s="19"/>
      <c r="E18916" s="57"/>
      <c r="H18916" s="18"/>
    </row>
    <row r="18917">
      <c r="C18917" s="18"/>
      <c r="D18917" s="19"/>
      <c r="E18917" s="57"/>
      <c r="H18917" s="18"/>
    </row>
    <row r="18918">
      <c r="C18918" s="18"/>
      <c r="D18918" s="19"/>
      <c r="E18918" s="57"/>
      <c r="H18918" s="18"/>
    </row>
    <row r="18919">
      <c r="C18919" s="18"/>
      <c r="D18919" s="19"/>
      <c r="E18919" s="57"/>
      <c r="H18919" s="18"/>
    </row>
    <row r="18920">
      <c r="C18920" s="18"/>
      <c r="D18920" s="19"/>
      <c r="E18920" s="57"/>
      <c r="H18920" s="18"/>
    </row>
    <row r="18921">
      <c r="C18921" s="18"/>
      <c r="D18921" s="19"/>
      <c r="E18921" s="57"/>
      <c r="H18921" s="18"/>
    </row>
    <row r="18922">
      <c r="C18922" s="18"/>
      <c r="D18922" s="19"/>
      <c r="E18922" s="57"/>
      <c r="H18922" s="18"/>
    </row>
    <row r="18923">
      <c r="C18923" s="18"/>
      <c r="D18923" s="19"/>
      <c r="E18923" s="57"/>
      <c r="H18923" s="18"/>
    </row>
    <row r="18924">
      <c r="C18924" s="18"/>
      <c r="D18924" s="19"/>
      <c r="E18924" s="57"/>
      <c r="H18924" s="18"/>
    </row>
    <row r="18925">
      <c r="C18925" s="18"/>
      <c r="D18925" s="19"/>
      <c r="E18925" s="57"/>
      <c r="H18925" s="18"/>
    </row>
    <row r="18926">
      <c r="C18926" s="18"/>
      <c r="D18926" s="19"/>
      <c r="E18926" s="57"/>
      <c r="H18926" s="18"/>
    </row>
    <row r="18927">
      <c r="C18927" s="18"/>
      <c r="D18927" s="19"/>
      <c r="E18927" s="57"/>
      <c r="H18927" s="18"/>
    </row>
    <row r="18928">
      <c r="C18928" s="18"/>
      <c r="D18928" s="19"/>
      <c r="E18928" s="57"/>
      <c r="H18928" s="18"/>
    </row>
    <row r="18929">
      <c r="C18929" s="18"/>
      <c r="D18929" s="19"/>
      <c r="E18929" s="57"/>
      <c r="H18929" s="18"/>
    </row>
    <row r="18930">
      <c r="C18930" s="18"/>
      <c r="D18930" s="19"/>
      <c r="E18930" s="57"/>
      <c r="H18930" s="18"/>
    </row>
    <row r="18931">
      <c r="C18931" s="18"/>
      <c r="D18931" s="19"/>
      <c r="E18931" s="57"/>
      <c r="H18931" s="18"/>
    </row>
    <row r="18932">
      <c r="C18932" s="18"/>
      <c r="D18932" s="19"/>
      <c r="E18932" s="57"/>
      <c r="H18932" s="18"/>
    </row>
    <row r="18933">
      <c r="C18933" s="18"/>
      <c r="D18933" s="19"/>
      <c r="E18933" s="57"/>
      <c r="H18933" s="18"/>
    </row>
    <row r="18934">
      <c r="C18934" s="18"/>
      <c r="D18934" s="19"/>
      <c r="E18934" s="57"/>
      <c r="H18934" s="18"/>
    </row>
    <row r="18935">
      <c r="C18935" s="18"/>
      <c r="D18935" s="19"/>
      <c r="E18935" s="57"/>
      <c r="H18935" s="18"/>
    </row>
    <row r="18936">
      <c r="C18936" s="18"/>
      <c r="D18936" s="19"/>
      <c r="E18936" s="57"/>
      <c r="H18936" s="18"/>
    </row>
    <row r="18937">
      <c r="C18937" s="18"/>
      <c r="D18937" s="19"/>
      <c r="E18937" s="57"/>
      <c r="H18937" s="18"/>
    </row>
    <row r="18938">
      <c r="C18938" s="18"/>
      <c r="D18938" s="19"/>
      <c r="E18938" s="57"/>
      <c r="H18938" s="18"/>
    </row>
    <row r="18939">
      <c r="C18939" s="18"/>
      <c r="D18939" s="19"/>
      <c r="E18939" s="57"/>
      <c r="H18939" s="18"/>
    </row>
    <row r="18940">
      <c r="C18940" s="18"/>
      <c r="D18940" s="19"/>
      <c r="E18940" s="57"/>
      <c r="H18940" s="18"/>
    </row>
    <row r="18941">
      <c r="C18941" s="18"/>
      <c r="D18941" s="19"/>
      <c r="E18941" s="57"/>
      <c r="H18941" s="18"/>
    </row>
    <row r="18942">
      <c r="C18942" s="18"/>
      <c r="D18942" s="19"/>
      <c r="E18942" s="57"/>
      <c r="H18942" s="18"/>
    </row>
    <row r="18943">
      <c r="C18943" s="18"/>
      <c r="D18943" s="19"/>
      <c r="E18943" s="57"/>
      <c r="H18943" s="18"/>
    </row>
    <row r="18944">
      <c r="C18944" s="18"/>
      <c r="D18944" s="19"/>
      <c r="E18944" s="57"/>
      <c r="H18944" s="18"/>
    </row>
    <row r="18945">
      <c r="C18945" s="18"/>
      <c r="D18945" s="19"/>
      <c r="E18945" s="57"/>
      <c r="H18945" s="18"/>
    </row>
    <row r="18946">
      <c r="C18946" s="18"/>
      <c r="D18946" s="19"/>
      <c r="E18946" s="57"/>
      <c r="H18946" s="18"/>
    </row>
    <row r="18947">
      <c r="C18947" s="18"/>
      <c r="D18947" s="19"/>
      <c r="E18947" s="57"/>
      <c r="H18947" s="18"/>
    </row>
    <row r="18948">
      <c r="C18948" s="18"/>
      <c r="D18948" s="19"/>
      <c r="E18948" s="57"/>
      <c r="H18948" s="18"/>
    </row>
    <row r="18949">
      <c r="C18949" s="18"/>
      <c r="D18949" s="19"/>
      <c r="E18949" s="57"/>
      <c r="H18949" s="18"/>
    </row>
    <row r="18950">
      <c r="C18950" s="18"/>
      <c r="D18950" s="19"/>
      <c r="E18950" s="57"/>
      <c r="H18950" s="18"/>
    </row>
    <row r="18951">
      <c r="C18951" s="18"/>
      <c r="D18951" s="19"/>
      <c r="E18951" s="57"/>
      <c r="H18951" s="18"/>
    </row>
    <row r="18952">
      <c r="C18952" s="18"/>
      <c r="D18952" s="19"/>
      <c r="E18952" s="57"/>
      <c r="H18952" s="18"/>
    </row>
    <row r="18953">
      <c r="C18953" s="18"/>
      <c r="D18953" s="19"/>
      <c r="E18953" s="57"/>
      <c r="H18953" s="18"/>
    </row>
    <row r="18954">
      <c r="C18954" s="18"/>
      <c r="D18954" s="19"/>
      <c r="E18954" s="57"/>
      <c r="H18954" s="18"/>
    </row>
    <row r="18955">
      <c r="C18955" s="18"/>
      <c r="D18955" s="19"/>
      <c r="E18955" s="57"/>
      <c r="H18955" s="18"/>
    </row>
    <row r="18956">
      <c r="C18956" s="18"/>
      <c r="D18956" s="19"/>
      <c r="E18956" s="57"/>
      <c r="H18956" s="18"/>
    </row>
    <row r="18957">
      <c r="C18957" s="18"/>
      <c r="D18957" s="19"/>
      <c r="E18957" s="57"/>
      <c r="H18957" s="18"/>
    </row>
    <row r="18958">
      <c r="C18958" s="18"/>
      <c r="D18958" s="19"/>
      <c r="E18958" s="57"/>
      <c r="H18958" s="18"/>
    </row>
    <row r="18959">
      <c r="C18959" s="18"/>
      <c r="D18959" s="19"/>
      <c r="E18959" s="57"/>
      <c r="H18959" s="18"/>
    </row>
    <row r="18960">
      <c r="C18960" s="18"/>
      <c r="D18960" s="19"/>
      <c r="E18960" s="57"/>
      <c r="H18960" s="18"/>
    </row>
    <row r="18961">
      <c r="C18961" s="18"/>
      <c r="D18961" s="19"/>
      <c r="E18961" s="57"/>
      <c r="H18961" s="18"/>
    </row>
    <row r="18962">
      <c r="C18962" s="18"/>
      <c r="D18962" s="19"/>
      <c r="E18962" s="57"/>
      <c r="H18962" s="18"/>
    </row>
    <row r="18963">
      <c r="C18963" s="18"/>
      <c r="D18963" s="19"/>
      <c r="E18963" s="57"/>
      <c r="H18963" s="18"/>
    </row>
    <row r="18964">
      <c r="C18964" s="18"/>
      <c r="D18964" s="19"/>
      <c r="E18964" s="57"/>
      <c r="H18964" s="18"/>
    </row>
    <row r="18965">
      <c r="C18965" s="18"/>
      <c r="D18965" s="19"/>
      <c r="E18965" s="57"/>
      <c r="H18965" s="18"/>
    </row>
    <row r="18966">
      <c r="C18966" s="18"/>
      <c r="D18966" s="19"/>
      <c r="E18966" s="57"/>
      <c r="H18966" s="18"/>
    </row>
    <row r="18967">
      <c r="C18967" s="18"/>
      <c r="D18967" s="19"/>
      <c r="E18967" s="57"/>
      <c r="H18967" s="18"/>
    </row>
    <row r="18968">
      <c r="C18968" s="18"/>
      <c r="D18968" s="19"/>
      <c r="E18968" s="57"/>
      <c r="H18968" s="18"/>
    </row>
    <row r="18969">
      <c r="C18969" s="18"/>
      <c r="D18969" s="19"/>
      <c r="E18969" s="57"/>
      <c r="H18969" s="18"/>
    </row>
    <row r="18970">
      <c r="C18970" s="18"/>
      <c r="D18970" s="19"/>
      <c r="E18970" s="57"/>
      <c r="H18970" s="18"/>
    </row>
    <row r="18971">
      <c r="C18971" s="18"/>
      <c r="D18971" s="19"/>
      <c r="E18971" s="57"/>
      <c r="H18971" s="18"/>
    </row>
    <row r="18972">
      <c r="C18972" s="18"/>
      <c r="D18972" s="19"/>
      <c r="E18972" s="57"/>
      <c r="H18972" s="18"/>
    </row>
    <row r="18973">
      <c r="C18973" s="18"/>
      <c r="D18973" s="19"/>
      <c r="E18973" s="57"/>
      <c r="H18973" s="18"/>
    </row>
    <row r="18974">
      <c r="C18974" s="18"/>
      <c r="D18974" s="19"/>
      <c r="E18974" s="57"/>
      <c r="H18974" s="18"/>
    </row>
    <row r="18975">
      <c r="C18975" s="18"/>
      <c r="D18975" s="19"/>
      <c r="E18975" s="57"/>
      <c r="H18975" s="18"/>
    </row>
    <row r="18976">
      <c r="C18976" s="18"/>
      <c r="D18976" s="19"/>
      <c r="E18976" s="57"/>
      <c r="H18976" s="18"/>
    </row>
    <row r="18977">
      <c r="C18977" s="18"/>
      <c r="D18977" s="19"/>
      <c r="E18977" s="57"/>
      <c r="H18977" s="18"/>
    </row>
    <row r="18978">
      <c r="C18978" s="18"/>
      <c r="D18978" s="19"/>
      <c r="E18978" s="57"/>
      <c r="H18978" s="18"/>
    </row>
    <row r="18979">
      <c r="C18979" s="18"/>
      <c r="D18979" s="19"/>
      <c r="E18979" s="57"/>
      <c r="H18979" s="18"/>
    </row>
    <row r="18980">
      <c r="C18980" s="18"/>
      <c r="D18980" s="19"/>
      <c r="E18980" s="57"/>
      <c r="H18980" s="18"/>
    </row>
    <row r="18981">
      <c r="C18981" s="18"/>
      <c r="D18981" s="19"/>
      <c r="E18981" s="57"/>
      <c r="H18981" s="18"/>
    </row>
    <row r="18982">
      <c r="C18982" s="18"/>
      <c r="D18982" s="19"/>
      <c r="E18982" s="57"/>
      <c r="H18982" s="18"/>
    </row>
    <row r="18983">
      <c r="C18983" s="18"/>
      <c r="D18983" s="19"/>
      <c r="E18983" s="57"/>
      <c r="H18983" s="18"/>
    </row>
    <row r="18984">
      <c r="C18984" s="18"/>
      <c r="D18984" s="19"/>
      <c r="E18984" s="57"/>
      <c r="H18984" s="18"/>
    </row>
    <row r="18985">
      <c r="C18985" s="18"/>
      <c r="D18985" s="19"/>
      <c r="E18985" s="57"/>
      <c r="H18985" s="18"/>
    </row>
    <row r="18986">
      <c r="C18986" s="18"/>
      <c r="D18986" s="19"/>
      <c r="E18986" s="57"/>
      <c r="H18986" s="18"/>
    </row>
    <row r="18987">
      <c r="C18987" s="18"/>
      <c r="D18987" s="19"/>
      <c r="E18987" s="57"/>
      <c r="H18987" s="18"/>
    </row>
    <row r="18988">
      <c r="C18988" s="18"/>
      <c r="D18988" s="19"/>
      <c r="E18988" s="57"/>
      <c r="H18988" s="18"/>
    </row>
    <row r="18989">
      <c r="C18989" s="18"/>
      <c r="D18989" s="19"/>
      <c r="E18989" s="57"/>
      <c r="H18989" s="18"/>
    </row>
    <row r="18990">
      <c r="C18990" s="18"/>
      <c r="D18990" s="19"/>
      <c r="E18990" s="57"/>
      <c r="H18990" s="18"/>
    </row>
    <row r="18991">
      <c r="C18991" s="18"/>
      <c r="D18991" s="19"/>
      <c r="E18991" s="57"/>
      <c r="H18991" s="18"/>
    </row>
    <row r="18992">
      <c r="C18992" s="18"/>
      <c r="D18992" s="19"/>
      <c r="E18992" s="57"/>
      <c r="H18992" s="18"/>
    </row>
    <row r="18993">
      <c r="C18993" s="18"/>
      <c r="D18993" s="19"/>
      <c r="E18993" s="57"/>
      <c r="H18993" s="18"/>
    </row>
    <row r="18994">
      <c r="C18994" s="18"/>
      <c r="D18994" s="19"/>
      <c r="E18994" s="57"/>
      <c r="H18994" s="18"/>
    </row>
    <row r="18995">
      <c r="C18995" s="18"/>
      <c r="D18995" s="19"/>
      <c r="E18995" s="57"/>
      <c r="H18995" s="18"/>
    </row>
    <row r="18996">
      <c r="C18996" s="18"/>
      <c r="D18996" s="19"/>
      <c r="E18996" s="57"/>
      <c r="H18996" s="18"/>
    </row>
    <row r="18997">
      <c r="C18997" s="18"/>
      <c r="D18997" s="19"/>
      <c r="E18997" s="57"/>
      <c r="H18997" s="18"/>
    </row>
    <row r="18998">
      <c r="C18998" s="18"/>
      <c r="D18998" s="19"/>
      <c r="E18998" s="57"/>
      <c r="H18998" s="18"/>
    </row>
    <row r="18999">
      <c r="C18999" s="18"/>
      <c r="D18999" s="19"/>
      <c r="E18999" s="57"/>
      <c r="H18999" s="18"/>
    </row>
    <row r="19000">
      <c r="C19000" s="18"/>
      <c r="D19000" s="19"/>
      <c r="E19000" s="57"/>
      <c r="H19000" s="18"/>
    </row>
    <row r="19001">
      <c r="C19001" s="18"/>
      <c r="D19001" s="19"/>
      <c r="E19001" s="57"/>
      <c r="H19001" s="18"/>
    </row>
    <row r="19002">
      <c r="C19002" s="18"/>
      <c r="D19002" s="19"/>
      <c r="E19002" s="57"/>
      <c r="H19002" s="18"/>
    </row>
    <row r="19003">
      <c r="C19003" s="18"/>
      <c r="D19003" s="19"/>
      <c r="E19003" s="57"/>
      <c r="H19003" s="18"/>
    </row>
    <row r="19004">
      <c r="C19004" s="18"/>
      <c r="D19004" s="19"/>
      <c r="E19004" s="57"/>
      <c r="H19004" s="18"/>
    </row>
    <row r="19005">
      <c r="C19005" s="18"/>
      <c r="D19005" s="19"/>
      <c r="E19005" s="57"/>
      <c r="H19005" s="18"/>
    </row>
    <row r="19006">
      <c r="C19006" s="18"/>
      <c r="D19006" s="19"/>
      <c r="E19006" s="57"/>
      <c r="H19006" s="18"/>
    </row>
    <row r="19007">
      <c r="C19007" s="18"/>
      <c r="D19007" s="19"/>
      <c r="E19007" s="57"/>
      <c r="H19007" s="18"/>
    </row>
    <row r="19008">
      <c r="C19008" s="18"/>
      <c r="D19008" s="19"/>
      <c r="E19008" s="57"/>
      <c r="H19008" s="18"/>
    </row>
    <row r="19009">
      <c r="C19009" s="18"/>
      <c r="D19009" s="19"/>
      <c r="E19009" s="57"/>
      <c r="H19009" s="18"/>
    </row>
    <row r="19010">
      <c r="C19010" s="18"/>
      <c r="D19010" s="19"/>
      <c r="E19010" s="57"/>
      <c r="H19010" s="18"/>
    </row>
    <row r="19011">
      <c r="C19011" s="18"/>
      <c r="D19011" s="19"/>
      <c r="E19011" s="57"/>
      <c r="H19011" s="18"/>
    </row>
    <row r="19012">
      <c r="C19012" s="18"/>
      <c r="D19012" s="19"/>
      <c r="E19012" s="57"/>
      <c r="H19012" s="18"/>
    </row>
    <row r="19013">
      <c r="C19013" s="18"/>
      <c r="D19013" s="19"/>
      <c r="E19013" s="57"/>
      <c r="H19013" s="18"/>
    </row>
    <row r="19014">
      <c r="C19014" s="18"/>
      <c r="D19014" s="19"/>
      <c r="E19014" s="57"/>
      <c r="H19014" s="18"/>
    </row>
    <row r="19015">
      <c r="C19015" s="18"/>
      <c r="D19015" s="19"/>
      <c r="E19015" s="57"/>
      <c r="H19015" s="18"/>
    </row>
    <row r="19016">
      <c r="C19016" s="18"/>
      <c r="D19016" s="19"/>
      <c r="E19016" s="57"/>
      <c r="H19016" s="18"/>
    </row>
    <row r="19017">
      <c r="C19017" s="18"/>
      <c r="D19017" s="19"/>
      <c r="E19017" s="57"/>
      <c r="H19017" s="18"/>
    </row>
    <row r="19018">
      <c r="C19018" s="18"/>
      <c r="D19018" s="19"/>
      <c r="E19018" s="57"/>
      <c r="H19018" s="18"/>
    </row>
    <row r="19019">
      <c r="C19019" s="18"/>
      <c r="D19019" s="19"/>
      <c r="E19019" s="57"/>
      <c r="H19019" s="18"/>
    </row>
    <row r="19020">
      <c r="C19020" s="18"/>
      <c r="D19020" s="19"/>
      <c r="E19020" s="57"/>
      <c r="H19020" s="18"/>
    </row>
    <row r="19021">
      <c r="C19021" s="18"/>
      <c r="D19021" s="19"/>
      <c r="E19021" s="57"/>
      <c r="H19021" s="18"/>
    </row>
    <row r="19022">
      <c r="C19022" s="18"/>
      <c r="D19022" s="19"/>
      <c r="E19022" s="57"/>
      <c r="H19022" s="18"/>
    </row>
    <row r="19023">
      <c r="C19023" s="18"/>
      <c r="D19023" s="19"/>
      <c r="E19023" s="57"/>
      <c r="H19023" s="18"/>
    </row>
    <row r="19024">
      <c r="C19024" s="18"/>
      <c r="D19024" s="19"/>
      <c r="E19024" s="57"/>
      <c r="H19024" s="18"/>
    </row>
    <row r="19025">
      <c r="C19025" s="18"/>
      <c r="D19025" s="19"/>
      <c r="E19025" s="57"/>
      <c r="H19025" s="18"/>
    </row>
    <row r="19026">
      <c r="C19026" s="18"/>
      <c r="D19026" s="19"/>
      <c r="E19026" s="57"/>
      <c r="H19026" s="18"/>
    </row>
    <row r="19027">
      <c r="C19027" s="18"/>
      <c r="D19027" s="19"/>
      <c r="E19027" s="57"/>
      <c r="H19027" s="18"/>
    </row>
    <row r="19028">
      <c r="C19028" s="18"/>
      <c r="D19028" s="19"/>
      <c r="E19028" s="57"/>
      <c r="H19028" s="18"/>
    </row>
    <row r="19029">
      <c r="C19029" s="18"/>
      <c r="D19029" s="19"/>
      <c r="E19029" s="57"/>
      <c r="H19029" s="18"/>
    </row>
    <row r="19030">
      <c r="C19030" s="18"/>
      <c r="D19030" s="19"/>
      <c r="E19030" s="57"/>
      <c r="H19030" s="18"/>
    </row>
    <row r="19031">
      <c r="C19031" s="18"/>
      <c r="D19031" s="19"/>
      <c r="E19031" s="57"/>
      <c r="H19031" s="18"/>
    </row>
    <row r="19032">
      <c r="C19032" s="18"/>
      <c r="D19032" s="19"/>
      <c r="E19032" s="57"/>
      <c r="H19032" s="18"/>
    </row>
    <row r="19033">
      <c r="C19033" s="18"/>
      <c r="D19033" s="19"/>
      <c r="E19033" s="57"/>
      <c r="H19033" s="18"/>
    </row>
    <row r="19034">
      <c r="C19034" s="18"/>
      <c r="D19034" s="19"/>
      <c r="E19034" s="57"/>
      <c r="H19034" s="18"/>
    </row>
    <row r="19035">
      <c r="C19035" s="18"/>
      <c r="D19035" s="19"/>
      <c r="E19035" s="57"/>
      <c r="H19035" s="18"/>
    </row>
    <row r="19036">
      <c r="C19036" s="18"/>
      <c r="D19036" s="19"/>
      <c r="E19036" s="57"/>
      <c r="H19036" s="18"/>
    </row>
    <row r="19037">
      <c r="C19037" s="18"/>
      <c r="D19037" s="19"/>
      <c r="E19037" s="57"/>
      <c r="H19037" s="18"/>
    </row>
    <row r="19038">
      <c r="C19038" s="18"/>
      <c r="D19038" s="19"/>
      <c r="E19038" s="57"/>
      <c r="H19038" s="18"/>
    </row>
    <row r="19039">
      <c r="C19039" s="18"/>
      <c r="D19039" s="19"/>
      <c r="E19039" s="57"/>
      <c r="H19039" s="18"/>
    </row>
    <row r="19040">
      <c r="C19040" s="18"/>
      <c r="D19040" s="19"/>
      <c r="E19040" s="57"/>
      <c r="H19040" s="18"/>
    </row>
    <row r="19041">
      <c r="C19041" s="18"/>
      <c r="D19041" s="19"/>
      <c r="E19041" s="57"/>
      <c r="H19041" s="18"/>
    </row>
    <row r="19042">
      <c r="C19042" s="18"/>
      <c r="D19042" s="19"/>
      <c r="E19042" s="57"/>
      <c r="H19042" s="18"/>
    </row>
    <row r="19043">
      <c r="C19043" s="18"/>
      <c r="D19043" s="19"/>
      <c r="E19043" s="57"/>
      <c r="H19043" s="18"/>
    </row>
    <row r="19044">
      <c r="C19044" s="18"/>
      <c r="D19044" s="19"/>
      <c r="E19044" s="57"/>
      <c r="H19044" s="18"/>
    </row>
    <row r="19045">
      <c r="C19045" s="18"/>
      <c r="D19045" s="19"/>
      <c r="E19045" s="57"/>
      <c r="H19045" s="18"/>
    </row>
    <row r="19046">
      <c r="C19046" s="18"/>
      <c r="D19046" s="19"/>
      <c r="E19046" s="57"/>
      <c r="H19046" s="18"/>
    </row>
    <row r="19047">
      <c r="C19047" s="18"/>
      <c r="D19047" s="19"/>
      <c r="E19047" s="57"/>
      <c r="H19047" s="18"/>
    </row>
    <row r="19048">
      <c r="C19048" s="18"/>
      <c r="D19048" s="19"/>
      <c r="E19048" s="57"/>
      <c r="H19048" s="18"/>
    </row>
    <row r="19049">
      <c r="C19049" s="18"/>
      <c r="D19049" s="19"/>
      <c r="E19049" s="57"/>
      <c r="H19049" s="18"/>
    </row>
    <row r="19050">
      <c r="C19050" s="18"/>
      <c r="D19050" s="19"/>
      <c r="E19050" s="57"/>
      <c r="H19050" s="18"/>
    </row>
    <row r="19051">
      <c r="C19051" s="18"/>
      <c r="D19051" s="19"/>
      <c r="E19051" s="57"/>
      <c r="H19051" s="18"/>
    </row>
    <row r="19052">
      <c r="C19052" s="18"/>
      <c r="D19052" s="19"/>
      <c r="E19052" s="57"/>
      <c r="H19052" s="18"/>
    </row>
    <row r="19053">
      <c r="C19053" s="18"/>
      <c r="D19053" s="19"/>
      <c r="E19053" s="57"/>
      <c r="H19053" s="18"/>
    </row>
    <row r="19054">
      <c r="C19054" s="18"/>
      <c r="D19054" s="19"/>
      <c r="E19054" s="57"/>
      <c r="H19054" s="18"/>
    </row>
    <row r="19055">
      <c r="C19055" s="18"/>
      <c r="D19055" s="19"/>
      <c r="E19055" s="57"/>
      <c r="H19055" s="18"/>
    </row>
    <row r="19056">
      <c r="C19056" s="18"/>
      <c r="D19056" s="19"/>
      <c r="E19056" s="57"/>
      <c r="H19056" s="18"/>
    </row>
    <row r="19057">
      <c r="C19057" s="18"/>
      <c r="D19057" s="19"/>
      <c r="E19057" s="57"/>
      <c r="H19057" s="18"/>
    </row>
    <row r="19058">
      <c r="C19058" s="18"/>
      <c r="D19058" s="19"/>
      <c r="E19058" s="57"/>
      <c r="H19058" s="18"/>
    </row>
    <row r="19059">
      <c r="C19059" s="18"/>
      <c r="D19059" s="19"/>
      <c r="E19059" s="57"/>
      <c r="H19059" s="18"/>
    </row>
    <row r="19060">
      <c r="C19060" s="18"/>
      <c r="D19060" s="19"/>
      <c r="E19060" s="57"/>
      <c r="H19060" s="18"/>
    </row>
    <row r="19061">
      <c r="C19061" s="18"/>
      <c r="D19061" s="19"/>
      <c r="E19061" s="57"/>
      <c r="H19061" s="18"/>
    </row>
    <row r="19062">
      <c r="C19062" s="18"/>
      <c r="D19062" s="19"/>
      <c r="E19062" s="57"/>
      <c r="H19062" s="18"/>
    </row>
    <row r="19063">
      <c r="C19063" s="18"/>
      <c r="D19063" s="19"/>
      <c r="E19063" s="57"/>
      <c r="H19063" s="18"/>
    </row>
    <row r="19064">
      <c r="C19064" s="18"/>
      <c r="D19064" s="19"/>
      <c r="E19064" s="57"/>
      <c r="H19064" s="18"/>
    </row>
    <row r="19065">
      <c r="C19065" s="18"/>
      <c r="D19065" s="19"/>
      <c r="E19065" s="57"/>
      <c r="H19065" s="18"/>
    </row>
    <row r="19066">
      <c r="C19066" s="18"/>
      <c r="D19066" s="19"/>
      <c r="E19066" s="57"/>
      <c r="H19066" s="18"/>
    </row>
    <row r="19067">
      <c r="C19067" s="18"/>
      <c r="D19067" s="19"/>
      <c r="E19067" s="57"/>
      <c r="H19067" s="18"/>
    </row>
    <row r="19068">
      <c r="C19068" s="18"/>
      <c r="D19068" s="19"/>
      <c r="E19068" s="57"/>
      <c r="H19068" s="18"/>
    </row>
    <row r="19069">
      <c r="C19069" s="18"/>
      <c r="D19069" s="19"/>
      <c r="E19069" s="57"/>
      <c r="H19069" s="18"/>
    </row>
    <row r="19070">
      <c r="C19070" s="18"/>
      <c r="D19070" s="19"/>
      <c r="E19070" s="57"/>
      <c r="H19070" s="18"/>
    </row>
    <row r="19071">
      <c r="C19071" s="18"/>
      <c r="D19071" s="19"/>
      <c r="E19071" s="57"/>
      <c r="H19071" s="18"/>
    </row>
    <row r="19072">
      <c r="C19072" s="18"/>
      <c r="D19072" s="19"/>
      <c r="E19072" s="57"/>
      <c r="H19072" s="18"/>
    </row>
    <row r="19073">
      <c r="C19073" s="18"/>
      <c r="D19073" s="19"/>
      <c r="E19073" s="57"/>
      <c r="H19073" s="18"/>
    </row>
    <row r="19074">
      <c r="C19074" s="18"/>
      <c r="D19074" s="19"/>
      <c r="E19074" s="57"/>
      <c r="H19074" s="18"/>
    </row>
    <row r="19075">
      <c r="C19075" s="18"/>
      <c r="D19075" s="19"/>
      <c r="E19075" s="57"/>
      <c r="H19075" s="18"/>
    </row>
    <row r="19076">
      <c r="C19076" s="18"/>
      <c r="D19076" s="19"/>
      <c r="E19076" s="57"/>
      <c r="H19076" s="18"/>
    </row>
    <row r="19077">
      <c r="C19077" s="18"/>
      <c r="D19077" s="19"/>
      <c r="E19077" s="57"/>
      <c r="H19077" s="18"/>
    </row>
    <row r="19078">
      <c r="C19078" s="18"/>
      <c r="D19078" s="19"/>
      <c r="E19078" s="57"/>
      <c r="H19078" s="18"/>
    </row>
    <row r="19079">
      <c r="C19079" s="18"/>
      <c r="D19079" s="19"/>
      <c r="E19079" s="57"/>
      <c r="H19079" s="18"/>
    </row>
    <row r="19080">
      <c r="C19080" s="18"/>
      <c r="D19080" s="19"/>
      <c r="E19080" s="57"/>
      <c r="H19080" s="18"/>
    </row>
    <row r="19081">
      <c r="C19081" s="18"/>
      <c r="D19081" s="19"/>
      <c r="E19081" s="57"/>
      <c r="H19081" s="18"/>
    </row>
    <row r="19082">
      <c r="C19082" s="18"/>
      <c r="D19082" s="19"/>
      <c r="E19082" s="57"/>
      <c r="H19082" s="18"/>
    </row>
    <row r="19083">
      <c r="C19083" s="18"/>
      <c r="D19083" s="19"/>
      <c r="E19083" s="57"/>
      <c r="H19083" s="18"/>
    </row>
    <row r="19084">
      <c r="C19084" s="18"/>
      <c r="D19084" s="19"/>
      <c r="E19084" s="57"/>
      <c r="H19084" s="18"/>
    </row>
    <row r="19085">
      <c r="C19085" s="18"/>
      <c r="D19085" s="19"/>
      <c r="E19085" s="57"/>
      <c r="H19085" s="18"/>
    </row>
    <row r="19086">
      <c r="C19086" s="18"/>
      <c r="D19086" s="19"/>
      <c r="E19086" s="57"/>
      <c r="H19086" s="18"/>
    </row>
    <row r="19087">
      <c r="C19087" s="18"/>
      <c r="D19087" s="19"/>
      <c r="E19087" s="57"/>
      <c r="H19087" s="18"/>
    </row>
    <row r="19088">
      <c r="C19088" s="18"/>
      <c r="D19088" s="19"/>
      <c r="E19088" s="57"/>
      <c r="H19088" s="18"/>
    </row>
    <row r="19089">
      <c r="C19089" s="18"/>
      <c r="D19089" s="19"/>
      <c r="E19089" s="57"/>
      <c r="H19089" s="18"/>
    </row>
    <row r="19090">
      <c r="C19090" s="18"/>
      <c r="D19090" s="19"/>
      <c r="E19090" s="57"/>
      <c r="H19090" s="18"/>
    </row>
    <row r="19091">
      <c r="C19091" s="18"/>
      <c r="D19091" s="19"/>
      <c r="E19091" s="57"/>
      <c r="H19091" s="18"/>
    </row>
    <row r="19092">
      <c r="C19092" s="18"/>
      <c r="D19092" s="19"/>
      <c r="E19092" s="57"/>
      <c r="H19092" s="18"/>
    </row>
    <row r="19093">
      <c r="C19093" s="18"/>
      <c r="D19093" s="19"/>
      <c r="E19093" s="57"/>
      <c r="H19093" s="18"/>
    </row>
    <row r="19094">
      <c r="C19094" s="18"/>
      <c r="D19094" s="19"/>
      <c r="E19094" s="57"/>
      <c r="H19094" s="18"/>
    </row>
    <row r="19095">
      <c r="C19095" s="18"/>
      <c r="D19095" s="19"/>
      <c r="E19095" s="57"/>
      <c r="H19095" s="18"/>
    </row>
    <row r="19096">
      <c r="C19096" s="18"/>
      <c r="D19096" s="19"/>
      <c r="E19096" s="57"/>
      <c r="H19096" s="18"/>
    </row>
    <row r="19097">
      <c r="C19097" s="18"/>
      <c r="D19097" s="19"/>
      <c r="E19097" s="57"/>
      <c r="H19097" s="18"/>
    </row>
    <row r="19098">
      <c r="C19098" s="18"/>
      <c r="D19098" s="19"/>
      <c r="E19098" s="57"/>
      <c r="H19098" s="18"/>
    </row>
    <row r="19099">
      <c r="C19099" s="18"/>
      <c r="D19099" s="19"/>
      <c r="E19099" s="57"/>
      <c r="H19099" s="18"/>
    </row>
    <row r="19100">
      <c r="C19100" s="18"/>
      <c r="D19100" s="19"/>
      <c r="E19100" s="57"/>
      <c r="H19100" s="18"/>
    </row>
    <row r="19101">
      <c r="C19101" s="18"/>
      <c r="D19101" s="19"/>
      <c r="E19101" s="57"/>
      <c r="H19101" s="18"/>
    </row>
    <row r="19102">
      <c r="C19102" s="18"/>
      <c r="D19102" s="19"/>
      <c r="E19102" s="57"/>
      <c r="H19102" s="18"/>
    </row>
    <row r="19103">
      <c r="C19103" s="18"/>
      <c r="D19103" s="19"/>
      <c r="E19103" s="57"/>
      <c r="H19103" s="18"/>
    </row>
    <row r="19104">
      <c r="C19104" s="18"/>
      <c r="D19104" s="19"/>
      <c r="E19104" s="57"/>
      <c r="H19104" s="18"/>
    </row>
    <row r="19105">
      <c r="C19105" s="18"/>
      <c r="D19105" s="19"/>
      <c r="E19105" s="57"/>
      <c r="H19105" s="18"/>
    </row>
    <row r="19106">
      <c r="C19106" s="18"/>
      <c r="D19106" s="19"/>
      <c r="E19106" s="57"/>
      <c r="H19106" s="18"/>
    </row>
    <row r="19107">
      <c r="C19107" s="18"/>
      <c r="D19107" s="19"/>
      <c r="E19107" s="57"/>
      <c r="H19107" s="18"/>
    </row>
    <row r="19108">
      <c r="C19108" s="18"/>
      <c r="D19108" s="19"/>
      <c r="E19108" s="57"/>
      <c r="H19108" s="18"/>
    </row>
    <row r="19109">
      <c r="C19109" s="18"/>
      <c r="D19109" s="19"/>
      <c r="E19109" s="57"/>
      <c r="H19109" s="18"/>
    </row>
    <row r="19110">
      <c r="C19110" s="18"/>
      <c r="D19110" s="19"/>
      <c r="E19110" s="57"/>
      <c r="H19110" s="18"/>
    </row>
    <row r="19111">
      <c r="C19111" s="18"/>
      <c r="D19111" s="19"/>
      <c r="E19111" s="57"/>
      <c r="H19111" s="18"/>
    </row>
    <row r="19112">
      <c r="C19112" s="18"/>
      <c r="D19112" s="19"/>
      <c r="E19112" s="57"/>
      <c r="H19112" s="18"/>
    </row>
    <row r="19113">
      <c r="C19113" s="18"/>
      <c r="D19113" s="19"/>
      <c r="E19113" s="57"/>
      <c r="H19113" s="18"/>
    </row>
    <row r="19114">
      <c r="C19114" s="18"/>
      <c r="D19114" s="19"/>
      <c r="E19114" s="57"/>
      <c r="H19114" s="18"/>
    </row>
    <row r="19115">
      <c r="C19115" s="18"/>
      <c r="D19115" s="19"/>
      <c r="E19115" s="57"/>
      <c r="H19115" s="18"/>
    </row>
    <row r="19116">
      <c r="C19116" s="18"/>
      <c r="D19116" s="19"/>
      <c r="E19116" s="57"/>
      <c r="H19116" s="18"/>
    </row>
    <row r="19117">
      <c r="C19117" s="18"/>
      <c r="D19117" s="19"/>
      <c r="E19117" s="57"/>
      <c r="H19117" s="18"/>
    </row>
    <row r="19118">
      <c r="C19118" s="18"/>
      <c r="D19118" s="19"/>
      <c r="E19118" s="57"/>
      <c r="H19118" s="18"/>
    </row>
    <row r="19119">
      <c r="C19119" s="18"/>
      <c r="D19119" s="19"/>
      <c r="E19119" s="57"/>
      <c r="H19119" s="18"/>
    </row>
    <row r="19120">
      <c r="C19120" s="18"/>
      <c r="D19120" s="19"/>
      <c r="E19120" s="57"/>
      <c r="H19120" s="18"/>
    </row>
    <row r="19121">
      <c r="C19121" s="18"/>
      <c r="D19121" s="19"/>
      <c r="E19121" s="57"/>
      <c r="H19121" s="18"/>
    </row>
    <row r="19122">
      <c r="C19122" s="18"/>
      <c r="D19122" s="19"/>
      <c r="E19122" s="57"/>
      <c r="H19122" s="18"/>
    </row>
    <row r="19123">
      <c r="C19123" s="18"/>
      <c r="D19123" s="19"/>
      <c r="E19123" s="57"/>
      <c r="H19123" s="18"/>
    </row>
    <row r="19124">
      <c r="C19124" s="18"/>
      <c r="D19124" s="19"/>
      <c r="E19124" s="57"/>
      <c r="H19124" s="18"/>
    </row>
    <row r="19125">
      <c r="C19125" s="18"/>
      <c r="D19125" s="19"/>
      <c r="E19125" s="57"/>
      <c r="H19125" s="18"/>
    </row>
    <row r="19126">
      <c r="C19126" s="18"/>
      <c r="D19126" s="19"/>
      <c r="E19126" s="57"/>
      <c r="H19126" s="18"/>
    </row>
    <row r="19127">
      <c r="C19127" s="18"/>
      <c r="D19127" s="19"/>
      <c r="E19127" s="57"/>
      <c r="H19127" s="18"/>
    </row>
    <row r="19128">
      <c r="C19128" s="18"/>
      <c r="D19128" s="19"/>
      <c r="E19128" s="57"/>
      <c r="H19128" s="18"/>
    </row>
    <row r="19129">
      <c r="C19129" s="18"/>
      <c r="D19129" s="19"/>
      <c r="E19129" s="57"/>
      <c r="H19129" s="18"/>
    </row>
    <row r="19130">
      <c r="C19130" s="18"/>
      <c r="D19130" s="19"/>
      <c r="E19130" s="57"/>
      <c r="H19130" s="18"/>
    </row>
    <row r="19131">
      <c r="C19131" s="18"/>
      <c r="D19131" s="19"/>
      <c r="E19131" s="57"/>
      <c r="H19131" s="18"/>
    </row>
    <row r="19132">
      <c r="C19132" s="18"/>
      <c r="D19132" s="19"/>
      <c r="E19132" s="57"/>
      <c r="H19132" s="18"/>
    </row>
    <row r="19133">
      <c r="C19133" s="18"/>
      <c r="D19133" s="19"/>
      <c r="E19133" s="57"/>
      <c r="H19133" s="18"/>
    </row>
    <row r="19134">
      <c r="C19134" s="18"/>
      <c r="D19134" s="19"/>
      <c r="E19134" s="57"/>
      <c r="H19134" s="18"/>
    </row>
    <row r="19135">
      <c r="C19135" s="18"/>
      <c r="D19135" s="19"/>
      <c r="E19135" s="57"/>
      <c r="H19135" s="18"/>
    </row>
    <row r="19136">
      <c r="C19136" s="18"/>
      <c r="D19136" s="19"/>
      <c r="E19136" s="57"/>
      <c r="H19136" s="18"/>
    </row>
    <row r="19137">
      <c r="C19137" s="18"/>
      <c r="D19137" s="19"/>
      <c r="E19137" s="57"/>
      <c r="H19137" s="18"/>
    </row>
    <row r="19138">
      <c r="C19138" s="18"/>
      <c r="D19138" s="19"/>
      <c r="E19138" s="57"/>
      <c r="H19138" s="18"/>
    </row>
    <row r="19139">
      <c r="C19139" s="18"/>
      <c r="D19139" s="19"/>
      <c r="E19139" s="57"/>
      <c r="H19139" s="18"/>
    </row>
    <row r="19140">
      <c r="C19140" s="18"/>
      <c r="D19140" s="19"/>
      <c r="E19140" s="57"/>
      <c r="H19140" s="18"/>
    </row>
    <row r="19141">
      <c r="C19141" s="18"/>
      <c r="D19141" s="19"/>
      <c r="E19141" s="57"/>
      <c r="H19141" s="18"/>
    </row>
    <row r="19142">
      <c r="C19142" s="18"/>
      <c r="D19142" s="19"/>
      <c r="E19142" s="57"/>
      <c r="H19142" s="18"/>
    </row>
    <row r="19143">
      <c r="C19143" s="18"/>
      <c r="D19143" s="19"/>
      <c r="E19143" s="57"/>
      <c r="H19143" s="18"/>
    </row>
    <row r="19144">
      <c r="C19144" s="18"/>
      <c r="D19144" s="19"/>
      <c r="E19144" s="57"/>
      <c r="H19144" s="18"/>
    </row>
    <row r="19145">
      <c r="C19145" s="18"/>
      <c r="D19145" s="19"/>
      <c r="E19145" s="57"/>
      <c r="H19145" s="18"/>
    </row>
    <row r="19146">
      <c r="C19146" s="18"/>
      <c r="D19146" s="19"/>
      <c r="E19146" s="57"/>
      <c r="H19146" s="18"/>
    </row>
    <row r="19147">
      <c r="C19147" s="18"/>
      <c r="D19147" s="19"/>
      <c r="E19147" s="57"/>
      <c r="H19147" s="18"/>
    </row>
    <row r="19148">
      <c r="C19148" s="18"/>
      <c r="D19148" s="19"/>
      <c r="E19148" s="57"/>
      <c r="H19148" s="18"/>
    </row>
    <row r="19149">
      <c r="C19149" s="18"/>
      <c r="D19149" s="19"/>
      <c r="E19149" s="57"/>
      <c r="H19149" s="18"/>
    </row>
    <row r="19150">
      <c r="C19150" s="18"/>
      <c r="D19150" s="19"/>
      <c r="E19150" s="57"/>
      <c r="H19150" s="18"/>
    </row>
    <row r="19151">
      <c r="C19151" s="18"/>
      <c r="D19151" s="19"/>
      <c r="E19151" s="57"/>
      <c r="H19151" s="18"/>
    </row>
    <row r="19152">
      <c r="C19152" s="18"/>
      <c r="D19152" s="19"/>
      <c r="E19152" s="57"/>
      <c r="H19152" s="18"/>
    </row>
    <row r="19153">
      <c r="C19153" s="18"/>
      <c r="D19153" s="19"/>
      <c r="E19153" s="57"/>
      <c r="H19153" s="18"/>
    </row>
    <row r="19154">
      <c r="C19154" s="18"/>
      <c r="D19154" s="19"/>
      <c r="E19154" s="57"/>
      <c r="H19154" s="18"/>
    </row>
    <row r="19155">
      <c r="C19155" s="18"/>
      <c r="D19155" s="19"/>
      <c r="E19155" s="57"/>
      <c r="H19155" s="18"/>
    </row>
    <row r="19156">
      <c r="C19156" s="18"/>
      <c r="D19156" s="19"/>
      <c r="E19156" s="57"/>
      <c r="H19156" s="18"/>
    </row>
    <row r="19157">
      <c r="C19157" s="18"/>
      <c r="D19157" s="19"/>
      <c r="E19157" s="57"/>
      <c r="H19157" s="18"/>
    </row>
    <row r="19158">
      <c r="C19158" s="18"/>
      <c r="D19158" s="19"/>
      <c r="E19158" s="57"/>
      <c r="H19158" s="18"/>
    </row>
    <row r="19159">
      <c r="C19159" s="18"/>
      <c r="D19159" s="19"/>
      <c r="E19159" s="57"/>
      <c r="H19159" s="18"/>
    </row>
    <row r="19160">
      <c r="C19160" s="18"/>
      <c r="D19160" s="19"/>
      <c r="E19160" s="57"/>
      <c r="H19160" s="18"/>
    </row>
    <row r="19161">
      <c r="C19161" s="18"/>
      <c r="D19161" s="19"/>
      <c r="E19161" s="57"/>
      <c r="H19161" s="18"/>
    </row>
    <row r="19162">
      <c r="C19162" s="18"/>
      <c r="D19162" s="19"/>
      <c r="E19162" s="57"/>
      <c r="H19162" s="18"/>
    </row>
    <row r="19163">
      <c r="C19163" s="18"/>
      <c r="D19163" s="19"/>
      <c r="E19163" s="57"/>
      <c r="H19163" s="18"/>
    </row>
    <row r="19164">
      <c r="C19164" s="18"/>
      <c r="D19164" s="19"/>
      <c r="E19164" s="57"/>
      <c r="H19164" s="18"/>
    </row>
    <row r="19165">
      <c r="C19165" s="18"/>
      <c r="D19165" s="19"/>
      <c r="E19165" s="57"/>
      <c r="H19165" s="18"/>
    </row>
    <row r="19166">
      <c r="C19166" s="18"/>
      <c r="D19166" s="19"/>
      <c r="E19166" s="57"/>
      <c r="H19166" s="18"/>
    </row>
    <row r="19167">
      <c r="C19167" s="18"/>
      <c r="D19167" s="19"/>
      <c r="E19167" s="57"/>
      <c r="H19167" s="18"/>
    </row>
    <row r="19168">
      <c r="C19168" s="18"/>
      <c r="D19168" s="19"/>
      <c r="E19168" s="57"/>
      <c r="H19168" s="18"/>
    </row>
    <row r="19169">
      <c r="C19169" s="18"/>
      <c r="D19169" s="19"/>
      <c r="E19169" s="57"/>
      <c r="H19169" s="18"/>
    </row>
    <row r="19170">
      <c r="C19170" s="18"/>
      <c r="D19170" s="19"/>
      <c r="E19170" s="57"/>
      <c r="H19170" s="18"/>
    </row>
    <row r="19171">
      <c r="C19171" s="18"/>
      <c r="D19171" s="19"/>
      <c r="E19171" s="57"/>
      <c r="H19171" s="18"/>
    </row>
    <row r="19172">
      <c r="C19172" s="18"/>
      <c r="D19172" s="19"/>
      <c r="E19172" s="57"/>
      <c r="H19172" s="18"/>
    </row>
    <row r="19173">
      <c r="C19173" s="18"/>
      <c r="D19173" s="19"/>
      <c r="E19173" s="57"/>
      <c r="H19173" s="18"/>
    </row>
    <row r="19174">
      <c r="C19174" s="18"/>
      <c r="D19174" s="19"/>
      <c r="E19174" s="57"/>
      <c r="H19174" s="18"/>
    </row>
    <row r="19175">
      <c r="C19175" s="18"/>
      <c r="D19175" s="19"/>
      <c r="E19175" s="57"/>
      <c r="H19175" s="18"/>
    </row>
    <row r="19176">
      <c r="C19176" s="18"/>
      <c r="D19176" s="19"/>
      <c r="E19176" s="57"/>
      <c r="H19176" s="18"/>
    </row>
    <row r="19177">
      <c r="C19177" s="18"/>
      <c r="D19177" s="19"/>
      <c r="E19177" s="57"/>
      <c r="H19177" s="18"/>
    </row>
    <row r="19178">
      <c r="C19178" s="18"/>
      <c r="D19178" s="19"/>
      <c r="E19178" s="57"/>
      <c r="H19178" s="18"/>
    </row>
    <row r="19179">
      <c r="C19179" s="18"/>
      <c r="D19179" s="19"/>
      <c r="E19179" s="57"/>
      <c r="H19179" s="18"/>
    </row>
    <row r="19180">
      <c r="C19180" s="18"/>
      <c r="D19180" s="19"/>
      <c r="E19180" s="57"/>
      <c r="H19180" s="18"/>
    </row>
    <row r="19181">
      <c r="C19181" s="18"/>
      <c r="D19181" s="19"/>
      <c r="E19181" s="57"/>
      <c r="H19181" s="18"/>
    </row>
    <row r="19182">
      <c r="C19182" s="18"/>
      <c r="D19182" s="19"/>
      <c r="E19182" s="57"/>
      <c r="H19182" s="18"/>
    </row>
    <row r="19183">
      <c r="C19183" s="18"/>
      <c r="D19183" s="19"/>
      <c r="E19183" s="57"/>
      <c r="H19183" s="18"/>
    </row>
    <row r="19184">
      <c r="C19184" s="18"/>
      <c r="D19184" s="19"/>
      <c r="E19184" s="57"/>
      <c r="H19184" s="18"/>
    </row>
    <row r="19185">
      <c r="C19185" s="18"/>
      <c r="D19185" s="19"/>
      <c r="E19185" s="57"/>
      <c r="H19185" s="18"/>
    </row>
    <row r="19186">
      <c r="C19186" s="18"/>
      <c r="D19186" s="19"/>
      <c r="E19186" s="57"/>
      <c r="H19186" s="18"/>
    </row>
    <row r="19187">
      <c r="C19187" s="18"/>
      <c r="D19187" s="19"/>
      <c r="E19187" s="57"/>
      <c r="H19187" s="18"/>
    </row>
    <row r="19188">
      <c r="C19188" s="18"/>
      <c r="D19188" s="19"/>
      <c r="E19188" s="57"/>
      <c r="H19188" s="18"/>
    </row>
    <row r="19189">
      <c r="C19189" s="18"/>
      <c r="D19189" s="19"/>
      <c r="E19189" s="57"/>
      <c r="H19189" s="18"/>
    </row>
    <row r="19190">
      <c r="C19190" s="18"/>
      <c r="D19190" s="19"/>
      <c r="E19190" s="57"/>
      <c r="H19190" s="18"/>
    </row>
    <row r="19191">
      <c r="C19191" s="18"/>
      <c r="D19191" s="19"/>
      <c r="E19191" s="57"/>
      <c r="H19191" s="18"/>
    </row>
    <row r="19192">
      <c r="C19192" s="18"/>
      <c r="D19192" s="19"/>
      <c r="E19192" s="57"/>
      <c r="H19192" s="18"/>
    </row>
    <row r="19193">
      <c r="C19193" s="18"/>
      <c r="D19193" s="19"/>
      <c r="E19193" s="57"/>
      <c r="H19193" s="18"/>
    </row>
    <row r="19194">
      <c r="C19194" s="18"/>
      <c r="D19194" s="19"/>
      <c r="E19194" s="57"/>
      <c r="H19194" s="18"/>
    </row>
    <row r="19195">
      <c r="C19195" s="18"/>
      <c r="D19195" s="19"/>
      <c r="E19195" s="57"/>
      <c r="H19195" s="18"/>
    </row>
    <row r="19196">
      <c r="C19196" s="18"/>
      <c r="D19196" s="19"/>
      <c r="E19196" s="57"/>
      <c r="H19196" s="18"/>
    </row>
    <row r="19197">
      <c r="C19197" s="18"/>
      <c r="D19197" s="19"/>
      <c r="E19197" s="57"/>
      <c r="H19197" s="18"/>
    </row>
    <row r="19198">
      <c r="C19198" s="18"/>
      <c r="D19198" s="19"/>
      <c r="E19198" s="57"/>
      <c r="H19198" s="18"/>
    </row>
    <row r="19199">
      <c r="C19199" s="18"/>
      <c r="D19199" s="19"/>
      <c r="E19199" s="57"/>
      <c r="H19199" s="18"/>
    </row>
    <row r="19200">
      <c r="C19200" s="18"/>
      <c r="D19200" s="19"/>
      <c r="E19200" s="57"/>
      <c r="H19200" s="18"/>
    </row>
    <row r="19201">
      <c r="C19201" s="18"/>
      <c r="D19201" s="19"/>
      <c r="E19201" s="57"/>
      <c r="H19201" s="18"/>
    </row>
    <row r="19202">
      <c r="C19202" s="18"/>
      <c r="D19202" s="19"/>
      <c r="E19202" s="57"/>
      <c r="H19202" s="18"/>
    </row>
    <row r="19203">
      <c r="C19203" s="18"/>
      <c r="D19203" s="19"/>
      <c r="E19203" s="57"/>
      <c r="H19203" s="18"/>
    </row>
    <row r="19204">
      <c r="C19204" s="18"/>
      <c r="D19204" s="19"/>
      <c r="E19204" s="57"/>
      <c r="H19204" s="18"/>
    </row>
    <row r="19205">
      <c r="C19205" s="18"/>
      <c r="D19205" s="19"/>
      <c r="E19205" s="57"/>
      <c r="H19205" s="18"/>
    </row>
    <row r="19206">
      <c r="C19206" s="18"/>
      <c r="D19206" s="19"/>
      <c r="E19206" s="57"/>
      <c r="H19206" s="18"/>
    </row>
    <row r="19207">
      <c r="C19207" s="18"/>
      <c r="D19207" s="19"/>
      <c r="E19207" s="57"/>
      <c r="H19207" s="18"/>
    </row>
    <row r="19208">
      <c r="C19208" s="18"/>
      <c r="D19208" s="19"/>
      <c r="E19208" s="57"/>
      <c r="H19208" s="18"/>
    </row>
    <row r="19209">
      <c r="C19209" s="18"/>
      <c r="D19209" s="19"/>
      <c r="E19209" s="57"/>
      <c r="H19209" s="18"/>
    </row>
    <row r="19210">
      <c r="C19210" s="18"/>
      <c r="D19210" s="19"/>
      <c r="E19210" s="57"/>
      <c r="H19210" s="18"/>
    </row>
    <row r="19211">
      <c r="C19211" s="18"/>
      <c r="D19211" s="19"/>
      <c r="E19211" s="57"/>
      <c r="H19211" s="18"/>
    </row>
    <row r="19212">
      <c r="C19212" s="18"/>
      <c r="D19212" s="19"/>
      <c r="E19212" s="57"/>
      <c r="H19212" s="18"/>
    </row>
    <row r="19213">
      <c r="C19213" s="18"/>
      <c r="D19213" s="19"/>
      <c r="E19213" s="57"/>
      <c r="H19213" s="18"/>
    </row>
    <row r="19214">
      <c r="C19214" s="18"/>
      <c r="D19214" s="19"/>
      <c r="E19214" s="57"/>
      <c r="H19214" s="18"/>
    </row>
    <row r="19215">
      <c r="C19215" s="18"/>
      <c r="D19215" s="19"/>
      <c r="E19215" s="57"/>
      <c r="H19215" s="18"/>
    </row>
    <row r="19216">
      <c r="C19216" s="18"/>
      <c r="D19216" s="19"/>
      <c r="E19216" s="57"/>
      <c r="H19216" s="18"/>
    </row>
    <row r="19217">
      <c r="C19217" s="18"/>
      <c r="D19217" s="19"/>
      <c r="E19217" s="57"/>
      <c r="H19217" s="18"/>
    </row>
    <row r="19218">
      <c r="C19218" s="18"/>
      <c r="D19218" s="19"/>
      <c r="E19218" s="57"/>
      <c r="H19218" s="18"/>
    </row>
    <row r="19219">
      <c r="C19219" s="18"/>
      <c r="D19219" s="19"/>
      <c r="E19219" s="57"/>
      <c r="H19219" s="18"/>
    </row>
    <row r="19220">
      <c r="C19220" s="18"/>
      <c r="D19220" s="19"/>
      <c r="E19220" s="57"/>
      <c r="H19220" s="18"/>
    </row>
    <row r="19221">
      <c r="C19221" s="18"/>
      <c r="D19221" s="19"/>
      <c r="E19221" s="57"/>
      <c r="H19221" s="18"/>
    </row>
    <row r="19222">
      <c r="C19222" s="18"/>
      <c r="D19222" s="19"/>
      <c r="E19222" s="57"/>
      <c r="H19222" s="18"/>
    </row>
    <row r="19223">
      <c r="C19223" s="18"/>
      <c r="D19223" s="19"/>
      <c r="E19223" s="57"/>
      <c r="H19223" s="18"/>
    </row>
    <row r="19224">
      <c r="C19224" s="18"/>
      <c r="D19224" s="19"/>
      <c r="E19224" s="57"/>
      <c r="H19224" s="18"/>
    </row>
    <row r="19225">
      <c r="C19225" s="18"/>
      <c r="D19225" s="19"/>
      <c r="E19225" s="57"/>
      <c r="H19225" s="18"/>
    </row>
    <row r="19226">
      <c r="C19226" s="18"/>
      <c r="D19226" s="19"/>
      <c r="E19226" s="57"/>
      <c r="H19226" s="18"/>
    </row>
    <row r="19227">
      <c r="C19227" s="18"/>
      <c r="D19227" s="19"/>
      <c r="E19227" s="57"/>
      <c r="H19227" s="18"/>
    </row>
    <row r="19228">
      <c r="C19228" s="18"/>
      <c r="D19228" s="19"/>
      <c r="E19228" s="57"/>
      <c r="H19228" s="18"/>
    </row>
    <row r="19229">
      <c r="C19229" s="18"/>
      <c r="D19229" s="19"/>
      <c r="E19229" s="57"/>
      <c r="H19229" s="18"/>
    </row>
    <row r="19230">
      <c r="C19230" s="18"/>
      <c r="D19230" s="19"/>
      <c r="E19230" s="57"/>
      <c r="H19230" s="18"/>
    </row>
    <row r="19231">
      <c r="C19231" s="18"/>
      <c r="D19231" s="19"/>
      <c r="E19231" s="57"/>
      <c r="H19231" s="18"/>
    </row>
    <row r="19232">
      <c r="C19232" s="18"/>
      <c r="D19232" s="19"/>
      <c r="E19232" s="57"/>
      <c r="H19232" s="18"/>
    </row>
    <row r="19233">
      <c r="C19233" s="18"/>
      <c r="D19233" s="19"/>
      <c r="E19233" s="57"/>
      <c r="H19233" s="18"/>
    </row>
    <row r="19234">
      <c r="C19234" s="18"/>
      <c r="D19234" s="19"/>
      <c r="E19234" s="57"/>
      <c r="H19234" s="18"/>
    </row>
    <row r="19235">
      <c r="C19235" s="18"/>
      <c r="D19235" s="19"/>
      <c r="E19235" s="57"/>
      <c r="H19235" s="18"/>
    </row>
    <row r="19236">
      <c r="C19236" s="18"/>
      <c r="D19236" s="19"/>
      <c r="E19236" s="57"/>
      <c r="H19236" s="18"/>
    </row>
    <row r="19237">
      <c r="C19237" s="18"/>
      <c r="D19237" s="19"/>
      <c r="E19237" s="57"/>
      <c r="H19237" s="18"/>
    </row>
    <row r="19238">
      <c r="C19238" s="18"/>
      <c r="D19238" s="19"/>
      <c r="E19238" s="57"/>
      <c r="H19238" s="18"/>
    </row>
    <row r="19239">
      <c r="C19239" s="18"/>
      <c r="D19239" s="19"/>
      <c r="E19239" s="57"/>
      <c r="H19239" s="18"/>
    </row>
    <row r="19240">
      <c r="C19240" s="18"/>
      <c r="D19240" s="19"/>
      <c r="E19240" s="57"/>
      <c r="H19240" s="18"/>
    </row>
    <row r="19241">
      <c r="C19241" s="18"/>
      <c r="D19241" s="19"/>
      <c r="E19241" s="57"/>
      <c r="H19241" s="18"/>
    </row>
    <row r="19242">
      <c r="C19242" s="18"/>
      <c r="D19242" s="19"/>
      <c r="E19242" s="57"/>
      <c r="H19242" s="18"/>
    </row>
    <row r="19243">
      <c r="C19243" s="18"/>
      <c r="D19243" s="19"/>
      <c r="E19243" s="57"/>
      <c r="H19243" s="18"/>
    </row>
    <row r="19244">
      <c r="C19244" s="18"/>
      <c r="D19244" s="19"/>
      <c r="E19244" s="57"/>
      <c r="H19244" s="18"/>
    </row>
    <row r="19245">
      <c r="C19245" s="18"/>
      <c r="D19245" s="19"/>
      <c r="E19245" s="57"/>
      <c r="H19245" s="18"/>
    </row>
    <row r="19246">
      <c r="C19246" s="18"/>
      <c r="D19246" s="19"/>
      <c r="E19246" s="57"/>
      <c r="H19246" s="18"/>
    </row>
    <row r="19247">
      <c r="C19247" s="18"/>
      <c r="D19247" s="19"/>
      <c r="E19247" s="57"/>
      <c r="H19247" s="18"/>
    </row>
    <row r="19248">
      <c r="C19248" s="18"/>
      <c r="D19248" s="19"/>
      <c r="E19248" s="57"/>
      <c r="H19248" s="18"/>
    </row>
    <row r="19249">
      <c r="C19249" s="18"/>
      <c r="D19249" s="19"/>
      <c r="E19249" s="57"/>
      <c r="H19249" s="18"/>
    </row>
    <row r="19250">
      <c r="C19250" s="18"/>
      <c r="D19250" s="19"/>
      <c r="E19250" s="57"/>
      <c r="H19250" s="18"/>
    </row>
    <row r="19251">
      <c r="C19251" s="18"/>
      <c r="D19251" s="19"/>
      <c r="E19251" s="57"/>
      <c r="H19251" s="18"/>
    </row>
    <row r="19252">
      <c r="C19252" s="18"/>
      <c r="D19252" s="19"/>
      <c r="E19252" s="57"/>
      <c r="H19252" s="18"/>
    </row>
    <row r="19253">
      <c r="C19253" s="18"/>
      <c r="D19253" s="19"/>
      <c r="E19253" s="57"/>
      <c r="H19253" s="18"/>
    </row>
    <row r="19254">
      <c r="C19254" s="18"/>
      <c r="D19254" s="19"/>
      <c r="E19254" s="57"/>
      <c r="H19254" s="18"/>
    </row>
    <row r="19255">
      <c r="C19255" s="18"/>
      <c r="D19255" s="19"/>
      <c r="E19255" s="57"/>
      <c r="H19255" s="18"/>
    </row>
    <row r="19256">
      <c r="C19256" s="18"/>
      <c r="D19256" s="19"/>
      <c r="E19256" s="57"/>
      <c r="H19256" s="18"/>
    </row>
    <row r="19257">
      <c r="C19257" s="18"/>
      <c r="D19257" s="19"/>
      <c r="E19257" s="57"/>
      <c r="H19257" s="18"/>
    </row>
    <row r="19258">
      <c r="C19258" s="18"/>
      <c r="D19258" s="19"/>
      <c r="E19258" s="57"/>
      <c r="H19258" s="18"/>
    </row>
    <row r="19259">
      <c r="C19259" s="18"/>
      <c r="D19259" s="19"/>
      <c r="E19259" s="57"/>
      <c r="H19259" s="18"/>
    </row>
    <row r="19260">
      <c r="C19260" s="18"/>
      <c r="D19260" s="19"/>
      <c r="E19260" s="57"/>
      <c r="H19260" s="18"/>
    </row>
    <row r="19261">
      <c r="C19261" s="18"/>
      <c r="D19261" s="19"/>
      <c r="E19261" s="57"/>
      <c r="H19261" s="18"/>
    </row>
    <row r="19262">
      <c r="C19262" s="18"/>
      <c r="D19262" s="19"/>
      <c r="E19262" s="57"/>
      <c r="H19262" s="18"/>
    </row>
    <row r="19263">
      <c r="C19263" s="18"/>
      <c r="D19263" s="19"/>
      <c r="E19263" s="57"/>
      <c r="H19263" s="18"/>
    </row>
    <row r="19264">
      <c r="C19264" s="18"/>
      <c r="D19264" s="19"/>
      <c r="E19264" s="57"/>
      <c r="H19264" s="18"/>
    </row>
    <row r="19265">
      <c r="C19265" s="18"/>
      <c r="D19265" s="19"/>
      <c r="E19265" s="57"/>
      <c r="H19265" s="18"/>
    </row>
    <row r="19266">
      <c r="C19266" s="18"/>
      <c r="D19266" s="19"/>
      <c r="E19266" s="57"/>
      <c r="H19266" s="18"/>
    </row>
    <row r="19267">
      <c r="C19267" s="18"/>
      <c r="D19267" s="19"/>
      <c r="E19267" s="57"/>
      <c r="H19267" s="18"/>
    </row>
    <row r="19268">
      <c r="C19268" s="18"/>
      <c r="D19268" s="19"/>
      <c r="E19268" s="57"/>
      <c r="H19268" s="18"/>
    </row>
    <row r="19269">
      <c r="C19269" s="18"/>
      <c r="D19269" s="19"/>
      <c r="E19269" s="57"/>
      <c r="H19269" s="18"/>
    </row>
    <row r="19270">
      <c r="C19270" s="18"/>
      <c r="D19270" s="19"/>
      <c r="E19270" s="57"/>
      <c r="H19270" s="18"/>
    </row>
    <row r="19271">
      <c r="C19271" s="18"/>
      <c r="D19271" s="19"/>
      <c r="E19271" s="57"/>
      <c r="H19271" s="18"/>
    </row>
    <row r="19272">
      <c r="C19272" s="18"/>
      <c r="D19272" s="19"/>
      <c r="E19272" s="57"/>
      <c r="H19272" s="18"/>
    </row>
    <row r="19273">
      <c r="C19273" s="18"/>
      <c r="D19273" s="19"/>
      <c r="E19273" s="57"/>
      <c r="H19273" s="18"/>
    </row>
    <row r="19274">
      <c r="C19274" s="18"/>
      <c r="D19274" s="19"/>
      <c r="E19274" s="57"/>
      <c r="H19274" s="18"/>
    </row>
    <row r="19275">
      <c r="C19275" s="18"/>
      <c r="D19275" s="19"/>
      <c r="E19275" s="57"/>
      <c r="H19275" s="18"/>
    </row>
    <row r="19276">
      <c r="C19276" s="18"/>
      <c r="D19276" s="19"/>
      <c r="E19276" s="57"/>
      <c r="H19276" s="18"/>
    </row>
    <row r="19277">
      <c r="C19277" s="18"/>
      <c r="D19277" s="19"/>
      <c r="E19277" s="57"/>
      <c r="H19277" s="18"/>
    </row>
    <row r="19278">
      <c r="C19278" s="18"/>
      <c r="D19278" s="19"/>
      <c r="E19278" s="57"/>
      <c r="H19278" s="18"/>
    </row>
    <row r="19279">
      <c r="C19279" s="18"/>
      <c r="D19279" s="19"/>
      <c r="E19279" s="57"/>
      <c r="H19279" s="18"/>
    </row>
    <row r="19280">
      <c r="C19280" s="18"/>
      <c r="D19280" s="19"/>
      <c r="E19280" s="57"/>
      <c r="H19280" s="18"/>
    </row>
    <row r="19281">
      <c r="C19281" s="18"/>
      <c r="D19281" s="19"/>
      <c r="E19281" s="57"/>
      <c r="H19281" s="18"/>
    </row>
    <row r="19282">
      <c r="C19282" s="18"/>
      <c r="D19282" s="19"/>
      <c r="E19282" s="57"/>
      <c r="H19282" s="18"/>
    </row>
    <row r="19283">
      <c r="C19283" s="18"/>
      <c r="D19283" s="19"/>
      <c r="E19283" s="57"/>
      <c r="H19283" s="18"/>
    </row>
    <row r="19284">
      <c r="C19284" s="18"/>
      <c r="D19284" s="19"/>
      <c r="E19284" s="57"/>
      <c r="H19284" s="18"/>
    </row>
    <row r="19285">
      <c r="C19285" s="18"/>
      <c r="D19285" s="19"/>
      <c r="E19285" s="57"/>
      <c r="H19285" s="18"/>
    </row>
    <row r="19286">
      <c r="C19286" s="18"/>
      <c r="D19286" s="19"/>
      <c r="E19286" s="57"/>
      <c r="H19286" s="18"/>
    </row>
    <row r="19287">
      <c r="C19287" s="18"/>
      <c r="D19287" s="19"/>
      <c r="E19287" s="57"/>
      <c r="H19287" s="18"/>
    </row>
    <row r="19288">
      <c r="C19288" s="18"/>
      <c r="D19288" s="19"/>
      <c r="E19288" s="57"/>
      <c r="H19288" s="18"/>
    </row>
    <row r="19289">
      <c r="C19289" s="18"/>
      <c r="D19289" s="19"/>
      <c r="E19289" s="57"/>
      <c r="H19289" s="18"/>
    </row>
    <row r="19290">
      <c r="C19290" s="18"/>
      <c r="D19290" s="19"/>
      <c r="E19290" s="57"/>
      <c r="H19290" s="18"/>
    </row>
    <row r="19291">
      <c r="C19291" s="18"/>
      <c r="D19291" s="19"/>
      <c r="E19291" s="57"/>
      <c r="H19291" s="18"/>
    </row>
    <row r="19292">
      <c r="C19292" s="18"/>
      <c r="D19292" s="19"/>
      <c r="E19292" s="57"/>
      <c r="H19292" s="18"/>
    </row>
    <row r="19293">
      <c r="C19293" s="18"/>
      <c r="D19293" s="19"/>
      <c r="E19293" s="57"/>
      <c r="H19293" s="18"/>
    </row>
    <row r="19294">
      <c r="C19294" s="18"/>
      <c r="D19294" s="19"/>
      <c r="E19294" s="57"/>
      <c r="H19294" s="18"/>
    </row>
    <row r="19295">
      <c r="C19295" s="18"/>
      <c r="D19295" s="19"/>
      <c r="E19295" s="57"/>
      <c r="H19295" s="18"/>
    </row>
    <row r="19296">
      <c r="C19296" s="18"/>
      <c r="D19296" s="19"/>
      <c r="E19296" s="57"/>
      <c r="H19296" s="18"/>
    </row>
    <row r="19297">
      <c r="C19297" s="18"/>
      <c r="D19297" s="19"/>
      <c r="E19297" s="57"/>
      <c r="H19297" s="18"/>
    </row>
    <row r="19298">
      <c r="C19298" s="18"/>
      <c r="D19298" s="19"/>
      <c r="E19298" s="57"/>
      <c r="H19298" s="18"/>
    </row>
    <row r="19299">
      <c r="C19299" s="18"/>
      <c r="D19299" s="19"/>
      <c r="E19299" s="57"/>
      <c r="H19299" s="18"/>
    </row>
    <row r="19300">
      <c r="C19300" s="18"/>
      <c r="D19300" s="19"/>
      <c r="E19300" s="57"/>
      <c r="H19300" s="18"/>
    </row>
    <row r="19301">
      <c r="C19301" s="18"/>
      <c r="D19301" s="19"/>
      <c r="E19301" s="57"/>
      <c r="H19301" s="18"/>
    </row>
    <row r="19302">
      <c r="C19302" s="18"/>
      <c r="D19302" s="19"/>
      <c r="E19302" s="57"/>
      <c r="H19302" s="18"/>
    </row>
    <row r="19303">
      <c r="C19303" s="18"/>
      <c r="D19303" s="19"/>
      <c r="E19303" s="57"/>
      <c r="H19303" s="18"/>
    </row>
    <row r="19304">
      <c r="C19304" s="18"/>
      <c r="D19304" s="19"/>
      <c r="E19304" s="57"/>
      <c r="H19304" s="18"/>
    </row>
    <row r="19305">
      <c r="C19305" s="18"/>
      <c r="D19305" s="19"/>
      <c r="E19305" s="57"/>
      <c r="H19305" s="18"/>
    </row>
    <row r="19306">
      <c r="C19306" s="18"/>
      <c r="D19306" s="19"/>
      <c r="E19306" s="57"/>
      <c r="H19306" s="18"/>
    </row>
    <row r="19307">
      <c r="C19307" s="18"/>
      <c r="D19307" s="19"/>
      <c r="E19307" s="57"/>
      <c r="H19307" s="18"/>
    </row>
    <row r="19308">
      <c r="C19308" s="18"/>
      <c r="D19308" s="19"/>
      <c r="E19308" s="57"/>
      <c r="H19308" s="18"/>
    </row>
    <row r="19309">
      <c r="C19309" s="18"/>
      <c r="D19309" s="19"/>
      <c r="E19309" s="57"/>
      <c r="H19309" s="18"/>
    </row>
    <row r="19310">
      <c r="C19310" s="18"/>
      <c r="D19310" s="19"/>
      <c r="E19310" s="57"/>
      <c r="H19310" s="18"/>
    </row>
    <row r="19311">
      <c r="C19311" s="18"/>
      <c r="D19311" s="19"/>
      <c r="E19311" s="57"/>
      <c r="H19311" s="18"/>
    </row>
    <row r="19312">
      <c r="C19312" s="18"/>
      <c r="D19312" s="19"/>
      <c r="E19312" s="57"/>
      <c r="H19312" s="18"/>
    </row>
    <row r="19313">
      <c r="C19313" s="18"/>
      <c r="D19313" s="19"/>
      <c r="E19313" s="57"/>
      <c r="H19313" s="18"/>
    </row>
    <row r="19314">
      <c r="C19314" s="18"/>
      <c r="D19314" s="19"/>
      <c r="E19314" s="57"/>
      <c r="H19314" s="18"/>
    </row>
    <row r="19315">
      <c r="C19315" s="18"/>
      <c r="D19315" s="19"/>
      <c r="E19315" s="57"/>
      <c r="H19315" s="18"/>
    </row>
    <row r="19316">
      <c r="C19316" s="18"/>
      <c r="D19316" s="19"/>
      <c r="E19316" s="57"/>
      <c r="H19316" s="18"/>
    </row>
    <row r="19317">
      <c r="C19317" s="18"/>
      <c r="D19317" s="19"/>
      <c r="E19317" s="57"/>
      <c r="H19317" s="18"/>
    </row>
    <row r="19318">
      <c r="C19318" s="18"/>
      <c r="D19318" s="19"/>
      <c r="E19318" s="57"/>
      <c r="H19318" s="18"/>
    </row>
    <row r="19319">
      <c r="C19319" s="18"/>
      <c r="D19319" s="19"/>
      <c r="E19319" s="57"/>
      <c r="H19319" s="18"/>
    </row>
    <row r="19320">
      <c r="C19320" s="18"/>
      <c r="D19320" s="19"/>
      <c r="E19320" s="57"/>
      <c r="H19320" s="18"/>
    </row>
    <row r="19321">
      <c r="C19321" s="18"/>
      <c r="D19321" s="19"/>
      <c r="E19321" s="57"/>
      <c r="H19321" s="18"/>
    </row>
    <row r="19322">
      <c r="C19322" s="18"/>
      <c r="D19322" s="19"/>
      <c r="E19322" s="57"/>
      <c r="H19322" s="18"/>
    </row>
    <row r="19323">
      <c r="C19323" s="18"/>
      <c r="D19323" s="19"/>
      <c r="E19323" s="57"/>
      <c r="H19323" s="18"/>
    </row>
    <row r="19324">
      <c r="C19324" s="18"/>
      <c r="D19324" s="19"/>
      <c r="E19324" s="57"/>
      <c r="H19324" s="18"/>
    </row>
    <row r="19325">
      <c r="C19325" s="18"/>
      <c r="D19325" s="19"/>
      <c r="E19325" s="57"/>
      <c r="H19325" s="18"/>
    </row>
    <row r="19326">
      <c r="C19326" s="18"/>
      <c r="D19326" s="19"/>
      <c r="E19326" s="57"/>
      <c r="H19326" s="18"/>
    </row>
    <row r="19327">
      <c r="C19327" s="18"/>
      <c r="D19327" s="19"/>
      <c r="E19327" s="57"/>
      <c r="H19327" s="18"/>
    </row>
    <row r="19328">
      <c r="C19328" s="18"/>
      <c r="D19328" s="19"/>
      <c r="E19328" s="57"/>
      <c r="H19328" s="18"/>
    </row>
    <row r="19329">
      <c r="C19329" s="18"/>
      <c r="D19329" s="19"/>
      <c r="E19329" s="57"/>
      <c r="H19329" s="18"/>
    </row>
    <row r="19330">
      <c r="C19330" s="18"/>
      <c r="D19330" s="19"/>
      <c r="E19330" s="57"/>
      <c r="H19330" s="18"/>
    </row>
    <row r="19331">
      <c r="C19331" s="18"/>
      <c r="D19331" s="19"/>
      <c r="E19331" s="57"/>
      <c r="H19331" s="18"/>
    </row>
    <row r="19332">
      <c r="C19332" s="18"/>
      <c r="D19332" s="19"/>
      <c r="E19332" s="57"/>
      <c r="H19332" s="18"/>
    </row>
    <row r="19333">
      <c r="C19333" s="18"/>
      <c r="D19333" s="19"/>
      <c r="E19333" s="57"/>
      <c r="H19333" s="18"/>
    </row>
    <row r="19334">
      <c r="C19334" s="18"/>
      <c r="D19334" s="19"/>
      <c r="E19334" s="57"/>
      <c r="H19334" s="18"/>
    </row>
    <row r="19335">
      <c r="C19335" s="18"/>
      <c r="D19335" s="19"/>
      <c r="E19335" s="57"/>
      <c r="H19335" s="18"/>
    </row>
    <row r="19336">
      <c r="C19336" s="18"/>
      <c r="D19336" s="19"/>
      <c r="E19336" s="57"/>
      <c r="H19336" s="18"/>
    </row>
    <row r="19337">
      <c r="C19337" s="18"/>
      <c r="D19337" s="19"/>
      <c r="E19337" s="57"/>
      <c r="H19337" s="18"/>
    </row>
    <row r="19338">
      <c r="C19338" s="18"/>
      <c r="D19338" s="19"/>
      <c r="E19338" s="57"/>
      <c r="H19338" s="18"/>
    </row>
    <row r="19339">
      <c r="C19339" s="18"/>
      <c r="D19339" s="19"/>
      <c r="E19339" s="57"/>
      <c r="H19339" s="18"/>
    </row>
    <row r="19340">
      <c r="C19340" s="18"/>
      <c r="D19340" s="19"/>
      <c r="E19340" s="57"/>
      <c r="H19340" s="18"/>
    </row>
    <row r="19341">
      <c r="C19341" s="18"/>
      <c r="D19341" s="19"/>
      <c r="E19341" s="57"/>
      <c r="H19341" s="18"/>
    </row>
    <row r="19342">
      <c r="C19342" s="18"/>
      <c r="D19342" s="19"/>
      <c r="E19342" s="57"/>
      <c r="H19342" s="18"/>
    </row>
    <row r="19343">
      <c r="C19343" s="18"/>
      <c r="D19343" s="19"/>
      <c r="E19343" s="57"/>
      <c r="H19343" s="18"/>
    </row>
    <row r="19344">
      <c r="C19344" s="18"/>
      <c r="D19344" s="19"/>
      <c r="E19344" s="57"/>
      <c r="H19344" s="18"/>
    </row>
    <row r="19345">
      <c r="C19345" s="18"/>
      <c r="D19345" s="19"/>
      <c r="E19345" s="57"/>
      <c r="H19345" s="18"/>
    </row>
    <row r="19346">
      <c r="C19346" s="18"/>
      <c r="D19346" s="19"/>
      <c r="E19346" s="57"/>
      <c r="H19346" s="18"/>
    </row>
    <row r="19347">
      <c r="C19347" s="18"/>
      <c r="D19347" s="19"/>
      <c r="E19347" s="57"/>
      <c r="H19347" s="18"/>
    </row>
    <row r="19348">
      <c r="C19348" s="18"/>
      <c r="D19348" s="19"/>
      <c r="E19348" s="57"/>
      <c r="H19348" s="18"/>
    </row>
    <row r="19349">
      <c r="C19349" s="18"/>
      <c r="D19349" s="19"/>
      <c r="E19349" s="57"/>
      <c r="H19349" s="18"/>
    </row>
    <row r="19350">
      <c r="C19350" s="18"/>
      <c r="D19350" s="19"/>
      <c r="E19350" s="57"/>
      <c r="H19350" s="18"/>
    </row>
    <row r="19351">
      <c r="C19351" s="18"/>
      <c r="D19351" s="19"/>
      <c r="E19351" s="57"/>
      <c r="H19351" s="18"/>
    </row>
    <row r="19352">
      <c r="C19352" s="18"/>
      <c r="D19352" s="19"/>
      <c r="E19352" s="57"/>
      <c r="H19352" s="18"/>
    </row>
    <row r="19353">
      <c r="C19353" s="18"/>
      <c r="D19353" s="19"/>
      <c r="E19353" s="57"/>
      <c r="H19353" s="18"/>
    </row>
    <row r="19354">
      <c r="C19354" s="18"/>
      <c r="D19354" s="19"/>
      <c r="E19354" s="57"/>
      <c r="H19354" s="18"/>
    </row>
    <row r="19355">
      <c r="C19355" s="18"/>
      <c r="D19355" s="19"/>
      <c r="E19355" s="57"/>
      <c r="H19355" s="18"/>
    </row>
    <row r="19356">
      <c r="C19356" s="18"/>
      <c r="D19356" s="19"/>
      <c r="E19356" s="57"/>
      <c r="H19356" s="18"/>
    </row>
    <row r="19357">
      <c r="C19357" s="18"/>
      <c r="D19357" s="19"/>
      <c r="E19357" s="57"/>
      <c r="H19357" s="18"/>
    </row>
    <row r="19358">
      <c r="C19358" s="18"/>
      <c r="D19358" s="19"/>
      <c r="E19358" s="57"/>
      <c r="H19358" s="18"/>
    </row>
    <row r="19359">
      <c r="C19359" s="18"/>
      <c r="D19359" s="19"/>
      <c r="E19359" s="57"/>
      <c r="H19359" s="18"/>
    </row>
    <row r="19360">
      <c r="C19360" s="18"/>
      <c r="D19360" s="19"/>
      <c r="E19360" s="57"/>
      <c r="H19360" s="18"/>
    </row>
    <row r="19361">
      <c r="C19361" s="18"/>
      <c r="D19361" s="19"/>
      <c r="E19361" s="57"/>
      <c r="H19361" s="18"/>
    </row>
    <row r="19362">
      <c r="C19362" s="18"/>
      <c r="D19362" s="19"/>
      <c r="E19362" s="57"/>
      <c r="H19362" s="18"/>
    </row>
    <row r="19363">
      <c r="C19363" s="18"/>
      <c r="D19363" s="19"/>
      <c r="E19363" s="57"/>
      <c r="H19363" s="18"/>
    </row>
    <row r="19364">
      <c r="C19364" s="18"/>
      <c r="D19364" s="19"/>
      <c r="E19364" s="57"/>
      <c r="H19364" s="18"/>
    </row>
    <row r="19365">
      <c r="C19365" s="18"/>
      <c r="D19365" s="19"/>
      <c r="E19365" s="57"/>
      <c r="H19365" s="18"/>
    </row>
    <row r="19366">
      <c r="C19366" s="18"/>
      <c r="D19366" s="19"/>
      <c r="E19366" s="57"/>
      <c r="H19366" s="18"/>
    </row>
    <row r="19367">
      <c r="C19367" s="18"/>
      <c r="D19367" s="19"/>
      <c r="E19367" s="57"/>
      <c r="H19367" s="18"/>
    </row>
    <row r="19368">
      <c r="C19368" s="18"/>
      <c r="D19368" s="19"/>
      <c r="E19368" s="57"/>
      <c r="H19368" s="18"/>
    </row>
    <row r="19369">
      <c r="C19369" s="18"/>
      <c r="D19369" s="19"/>
      <c r="E19369" s="57"/>
      <c r="H19369" s="18"/>
    </row>
    <row r="19370">
      <c r="C19370" s="18"/>
      <c r="D19370" s="19"/>
      <c r="E19370" s="57"/>
      <c r="H19370" s="18"/>
    </row>
    <row r="19371">
      <c r="C19371" s="18"/>
      <c r="D19371" s="19"/>
      <c r="E19371" s="57"/>
      <c r="H19371" s="18"/>
    </row>
    <row r="19372">
      <c r="C19372" s="18"/>
      <c r="D19372" s="19"/>
      <c r="E19372" s="57"/>
      <c r="H19372" s="18"/>
    </row>
    <row r="19373">
      <c r="C19373" s="18"/>
      <c r="D19373" s="19"/>
      <c r="E19373" s="57"/>
      <c r="H19373" s="18"/>
    </row>
    <row r="19374">
      <c r="C19374" s="18"/>
      <c r="D19374" s="19"/>
      <c r="E19374" s="57"/>
      <c r="H19374" s="18"/>
    </row>
    <row r="19375">
      <c r="C19375" s="18"/>
      <c r="D19375" s="19"/>
      <c r="E19375" s="57"/>
      <c r="H19375" s="18"/>
    </row>
    <row r="19376">
      <c r="C19376" s="18"/>
      <c r="D19376" s="19"/>
      <c r="E19376" s="57"/>
      <c r="H19376" s="18"/>
    </row>
    <row r="19377">
      <c r="C19377" s="18"/>
      <c r="D19377" s="19"/>
      <c r="E19377" s="57"/>
      <c r="H19377" s="18"/>
    </row>
    <row r="19378">
      <c r="C19378" s="18"/>
      <c r="D19378" s="19"/>
      <c r="E19378" s="57"/>
      <c r="H19378" s="18"/>
    </row>
    <row r="19379">
      <c r="C19379" s="18"/>
      <c r="D19379" s="19"/>
      <c r="E19379" s="57"/>
      <c r="H19379" s="18"/>
    </row>
    <row r="19380">
      <c r="C19380" s="18"/>
      <c r="D19380" s="19"/>
      <c r="E19380" s="57"/>
      <c r="H19380" s="18"/>
    </row>
    <row r="19381">
      <c r="C19381" s="18"/>
      <c r="D19381" s="19"/>
      <c r="E19381" s="57"/>
      <c r="H19381" s="18"/>
    </row>
    <row r="19382">
      <c r="C19382" s="18"/>
      <c r="D19382" s="19"/>
      <c r="E19382" s="57"/>
      <c r="H19382" s="18"/>
    </row>
    <row r="19383">
      <c r="C19383" s="18"/>
      <c r="D19383" s="19"/>
      <c r="E19383" s="57"/>
      <c r="H19383" s="18"/>
    </row>
    <row r="19384">
      <c r="C19384" s="18"/>
      <c r="D19384" s="19"/>
      <c r="E19384" s="57"/>
      <c r="H19384" s="18"/>
    </row>
    <row r="19385">
      <c r="C19385" s="18"/>
      <c r="D19385" s="19"/>
      <c r="E19385" s="57"/>
      <c r="H19385" s="18"/>
    </row>
    <row r="19386">
      <c r="C19386" s="18"/>
      <c r="D19386" s="19"/>
      <c r="E19386" s="57"/>
      <c r="H19386" s="18"/>
    </row>
    <row r="19387">
      <c r="C19387" s="18"/>
      <c r="D19387" s="19"/>
      <c r="E19387" s="57"/>
      <c r="H19387" s="18"/>
    </row>
    <row r="19388">
      <c r="C19388" s="18"/>
      <c r="D19388" s="19"/>
      <c r="E19388" s="57"/>
      <c r="H19388" s="18"/>
    </row>
    <row r="19389">
      <c r="C19389" s="18"/>
      <c r="D19389" s="19"/>
      <c r="E19389" s="57"/>
      <c r="H19389" s="18"/>
    </row>
    <row r="19390">
      <c r="C19390" s="18"/>
      <c r="D19390" s="19"/>
      <c r="E19390" s="57"/>
      <c r="H19390" s="18"/>
    </row>
    <row r="19391">
      <c r="C19391" s="18"/>
      <c r="D19391" s="19"/>
      <c r="E19391" s="57"/>
      <c r="H19391" s="18"/>
    </row>
    <row r="19392">
      <c r="C19392" s="18"/>
      <c r="D19392" s="19"/>
      <c r="E19392" s="57"/>
      <c r="H19392" s="18"/>
    </row>
    <row r="19393">
      <c r="C19393" s="18"/>
      <c r="D19393" s="19"/>
      <c r="E19393" s="57"/>
      <c r="H19393" s="18"/>
    </row>
    <row r="19394">
      <c r="C19394" s="18"/>
      <c r="D19394" s="19"/>
      <c r="E19394" s="57"/>
      <c r="H19394" s="18"/>
    </row>
    <row r="19395">
      <c r="C19395" s="18"/>
      <c r="D19395" s="19"/>
      <c r="E19395" s="57"/>
      <c r="H19395" s="18"/>
    </row>
    <row r="19396">
      <c r="C19396" s="18"/>
      <c r="D19396" s="19"/>
      <c r="E19396" s="57"/>
      <c r="H19396" s="18"/>
    </row>
    <row r="19397">
      <c r="C19397" s="18"/>
      <c r="D19397" s="19"/>
      <c r="E19397" s="57"/>
      <c r="H19397" s="18"/>
    </row>
    <row r="19398">
      <c r="C19398" s="18"/>
      <c r="D19398" s="19"/>
      <c r="E19398" s="57"/>
      <c r="H19398" s="18"/>
    </row>
    <row r="19399">
      <c r="C19399" s="18"/>
      <c r="D19399" s="19"/>
      <c r="E19399" s="57"/>
      <c r="H19399" s="18"/>
    </row>
    <row r="19400">
      <c r="C19400" s="18"/>
      <c r="D19400" s="19"/>
      <c r="E19400" s="57"/>
      <c r="H19400" s="18"/>
    </row>
    <row r="19401">
      <c r="C19401" s="18"/>
      <c r="D19401" s="19"/>
      <c r="E19401" s="57"/>
      <c r="H19401" s="18"/>
    </row>
    <row r="19402">
      <c r="C19402" s="18"/>
      <c r="D19402" s="19"/>
      <c r="E19402" s="57"/>
      <c r="H19402" s="18"/>
    </row>
    <row r="19403">
      <c r="C19403" s="18"/>
      <c r="D19403" s="19"/>
      <c r="E19403" s="57"/>
      <c r="H19403" s="18"/>
    </row>
    <row r="19404">
      <c r="C19404" s="18"/>
      <c r="D19404" s="19"/>
      <c r="E19404" s="57"/>
      <c r="H19404" s="18"/>
    </row>
    <row r="19405">
      <c r="C19405" s="18"/>
      <c r="D19405" s="19"/>
      <c r="E19405" s="57"/>
      <c r="H19405" s="18"/>
    </row>
    <row r="19406">
      <c r="C19406" s="18"/>
      <c r="D19406" s="19"/>
      <c r="E19406" s="57"/>
      <c r="H19406" s="18"/>
    </row>
    <row r="19407">
      <c r="C19407" s="18"/>
      <c r="D19407" s="19"/>
      <c r="E19407" s="57"/>
      <c r="H19407" s="18"/>
    </row>
    <row r="19408">
      <c r="C19408" s="18"/>
      <c r="D19408" s="19"/>
      <c r="E19408" s="57"/>
      <c r="H19408" s="18"/>
    </row>
    <row r="19409">
      <c r="C19409" s="18"/>
      <c r="D19409" s="19"/>
      <c r="E19409" s="57"/>
      <c r="H19409" s="18"/>
    </row>
    <row r="19410">
      <c r="C19410" s="18"/>
      <c r="D19410" s="19"/>
      <c r="E19410" s="57"/>
      <c r="H19410" s="18"/>
    </row>
    <row r="19411">
      <c r="C19411" s="18"/>
      <c r="D19411" s="19"/>
      <c r="E19411" s="57"/>
      <c r="H19411" s="18"/>
    </row>
    <row r="19412">
      <c r="C19412" s="18"/>
      <c r="D19412" s="19"/>
      <c r="E19412" s="57"/>
      <c r="H19412" s="18"/>
    </row>
    <row r="19413">
      <c r="C19413" s="18"/>
      <c r="D19413" s="19"/>
      <c r="E19413" s="57"/>
      <c r="H19413" s="18"/>
    </row>
    <row r="19414">
      <c r="C19414" s="18"/>
      <c r="D19414" s="19"/>
      <c r="E19414" s="57"/>
      <c r="H19414" s="18"/>
    </row>
    <row r="19415">
      <c r="C19415" s="18"/>
      <c r="D19415" s="19"/>
      <c r="E19415" s="57"/>
      <c r="H19415" s="18"/>
    </row>
    <row r="19416">
      <c r="C19416" s="18"/>
      <c r="D19416" s="19"/>
      <c r="E19416" s="57"/>
      <c r="H19416" s="18"/>
    </row>
    <row r="19417">
      <c r="C19417" s="18"/>
      <c r="D19417" s="19"/>
      <c r="E19417" s="57"/>
      <c r="H19417" s="18"/>
    </row>
    <row r="19418">
      <c r="C19418" s="18"/>
      <c r="D19418" s="19"/>
      <c r="E19418" s="57"/>
      <c r="H19418" s="18"/>
    </row>
    <row r="19419">
      <c r="C19419" s="18"/>
      <c r="D19419" s="19"/>
      <c r="E19419" s="57"/>
      <c r="H19419" s="18"/>
    </row>
    <row r="19420">
      <c r="C19420" s="18"/>
      <c r="D19420" s="19"/>
      <c r="E19420" s="57"/>
      <c r="H19420" s="18"/>
    </row>
    <row r="19421">
      <c r="C19421" s="18"/>
      <c r="D19421" s="19"/>
      <c r="E19421" s="57"/>
      <c r="H19421" s="18"/>
    </row>
    <row r="19422">
      <c r="C19422" s="18"/>
      <c r="D19422" s="19"/>
      <c r="E19422" s="57"/>
      <c r="H19422" s="18"/>
    </row>
    <row r="19423">
      <c r="C19423" s="18"/>
      <c r="D19423" s="19"/>
      <c r="E19423" s="57"/>
      <c r="H19423" s="18"/>
    </row>
    <row r="19424">
      <c r="C19424" s="18"/>
      <c r="D19424" s="19"/>
      <c r="E19424" s="57"/>
      <c r="H19424" s="18"/>
    </row>
    <row r="19425">
      <c r="C19425" s="18"/>
      <c r="D19425" s="19"/>
      <c r="E19425" s="57"/>
      <c r="H19425" s="18"/>
    </row>
    <row r="19426">
      <c r="C19426" s="18"/>
      <c r="D19426" s="19"/>
      <c r="E19426" s="57"/>
      <c r="H19426" s="18"/>
    </row>
    <row r="19427">
      <c r="C19427" s="18"/>
      <c r="D19427" s="19"/>
      <c r="E19427" s="57"/>
      <c r="H19427" s="18"/>
    </row>
    <row r="19428">
      <c r="C19428" s="18"/>
      <c r="D19428" s="19"/>
      <c r="E19428" s="57"/>
      <c r="H19428" s="18"/>
    </row>
    <row r="19429">
      <c r="C19429" s="18"/>
      <c r="D19429" s="19"/>
      <c r="E19429" s="57"/>
      <c r="H19429" s="18"/>
    </row>
    <row r="19430">
      <c r="C19430" s="18"/>
      <c r="D19430" s="19"/>
      <c r="E19430" s="57"/>
      <c r="H19430" s="18"/>
    </row>
    <row r="19431">
      <c r="C19431" s="18"/>
      <c r="D19431" s="19"/>
      <c r="E19431" s="57"/>
      <c r="H19431" s="18"/>
    </row>
    <row r="19432">
      <c r="C19432" s="18"/>
      <c r="D19432" s="19"/>
      <c r="E19432" s="57"/>
      <c r="H19432" s="18"/>
    </row>
    <row r="19433">
      <c r="C19433" s="18"/>
      <c r="D19433" s="19"/>
      <c r="E19433" s="57"/>
      <c r="H19433" s="18"/>
    </row>
    <row r="19434">
      <c r="C19434" s="18"/>
      <c r="D19434" s="19"/>
      <c r="E19434" s="57"/>
      <c r="H19434" s="18"/>
    </row>
    <row r="19435">
      <c r="C19435" s="18"/>
      <c r="D19435" s="19"/>
      <c r="E19435" s="57"/>
      <c r="H19435" s="18"/>
    </row>
    <row r="19436">
      <c r="C19436" s="18"/>
      <c r="D19436" s="19"/>
      <c r="E19436" s="57"/>
      <c r="H19436" s="18"/>
    </row>
    <row r="19437">
      <c r="C19437" s="18"/>
      <c r="D19437" s="19"/>
      <c r="E19437" s="57"/>
      <c r="H19437" s="18"/>
    </row>
    <row r="19438">
      <c r="C19438" s="18"/>
      <c r="D19438" s="19"/>
      <c r="E19438" s="57"/>
      <c r="H19438" s="18"/>
    </row>
    <row r="19439">
      <c r="C19439" s="18"/>
      <c r="D19439" s="19"/>
      <c r="E19439" s="57"/>
      <c r="H19439" s="18"/>
    </row>
    <row r="19440">
      <c r="C19440" s="18"/>
      <c r="D19440" s="19"/>
      <c r="E19440" s="57"/>
      <c r="H19440" s="18"/>
    </row>
    <row r="19441">
      <c r="C19441" s="18"/>
      <c r="D19441" s="19"/>
      <c r="E19441" s="57"/>
      <c r="H19441" s="18"/>
    </row>
    <row r="19442">
      <c r="C19442" s="18"/>
      <c r="D19442" s="19"/>
      <c r="E19442" s="57"/>
      <c r="H19442" s="18"/>
    </row>
    <row r="19443">
      <c r="C19443" s="18"/>
      <c r="D19443" s="19"/>
      <c r="E19443" s="57"/>
      <c r="H19443" s="18"/>
    </row>
    <row r="19444">
      <c r="C19444" s="18"/>
      <c r="D19444" s="19"/>
      <c r="E19444" s="57"/>
      <c r="H19444" s="18"/>
    </row>
    <row r="19445">
      <c r="C19445" s="18"/>
      <c r="D19445" s="19"/>
      <c r="E19445" s="57"/>
      <c r="H19445" s="18"/>
    </row>
    <row r="19446">
      <c r="C19446" s="18"/>
      <c r="D19446" s="19"/>
      <c r="E19446" s="57"/>
      <c r="H19446" s="18"/>
    </row>
    <row r="19447">
      <c r="C19447" s="18"/>
      <c r="D19447" s="19"/>
      <c r="E19447" s="57"/>
      <c r="H19447" s="18"/>
    </row>
    <row r="19448">
      <c r="C19448" s="18"/>
      <c r="D19448" s="19"/>
      <c r="E19448" s="57"/>
      <c r="H19448" s="18"/>
    </row>
    <row r="19449">
      <c r="C19449" s="18"/>
      <c r="D19449" s="19"/>
      <c r="E19449" s="57"/>
      <c r="H19449" s="18"/>
    </row>
    <row r="19450">
      <c r="C19450" s="18"/>
      <c r="D19450" s="19"/>
      <c r="E19450" s="57"/>
      <c r="H19450" s="18"/>
    </row>
    <row r="19451">
      <c r="C19451" s="18"/>
      <c r="D19451" s="19"/>
      <c r="E19451" s="57"/>
      <c r="H19451" s="18"/>
    </row>
    <row r="19452">
      <c r="C19452" s="18"/>
      <c r="D19452" s="19"/>
      <c r="E19452" s="57"/>
      <c r="H19452" s="18"/>
    </row>
    <row r="19453">
      <c r="C19453" s="18"/>
      <c r="D19453" s="19"/>
      <c r="E19453" s="57"/>
      <c r="H19453" s="18"/>
    </row>
    <row r="19454">
      <c r="C19454" s="18"/>
      <c r="D19454" s="19"/>
      <c r="E19454" s="57"/>
      <c r="H19454" s="18"/>
    </row>
    <row r="19455">
      <c r="C19455" s="18"/>
      <c r="D19455" s="19"/>
      <c r="E19455" s="57"/>
      <c r="H19455" s="18"/>
    </row>
    <row r="19456">
      <c r="C19456" s="18"/>
      <c r="D19456" s="19"/>
      <c r="E19456" s="57"/>
      <c r="H19456" s="18"/>
    </row>
    <row r="19457">
      <c r="C19457" s="18"/>
      <c r="D19457" s="19"/>
      <c r="E19457" s="57"/>
      <c r="H19457" s="18"/>
    </row>
    <row r="19458">
      <c r="C19458" s="18"/>
      <c r="D19458" s="19"/>
      <c r="E19458" s="57"/>
      <c r="H19458" s="18"/>
    </row>
    <row r="19459">
      <c r="C19459" s="18"/>
      <c r="D19459" s="19"/>
      <c r="E19459" s="57"/>
      <c r="H19459" s="18"/>
    </row>
    <row r="19460">
      <c r="C19460" s="18"/>
      <c r="D19460" s="19"/>
      <c r="E19460" s="57"/>
      <c r="H19460" s="18"/>
    </row>
    <row r="19461">
      <c r="C19461" s="18"/>
      <c r="D19461" s="19"/>
      <c r="E19461" s="57"/>
      <c r="H19461" s="18"/>
    </row>
    <row r="19462">
      <c r="C19462" s="18"/>
      <c r="D19462" s="19"/>
      <c r="E19462" s="57"/>
      <c r="H19462" s="18"/>
    </row>
    <row r="19463">
      <c r="C19463" s="18"/>
      <c r="D19463" s="19"/>
      <c r="E19463" s="57"/>
      <c r="H19463" s="18"/>
    </row>
    <row r="19464">
      <c r="C19464" s="18"/>
      <c r="D19464" s="19"/>
      <c r="E19464" s="57"/>
      <c r="H19464" s="18"/>
    </row>
    <row r="19465">
      <c r="C19465" s="18"/>
      <c r="D19465" s="19"/>
      <c r="E19465" s="57"/>
      <c r="H19465" s="18"/>
    </row>
    <row r="19466">
      <c r="C19466" s="18"/>
      <c r="D19466" s="19"/>
      <c r="E19466" s="57"/>
      <c r="H19466" s="18"/>
    </row>
    <row r="19467">
      <c r="C19467" s="18"/>
      <c r="D19467" s="19"/>
      <c r="E19467" s="57"/>
      <c r="H19467" s="18"/>
    </row>
    <row r="19468">
      <c r="C19468" s="18"/>
      <c r="D19468" s="19"/>
      <c r="E19468" s="57"/>
      <c r="H19468" s="18"/>
    </row>
    <row r="19469">
      <c r="C19469" s="18"/>
      <c r="D19469" s="19"/>
      <c r="E19469" s="57"/>
      <c r="H19469" s="18"/>
    </row>
    <row r="19470">
      <c r="C19470" s="18"/>
      <c r="D19470" s="19"/>
      <c r="E19470" s="57"/>
      <c r="H19470" s="18"/>
    </row>
    <row r="19471">
      <c r="C19471" s="18"/>
      <c r="D19471" s="19"/>
      <c r="E19471" s="57"/>
      <c r="H19471" s="18"/>
    </row>
    <row r="19472">
      <c r="C19472" s="18"/>
      <c r="D19472" s="19"/>
      <c r="E19472" s="57"/>
      <c r="H19472" s="18"/>
    </row>
    <row r="19473">
      <c r="C19473" s="18"/>
      <c r="D19473" s="19"/>
      <c r="E19473" s="57"/>
      <c r="H19473" s="18"/>
    </row>
    <row r="19474">
      <c r="C19474" s="18"/>
      <c r="D19474" s="19"/>
      <c r="E19474" s="57"/>
      <c r="H19474" s="18"/>
    </row>
    <row r="19475">
      <c r="C19475" s="18"/>
      <c r="D19475" s="19"/>
      <c r="E19475" s="57"/>
      <c r="H19475" s="18"/>
    </row>
    <row r="19476">
      <c r="C19476" s="18"/>
      <c r="D19476" s="19"/>
      <c r="E19476" s="57"/>
      <c r="H19476" s="18"/>
    </row>
    <row r="19477">
      <c r="C19477" s="18"/>
      <c r="D19477" s="19"/>
      <c r="E19477" s="57"/>
      <c r="H19477" s="18"/>
    </row>
    <row r="19478">
      <c r="C19478" s="18"/>
      <c r="D19478" s="19"/>
      <c r="E19478" s="57"/>
      <c r="H19478" s="18"/>
    </row>
    <row r="19479">
      <c r="C19479" s="18"/>
      <c r="D19479" s="19"/>
      <c r="E19479" s="57"/>
      <c r="H19479" s="18"/>
    </row>
    <row r="19480">
      <c r="C19480" s="18"/>
      <c r="D19480" s="19"/>
      <c r="E19480" s="57"/>
      <c r="H19480" s="18"/>
    </row>
    <row r="19481">
      <c r="C19481" s="18"/>
      <c r="D19481" s="19"/>
      <c r="E19481" s="57"/>
      <c r="H19481" s="18"/>
    </row>
    <row r="19482">
      <c r="C19482" s="18"/>
      <c r="D19482" s="19"/>
      <c r="E19482" s="57"/>
      <c r="H19482" s="18"/>
    </row>
    <row r="19483">
      <c r="C19483" s="18"/>
      <c r="D19483" s="19"/>
      <c r="E19483" s="57"/>
      <c r="H19483" s="18"/>
    </row>
    <row r="19484">
      <c r="C19484" s="18"/>
      <c r="D19484" s="19"/>
      <c r="E19484" s="57"/>
      <c r="H19484" s="18"/>
    </row>
    <row r="19485">
      <c r="C19485" s="18"/>
      <c r="D19485" s="19"/>
      <c r="E19485" s="57"/>
      <c r="H19485" s="18"/>
    </row>
    <row r="19486">
      <c r="C19486" s="18"/>
      <c r="D19486" s="19"/>
      <c r="E19486" s="57"/>
      <c r="H19486" s="18"/>
    </row>
    <row r="19487">
      <c r="C19487" s="18"/>
      <c r="D19487" s="19"/>
      <c r="E19487" s="57"/>
      <c r="H19487" s="18"/>
    </row>
    <row r="19488">
      <c r="C19488" s="18"/>
      <c r="D19488" s="19"/>
      <c r="E19488" s="57"/>
      <c r="H19488" s="18"/>
    </row>
    <row r="19489">
      <c r="C19489" s="18"/>
      <c r="D19489" s="19"/>
      <c r="E19489" s="57"/>
      <c r="H19489" s="18"/>
    </row>
    <row r="19490">
      <c r="C19490" s="18"/>
      <c r="D19490" s="19"/>
      <c r="E19490" s="57"/>
      <c r="H19490" s="18"/>
    </row>
    <row r="19491">
      <c r="C19491" s="18"/>
      <c r="D19491" s="19"/>
      <c r="E19491" s="57"/>
      <c r="H19491" s="18"/>
    </row>
    <row r="19492">
      <c r="C19492" s="18"/>
      <c r="D19492" s="19"/>
      <c r="E19492" s="57"/>
      <c r="H19492" s="18"/>
    </row>
    <row r="19493">
      <c r="C19493" s="18"/>
      <c r="D19493" s="19"/>
      <c r="E19493" s="57"/>
      <c r="H19493" s="18"/>
    </row>
    <row r="19494">
      <c r="C19494" s="18"/>
      <c r="D19494" s="19"/>
      <c r="E19494" s="57"/>
      <c r="H19494" s="18"/>
    </row>
    <row r="19495">
      <c r="C19495" s="18"/>
      <c r="D19495" s="19"/>
      <c r="E19495" s="57"/>
      <c r="H19495" s="18"/>
    </row>
    <row r="19496">
      <c r="C19496" s="18"/>
      <c r="D19496" s="19"/>
      <c r="E19496" s="57"/>
      <c r="H19496" s="18"/>
    </row>
    <row r="19497">
      <c r="C19497" s="18"/>
      <c r="D19497" s="19"/>
      <c r="E19497" s="57"/>
      <c r="H19497" s="18"/>
    </row>
    <row r="19498">
      <c r="C19498" s="18"/>
      <c r="D19498" s="19"/>
      <c r="E19498" s="57"/>
      <c r="H19498" s="18"/>
    </row>
    <row r="19499">
      <c r="C19499" s="18"/>
      <c r="D19499" s="19"/>
      <c r="E19499" s="57"/>
      <c r="H19499" s="18"/>
    </row>
    <row r="19500">
      <c r="C19500" s="18"/>
      <c r="D19500" s="19"/>
      <c r="E19500" s="57"/>
      <c r="H19500" s="18"/>
    </row>
    <row r="19501">
      <c r="C19501" s="18"/>
      <c r="D19501" s="19"/>
      <c r="E19501" s="57"/>
      <c r="H19501" s="18"/>
    </row>
    <row r="19502">
      <c r="C19502" s="18"/>
      <c r="D19502" s="19"/>
      <c r="E19502" s="57"/>
      <c r="H19502" s="18"/>
    </row>
    <row r="19503">
      <c r="C19503" s="18"/>
      <c r="D19503" s="19"/>
      <c r="E19503" s="57"/>
      <c r="H19503" s="18"/>
    </row>
    <row r="19504">
      <c r="C19504" s="18"/>
      <c r="D19504" s="19"/>
      <c r="E19504" s="57"/>
      <c r="H19504" s="18"/>
    </row>
    <row r="19505">
      <c r="C19505" s="18"/>
      <c r="D19505" s="19"/>
      <c r="E19505" s="57"/>
      <c r="H19505" s="18"/>
    </row>
    <row r="19506">
      <c r="C19506" s="18"/>
      <c r="D19506" s="19"/>
      <c r="E19506" s="57"/>
      <c r="H19506" s="18"/>
    </row>
    <row r="19507">
      <c r="C19507" s="18"/>
      <c r="D19507" s="19"/>
      <c r="E19507" s="57"/>
      <c r="H19507" s="18"/>
    </row>
    <row r="19508">
      <c r="C19508" s="18"/>
      <c r="D19508" s="19"/>
      <c r="E19508" s="57"/>
      <c r="H19508" s="18"/>
    </row>
    <row r="19509">
      <c r="C19509" s="18"/>
      <c r="D19509" s="19"/>
      <c r="E19509" s="57"/>
      <c r="H19509" s="18"/>
    </row>
    <row r="19510">
      <c r="C19510" s="18"/>
      <c r="D19510" s="19"/>
      <c r="E19510" s="57"/>
      <c r="H19510" s="18"/>
    </row>
    <row r="19511">
      <c r="C19511" s="18"/>
      <c r="D19511" s="19"/>
      <c r="E19511" s="57"/>
      <c r="H19511" s="18"/>
    </row>
    <row r="19512">
      <c r="C19512" s="18"/>
      <c r="D19512" s="19"/>
      <c r="E19512" s="57"/>
      <c r="H19512" s="18"/>
    </row>
    <row r="19513">
      <c r="C19513" s="18"/>
      <c r="D19513" s="19"/>
      <c r="E19513" s="57"/>
      <c r="H19513" s="18"/>
    </row>
    <row r="19514">
      <c r="C19514" s="18"/>
      <c r="D19514" s="19"/>
      <c r="E19514" s="57"/>
      <c r="H19514" s="18"/>
    </row>
    <row r="19515">
      <c r="C19515" s="18"/>
      <c r="D19515" s="19"/>
      <c r="E19515" s="57"/>
      <c r="H19515" s="18"/>
    </row>
    <row r="19516">
      <c r="C19516" s="18"/>
      <c r="D19516" s="19"/>
      <c r="E19516" s="57"/>
      <c r="H19516" s="18"/>
    </row>
    <row r="19517">
      <c r="C19517" s="18"/>
      <c r="D19517" s="19"/>
      <c r="E19517" s="57"/>
      <c r="H19517" s="18"/>
    </row>
    <row r="19518">
      <c r="C19518" s="18"/>
      <c r="D19518" s="19"/>
      <c r="E19518" s="57"/>
      <c r="H19518" s="18"/>
    </row>
    <row r="19519">
      <c r="C19519" s="18"/>
      <c r="D19519" s="19"/>
      <c r="E19519" s="57"/>
      <c r="H19519" s="18"/>
    </row>
    <row r="19520">
      <c r="C19520" s="18"/>
      <c r="D19520" s="19"/>
      <c r="E19520" s="57"/>
      <c r="H19520" s="18"/>
    </row>
    <row r="19521">
      <c r="C19521" s="18"/>
      <c r="D19521" s="19"/>
      <c r="E19521" s="57"/>
      <c r="H19521" s="18"/>
    </row>
    <row r="19522">
      <c r="C19522" s="18"/>
      <c r="D19522" s="19"/>
      <c r="E19522" s="57"/>
      <c r="H19522" s="18"/>
    </row>
    <row r="19523">
      <c r="C19523" s="18"/>
      <c r="D19523" s="19"/>
      <c r="E19523" s="57"/>
      <c r="H19523" s="18"/>
    </row>
    <row r="19524">
      <c r="C19524" s="18"/>
      <c r="D19524" s="19"/>
      <c r="E19524" s="57"/>
      <c r="H19524" s="18"/>
    </row>
    <row r="19525">
      <c r="C19525" s="18"/>
      <c r="D19525" s="19"/>
      <c r="E19525" s="57"/>
      <c r="H19525" s="18"/>
    </row>
    <row r="19526">
      <c r="C19526" s="18"/>
      <c r="D19526" s="19"/>
      <c r="E19526" s="57"/>
      <c r="H19526" s="18"/>
    </row>
    <row r="19527">
      <c r="C19527" s="18"/>
      <c r="D19527" s="19"/>
      <c r="E19527" s="57"/>
      <c r="H19527" s="18"/>
    </row>
    <row r="19528">
      <c r="C19528" s="18"/>
      <c r="D19528" s="19"/>
      <c r="E19528" s="57"/>
      <c r="H19528" s="18"/>
    </row>
    <row r="19529">
      <c r="C19529" s="18"/>
      <c r="D19529" s="19"/>
      <c r="E19529" s="57"/>
      <c r="H19529" s="18"/>
    </row>
    <row r="19530">
      <c r="C19530" s="18"/>
      <c r="D19530" s="19"/>
      <c r="E19530" s="57"/>
      <c r="H19530" s="18"/>
    </row>
    <row r="19531">
      <c r="C19531" s="18"/>
      <c r="D19531" s="19"/>
      <c r="E19531" s="57"/>
      <c r="H19531" s="18"/>
    </row>
    <row r="19532">
      <c r="C19532" s="18"/>
      <c r="D19532" s="19"/>
      <c r="E19532" s="57"/>
      <c r="H19532" s="18"/>
    </row>
    <row r="19533">
      <c r="C19533" s="18"/>
      <c r="D19533" s="19"/>
      <c r="E19533" s="57"/>
      <c r="H19533" s="18"/>
    </row>
    <row r="19534">
      <c r="C19534" s="18"/>
      <c r="D19534" s="19"/>
      <c r="E19534" s="57"/>
      <c r="H19534" s="18"/>
    </row>
    <row r="19535">
      <c r="C19535" s="18"/>
      <c r="D19535" s="19"/>
      <c r="E19535" s="57"/>
      <c r="H19535" s="18"/>
    </row>
    <row r="19536">
      <c r="C19536" s="18"/>
      <c r="D19536" s="19"/>
      <c r="E19536" s="57"/>
      <c r="H19536" s="18"/>
    </row>
    <row r="19537">
      <c r="C19537" s="18"/>
      <c r="D19537" s="19"/>
      <c r="E19537" s="57"/>
      <c r="H19537" s="18"/>
    </row>
    <row r="19538">
      <c r="C19538" s="18"/>
      <c r="D19538" s="19"/>
      <c r="E19538" s="57"/>
      <c r="H19538" s="18"/>
    </row>
    <row r="19539">
      <c r="C19539" s="18"/>
      <c r="D19539" s="19"/>
      <c r="E19539" s="57"/>
      <c r="H19539" s="18"/>
    </row>
    <row r="19540">
      <c r="C19540" s="18"/>
      <c r="D19540" s="19"/>
      <c r="E19540" s="57"/>
      <c r="H19540" s="18"/>
    </row>
    <row r="19541">
      <c r="C19541" s="18"/>
      <c r="D19541" s="19"/>
      <c r="E19541" s="57"/>
      <c r="H19541" s="18"/>
    </row>
    <row r="19542">
      <c r="C19542" s="18"/>
      <c r="D19542" s="19"/>
      <c r="E19542" s="57"/>
      <c r="H19542" s="18"/>
    </row>
    <row r="19543">
      <c r="C19543" s="18"/>
      <c r="D19543" s="19"/>
      <c r="E19543" s="57"/>
      <c r="H19543" s="18"/>
    </row>
    <row r="19544">
      <c r="C19544" s="18"/>
      <c r="D19544" s="19"/>
      <c r="E19544" s="57"/>
      <c r="H19544" s="18"/>
    </row>
    <row r="19545">
      <c r="C19545" s="18"/>
      <c r="D19545" s="19"/>
      <c r="E19545" s="57"/>
      <c r="H19545" s="18"/>
    </row>
    <row r="19546">
      <c r="C19546" s="18"/>
      <c r="D19546" s="19"/>
      <c r="E19546" s="57"/>
      <c r="H19546" s="18"/>
    </row>
    <row r="19547">
      <c r="C19547" s="18"/>
      <c r="D19547" s="19"/>
      <c r="E19547" s="57"/>
      <c r="H19547" s="18"/>
    </row>
    <row r="19548">
      <c r="C19548" s="18"/>
      <c r="D19548" s="19"/>
      <c r="E19548" s="57"/>
      <c r="H19548" s="18"/>
    </row>
    <row r="19549">
      <c r="C19549" s="18"/>
      <c r="D19549" s="19"/>
      <c r="E19549" s="57"/>
      <c r="H19549" s="18"/>
    </row>
    <row r="19550">
      <c r="C19550" s="18"/>
      <c r="D19550" s="19"/>
      <c r="E19550" s="57"/>
      <c r="H19550" s="18"/>
    </row>
    <row r="19551">
      <c r="C19551" s="18"/>
      <c r="D19551" s="19"/>
      <c r="E19551" s="57"/>
      <c r="H19551" s="18"/>
    </row>
    <row r="19552">
      <c r="C19552" s="18"/>
      <c r="D19552" s="19"/>
      <c r="E19552" s="57"/>
      <c r="H19552" s="18"/>
    </row>
    <row r="19553">
      <c r="C19553" s="18"/>
      <c r="D19553" s="19"/>
      <c r="E19553" s="57"/>
      <c r="H19553" s="18"/>
    </row>
    <row r="19554">
      <c r="C19554" s="18"/>
      <c r="D19554" s="19"/>
      <c r="E19554" s="57"/>
      <c r="H19554" s="18"/>
    </row>
    <row r="19555">
      <c r="C19555" s="18"/>
      <c r="D19555" s="19"/>
      <c r="E19555" s="57"/>
      <c r="H19555" s="18"/>
    </row>
    <row r="19556">
      <c r="C19556" s="18"/>
      <c r="D19556" s="19"/>
      <c r="E19556" s="57"/>
      <c r="H19556" s="18"/>
    </row>
    <row r="19557">
      <c r="C19557" s="18"/>
      <c r="D19557" s="19"/>
      <c r="E19557" s="57"/>
      <c r="H19557" s="18"/>
    </row>
    <row r="19558">
      <c r="C19558" s="18"/>
      <c r="D19558" s="19"/>
      <c r="E19558" s="57"/>
      <c r="H19558" s="18"/>
    </row>
    <row r="19559">
      <c r="C19559" s="18"/>
      <c r="D19559" s="19"/>
      <c r="E19559" s="57"/>
      <c r="H19559" s="18"/>
    </row>
    <row r="19560">
      <c r="C19560" s="18"/>
      <c r="D19560" s="19"/>
      <c r="E19560" s="57"/>
      <c r="H19560" s="18"/>
    </row>
    <row r="19561">
      <c r="C19561" s="18"/>
      <c r="D19561" s="19"/>
      <c r="E19561" s="57"/>
      <c r="H19561" s="18"/>
    </row>
    <row r="19562">
      <c r="C19562" s="18"/>
      <c r="D19562" s="19"/>
      <c r="E19562" s="57"/>
      <c r="H19562" s="18"/>
    </row>
    <row r="19563">
      <c r="C19563" s="18"/>
      <c r="D19563" s="19"/>
      <c r="E19563" s="57"/>
      <c r="H19563" s="18"/>
    </row>
    <row r="19564">
      <c r="C19564" s="18"/>
      <c r="D19564" s="19"/>
      <c r="E19564" s="57"/>
      <c r="H19564" s="18"/>
    </row>
    <row r="19565">
      <c r="C19565" s="18"/>
      <c r="D19565" s="19"/>
      <c r="E19565" s="57"/>
      <c r="H19565" s="18"/>
    </row>
    <row r="19566">
      <c r="C19566" s="18"/>
      <c r="D19566" s="19"/>
      <c r="E19566" s="57"/>
      <c r="H19566" s="18"/>
    </row>
    <row r="19567">
      <c r="C19567" s="18"/>
      <c r="D19567" s="19"/>
      <c r="E19567" s="57"/>
      <c r="H19567" s="18"/>
    </row>
    <row r="19568">
      <c r="C19568" s="18"/>
      <c r="D19568" s="19"/>
      <c r="E19568" s="57"/>
      <c r="H19568" s="18"/>
    </row>
    <row r="19569">
      <c r="C19569" s="18"/>
      <c r="D19569" s="19"/>
      <c r="E19569" s="57"/>
      <c r="H19569" s="18"/>
    </row>
    <row r="19570">
      <c r="C19570" s="18"/>
      <c r="D19570" s="19"/>
      <c r="E19570" s="57"/>
      <c r="H19570" s="18"/>
    </row>
    <row r="19571">
      <c r="C19571" s="18"/>
      <c r="D19571" s="19"/>
      <c r="E19571" s="57"/>
      <c r="H19571" s="18"/>
    </row>
    <row r="19572">
      <c r="C19572" s="18"/>
      <c r="D19572" s="19"/>
      <c r="E19572" s="57"/>
      <c r="H19572" s="18"/>
    </row>
    <row r="19573">
      <c r="C19573" s="18"/>
      <c r="D19573" s="19"/>
      <c r="E19573" s="57"/>
      <c r="H19573" s="18"/>
    </row>
    <row r="19574">
      <c r="C19574" s="18"/>
      <c r="D19574" s="19"/>
      <c r="E19574" s="57"/>
      <c r="H19574" s="18"/>
    </row>
    <row r="19575">
      <c r="C19575" s="18"/>
      <c r="D19575" s="19"/>
      <c r="E19575" s="57"/>
      <c r="H19575" s="18"/>
    </row>
    <row r="19576">
      <c r="C19576" s="18"/>
      <c r="D19576" s="19"/>
      <c r="E19576" s="57"/>
      <c r="H19576" s="18"/>
    </row>
    <row r="19577">
      <c r="C19577" s="18"/>
      <c r="D19577" s="19"/>
      <c r="E19577" s="57"/>
      <c r="H19577" s="18"/>
    </row>
    <row r="19578">
      <c r="C19578" s="18"/>
      <c r="D19578" s="19"/>
      <c r="E19578" s="57"/>
      <c r="H19578" s="18"/>
    </row>
    <row r="19579">
      <c r="C19579" s="18"/>
      <c r="D19579" s="19"/>
      <c r="E19579" s="57"/>
      <c r="H19579" s="18"/>
    </row>
    <row r="19580">
      <c r="C19580" s="18"/>
      <c r="D19580" s="19"/>
      <c r="E19580" s="57"/>
      <c r="H19580" s="18"/>
    </row>
    <row r="19581">
      <c r="C19581" s="18"/>
      <c r="D19581" s="19"/>
      <c r="E19581" s="57"/>
      <c r="H19581" s="18"/>
    </row>
    <row r="19582">
      <c r="C19582" s="18"/>
      <c r="D19582" s="19"/>
      <c r="E19582" s="57"/>
      <c r="H19582" s="18"/>
    </row>
    <row r="19583">
      <c r="C19583" s="18"/>
      <c r="D19583" s="19"/>
      <c r="E19583" s="57"/>
      <c r="H19583" s="18"/>
    </row>
    <row r="19584">
      <c r="C19584" s="18"/>
      <c r="D19584" s="19"/>
      <c r="E19584" s="57"/>
      <c r="H19584" s="18"/>
    </row>
    <row r="19585">
      <c r="C19585" s="18"/>
      <c r="D19585" s="19"/>
      <c r="E19585" s="57"/>
      <c r="H19585" s="18"/>
    </row>
    <row r="19586">
      <c r="C19586" s="18"/>
      <c r="D19586" s="19"/>
      <c r="E19586" s="57"/>
      <c r="H19586" s="18"/>
    </row>
    <row r="19587">
      <c r="C19587" s="18"/>
      <c r="D19587" s="19"/>
      <c r="E19587" s="57"/>
      <c r="H19587" s="18"/>
    </row>
    <row r="19588">
      <c r="C19588" s="18"/>
      <c r="D19588" s="19"/>
      <c r="E19588" s="57"/>
      <c r="H19588" s="18"/>
    </row>
    <row r="19589">
      <c r="C19589" s="18"/>
      <c r="D19589" s="19"/>
      <c r="E19589" s="57"/>
      <c r="H19589" s="18"/>
    </row>
    <row r="19590">
      <c r="C19590" s="18"/>
      <c r="D19590" s="19"/>
      <c r="E19590" s="57"/>
      <c r="H19590" s="18"/>
    </row>
    <row r="19591">
      <c r="C19591" s="18"/>
      <c r="D19591" s="19"/>
      <c r="E19591" s="57"/>
      <c r="H19591" s="18"/>
    </row>
    <row r="19592">
      <c r="C19592" s="18"/>
      <c r="D19592" s="19"/>
      <c r="E19592" s="57"/>
      <c r="H19592" s="18"/>
    </row>
    <row r="19593">
      <c r="C19593" s="18"/>
      <c r="D19593" s="19"/>
      <c r="E19593" s="57"/>
      <c r="H19593" s="18"/>
    </row>
    <row r="19594">
      <c r="C19594" s="18"/>
      <c r="D19594" s="19"/>
      <c r="E19594" s="57"/>
      <c r="H19594" s="18"/>
    </row>
    <row r="19595">
      <c r="C19595" s="18"/>
      <c r="D19595" s="19"/>
      <c r="E19595" s="57"/>
      <c r="H19595" s="18"/>
    </row>
    <row r="19596">
      <c r="C19596" s="18"/>
      <c r="D19596" s="19"/>
      <c r="E19596" s="57"/>
      <c r="H19596" s="18"/>
    </row>
    <row r="19597">
      <c r="C19597" s="18"/>
      <c r="D19597" s="19"/>
      <c r="E19597" s="57"/>
      <c r="H19597" s="18"/>
    </row>
    <row r="19598">
      <c r="C19598" s="18"/>
      <c r="D19598" s="19"/>
      <c r="E19598" s="57"/>
      <c r="H19598" s="18"/>
    </row>
    <row r="19599">
      <c r="C19599" s="18"/>
      <c r="D19599" s="19"/>
      <c r="E19599" s="57"/>
      <c r="H19599" s="18"/>
    </row>
    <row r="19600">
      <c r="C19600" s="18"/>
      <c r="D19600" s="19"/>
      <c r="E19600" s="57"/>
      <c r="H19600" s="18"/>
    </row>
    <row r="19601">
      <c r="C19601" s="18"/>
      <c r="D19601" s="19"/>
      <c r="E19601" s="57"/>
      <c r="H19601" s="18"/>
    </row>
    <row r="19602">
      <c r="C19602" s="18"/>
      <c r="D19602" s="19"/>
      <c r="E19602" s="57"/>
      <c r="H19602" s="18"/>
    </row>
    <row r="19603">
      <c r="C19603" s="18"/>
      <c r="D19603" s="19"/>
      <c r="E19603" s="57"/>
      <c r="H19603" s="18"/>
    </row>
    <row r="19604">
      <c r="C19604" s="18"/>
      <c r="D19604" s="19"/>
      <c r="E19604" s="57"/>
      <c r="H19604" s="18"/>
    </row>
    <row r="19605">
      <c r="C19605" s="18"/>
      <c r="D19605" s="19"/>
      <c r="E19605" s="57"/>
      <c r="H19605" s="18"/>
    </row>
    <row r="19606">
      <c r="C19606" s="18"/>
      <c r="D19606" s="19"/>
      <c r="E19606" s="57"/>
      <c r="H19606" s="18"/>
    </row>
    <row r="19607">
      <c r="C19607" s="18"/>
      <c r="D19607" s="19"/>
      <c r="E19607" s="57"/>
      <c r="H19607" s="18"/>
    </row>
    <row r="19608">
      <c r="C19608" s="18"/>
      <c r="D19608" s="19"/>
      <c r="E19608" s="57"/>
      <c r="H19608" s="18"/>
    </row>
    <row r="19609">
      <c r="C19609" s="18"/>
      <c r="D19609" s="19"/>
      <c r="E19609" s="57"/>
      <c r="H19609" s="18"/>
    </row>
    <row r="19610">
      <c r="C19610" s="18"/>
      <c r="D19610" s="19"/>
      <c r="E19610" s="57"/>
      <c r="H19610" s="18"/>
    </row>
    <row r="19611">
      <c r="C19611" s="18"/>
      <c r="D19611" s="19"/>
      <c r="E19611" s="57"/>
      <c r="H19611" s="18"/>
    </row>
    <row r="19612">
      <c r="C19612" s="18"/>
      <c r="D19612" s="19"/>
      <c r="E19612" s="57"/>
      <c r="H19612" s="18"/>
    </row>
    <row r="19613">
      <c r="C19613" s="18"/>
      <c r="D19613" s="19"/>
      <c r="E19613" s="57"/>
      <c r="H19613" s="18"/>
    </row>
    <row r="19614">
      <c r="C19614" s="18"/>
      <c r="D19614" s="19"/>
      <c r="E19614" s="57"/>
      <c r="H19614" s="18"/>
    </row>
    <row r="19615">
      <c r="C19615" s="18"/>
      <c r="D19615" s="19"/>
      <c r="E19615" s="57"/>
      <c r="H19615" s="18"/>
    </row>
    <row r="19616">
      <c r="C19616" s="18"/>
      <c r="D19616" s="19"/>
      <c r="E19616" s="57"/>
      <c r="H19616" s="18"/>
    </row>
    <row r="19617">
      <c r="C19617" s="18"/>
      <c r="D19617" s="19"/>
      <c r="E19617" s="57"/>
      <c r="H19617" s="18"/>
    </row>
    <row r="19618">
      <c r="C19618" s="18"/>
      <c r="D19618" s="19"/>
      <c r="E19618" s="57"/>
      <c r="H19618" s="18"/>
    </row>
    <row r="19619">
      <c r="C19619" s="18"/>
      <c r="D19619" s="19"/>
      <c r="E19619" s="57"/>
      <c r="H19619" s="18"/>
    </row>
    <row r="19620">
      <c r="C19620" s="18"/>
      <c r="D19620" s="19"/>
      <c r="E19620" s="57"/>
      <c r="H19620" s="18"/>
    </row>
    <row r="19621">
      <c r="C19621" s="18"/>
      <c r="D19621" s="19"/>
      <c r="E19621" s="57"/>
      <c r="H19621" s="18"/>
    </row>
    <row r="19622">
      <c r="C19622" s="18"/>
      <c r="D19622" s="19"/>
      <c r="E19622" s="57"/>
      <c r="H19622" s="18"/>
    </row>
    <row r="19623">
      <c r="C19623" s="18"/>
      <c r="D19623" s="19"/>
      <c r="E19623" s="57"/>
      <c r="H19623" s="18"/>
    </row>
    <row r="19624">
      <c r="C19624" s="18"/>
      <c r="D19624" s="19"/>
      <c r="E19624" s="57"/>
      <c r="H19624" s="18"/>
    </row>
    <row r="19625">
      <c r="C19625" s="18"/>
      <c r="D19625" s="19"/>
      <c r="E19625" s="57"/>
      <c r="H19625" s="18"/>
    </row>
    <row r="19626">
      <c r="C19626" s="18"/>
      <c r="D19626" s="19"/>
      <c r="E19626" s="57"/>
      <c r="H19626" s="18"/>
    </row>
    <row r="19627">
      <c r="C19627" s="18"/>
      <c r="D19627" s="19"/>
      <c r="E19627" s="57"/>
      <c r="H19627" s="18"/>
    </row>
    <row r="19628">
      <c r="C19628" s="18"/>
      <c r="D19628" s="19"/>
      <c r="E19628" s="57"/>
      <c r="H19628" s="18"/>
    </row>
    <row r="19629">
      <c r="C19629" s="18"/>
      <c r="D19629" s="19"/>
      <c r="E19629" s="57"/>
      <c r="H19629" s="18"/>
    </row>
    <row r="19630">
      <c r="C19630" s="18"/>
      <c r="D19630" s="19"/>
      <c r="E19630" s="57"/>
      <c r="H19630" s="18"/>
    </row>
    <row r="19631">
      <c r="C19631" s="18"/>
      <c r="D19631" s="19"/>
      <c r="E19631" s="57"/>
      <c r="H19631" s="18"/>
    </row>
    <row r="19632">
      <c r="C19632" s="18"/>
      <c r="D19632" s="19"/>
      <c r="E19632" s="57"/>
      <c r="H19632" s="18"/>
    </row>
    <row r="19633">
      <c r="C19633" s="18"/>
      <c r="D19633" s="19"/>
      <c r="E19633" s="57"/>
      <c r="H19633" s="18"/>
    </row>
    <row r="19634">
      <c r="C19634" s="18"/>
      <c r="D19634" s="19"/>
      <c r="E19634" s="57"/>
      <c r="H19634" s="18"/>
    </row>
    <row r="19635">
      <c r="C19635" s="18"/>
      <c r="D19635" s="19"/>
      <c r="E19635" s="57"/>
      <c r="H19635" s="18"/>
    </row>
    <row r="19636">
      <c r="C19636" s="18"/>
      <c r="D19636" s="19"/>
      <c r="E19636" s="57"/>
      <c r="H19636" s="18"/>
    </row>
    <row r="19637">
      <c r="C19637" s="18"/>
      <c r="D19637" s="19"/>
      <c r="E19637" s="57"/>
      <c r="H19637" s="18"/>
    </row>
    <row r="19638">
      <c r="C19638" s="18"/>
      <c r="D19638" s="19"/>
      <c r="E19638" s="57"/>
      <c r="H19638" s="18"/>
    </row>
    <row r="19639">
      <c r="C19639" s="18"/>
      <c r="D19639" s="19"/>
      <c r="E19639" s="57"/>
      <c r="H19639" s="18"/>
    </row>
    <row r="19640">
      <c r="C19640" s="18"/>
      <c r="D19640" s="19"/>
      <c r="E19640" s="57"/>
      <c r="H19640" s="18"/>
    </row>
    <row r="19641">
      <c r="C19641" s="18"/>
      <c r="D19641" s="19"/>
      <c r="E19641" s="57"/>
      <c r="H19641" s="18"/>
    </row>
    <row r="19642">
      <c r="C19642" s="18"/>
      <c r="D19642" s="19"/>
      <c r="E19642" s="57"/>
      <c r="H19642" s="18"/>
    </row>
    <row r="19643">
      <c r="C19643" s="18"/>
      <c r="D19643" s="19"/>
      <c r="E19643" s="57"/>
      <c r="H19643" s="18"/>
    </row>
    <row r="19644">
      <c r="C19644" s="18"/>
      <c r="D19644" s="19"/>
      <c r="E19644" s="57"/>
      <c r="H19644" s="18"/>
    </row>
    <row r="19645">
      <c r="C19645" s="18"/>
      <c r="D19645" s="19"/>
      <c r="E19645" s="57"/>
      <c r="H19645" s="18"/>
    </row>
    <row r="19646">
      <c r="C19646" s="18"/>
      <c r="D19646" s="19"/>
      <c r="E19646" s="57"/>
      <c r="H19646" s="18"/>
    </row>
    <row r="19647">
      <c r="C19647" s="18"/>
      <c r="D19647" s="19"/>
      <c r="E19647" s="57"/>
      <c r="H19647" s="18"/>
    </row>
    <row r="19648">
      <c r="C19648" s="18"/>
      <c r="D19648" s="19"/>
      <c r="E19648" s="57"/>
      <c r="H19648" s="18"/>
    </row>
    <row r="19649">
      <c r="C19649" s="18"/>
      <c r="D19649" s="19"/>
      <c r="E19649" s="57"/>
      <c r="H19649" s="18"/>
    </row>
    <row r="19650">
      <c r="C19650" s="18"/>
      <c r="D19650" s="19"/>
      <c r="E19650" s="57"/>
      <c r="H19650" s="18"/>
    </row>
    <row r="19651">
      <c r="C19651" s="18"/>
      <c r="D19651" s="19"/>
      <c r="E19651" s="57"/>
      <c r="H19651" s="18"/>
    </row>
    <row r="19652">
      <c r="C19652" s="18"/>
      <c r="D19652" s="19"/>
      <c r="E19652" s="57"/>
      <c r="H19652" s="18"/>
    </row>
    <row r="19653">
      <c r="C19653" s="18"/>
      <c r="D19653" s="19"/>
      <c r="E19653" s="57"/>
      <c r="H19653" s="18"/>
    </row>
    <row r="19654">
      <c r="C19654" s="18"/>
      <c r="D19654" s="19"/>
      <c r="E19654" s="57"/>
      <c r="H19654" s="18"/>
    </row>
    <row r="19655">
      <c r="C19655" s="18"/>
      <c r="D19655" s="19"/>
      <c r="E19655" s="57"/>
      <c r="H19655" s="18"/>
    </row>
    <row r="19656">
      <c r="C19656" s="18"/>
      <c r="D19656" s="19"/>
      <c r="E19656" s="57"/>
      <c r="H19656" s="18"/>
    </row>
    <row r="19657">
      <c r="C19657" s="18"/>
      <c r="D19657" s="19"/>
      <c r="E19657" s="57"/>
      <c r="H19657" s="18"/>
    </row>
    <row r="19658">
      <c r="C19658" s="18"/>
      <c r="D19658" s="19"/>
      <c r="E19658" s="57"/>
      <c r="H19658" s="18"/>
    </row>
    <row r="19659">
      <c r="C19659" s="18"/>
      <c r="D19659" s="19"/>
      <c r="E19659" s="57"/>
      <c r="H19659" s="18"/>
    </row>
    <row r="19660">
      <c r="C19660" s="18"/>
      <c r="D19660" s="19"/>
      <c r="E19660" s="57"/>
      <c r="H19660" s="18"/>
    </row>
    <row r="19661">
      <c r="C19661" s="18"/>
      <c r="D19661" s="19"/>
      <c r="E19661" s="57"/>
      <c r="H19661" s="18"/>
    </row>
    <row r="19662">
      <c r="C19662" s="18"/>
      <c r="D19662" s="19"/>
      <c r="E19662" s="57"/>
      <c r="H19662" s="18"/>
    </row>
    <row r="19663">
      <c r="C19663" s="18"/>
      <c r="D19663" s="19"/>
      <c r="E19663" s="57"/>
      <c r="H19663" s="18"/>
    </row>
    <row r="19664">
      <c r="C19664" s="18"/>
      <c r="D19664" s="19"/>
      <c r="E19664" s="57"/>
      <c r="H19664" s="18"/>
    </row>
    <row r="19665">
      <c r="C19665" s="18"/>
      <c r="D19665" s="19"/>
      <c r="E19665" s="57"/>
      <c r="H19665" s="18"/>
    </row>
    <row r="19666">
      <c r="C19666" s="18"/>
      <c r="D19666" s="19"/>
      <c r="E19666" s="57"/>
      <c r="H19666" s="18"/>
    </row>
    <row r="19667">
      <c r="C19667" s="18"/>
      <c r="D19667" s="19"/>
      <c r="E19667" s="57"/>
      <c r="H19667" s="18"/>
    </row>
    <row r="19668">
      <c r="C19668" s="18"/>
      <c r="D19668" s="19"/>
      <c r="E19668" s="57"/>
      <c r="H19668" s="18"/>
    </row>
    <row r="19669">
      <c r="C19669" s="18"/>
      <c r="D19669" s="19"/>
      <c r="E19669" s="57"/>
      <c r="H19669" s="18"/>
    </row>
    <row r="19670">
      <c r="C19670" s="18"/>
      <c r="D19670" s="19"/>
      <c r="E19670" s="57"/>
      <c r="H19670" s="18"/>
    </row>
    <row r="19671">
      <c r="C19671" s="18"/>
      <c r="D19671" s="19"/>
      <c r="E19671" s="57"/>
      <c r="H19671" s="18"/>
    </row>
    <row r="19672">
      <c r="C19672" s="18"/>
      <c r="D19672" s="19"/>
      <c r="E19672" s="57"/>
      <c r="H19672" s="18"/>
    </row>
    <row r="19673">
      <c r="C19673" s="18"/>
      <c r="D19673" s="19"/>
      <c r="E19673" s="57"/>
      <c r="H19673" s="18"/>
    </row>
    <row r="19674">
      <c r="C19674" s="18"/>
      <c r="D19674" s="19"/>
      <c r="E19674" s="57"/>
      <c r="H19674" s="18"/>
    </row>
    <row r="19675">
      <c r="C19675" s="18"/>
      <c r="D19675" s="19"/>
      <c r="E19675" s="57"/>
      <c r="H19675" s="18"/>
    </row>
    <row r="19676">
      <c r="C19676" s="18"/>
      <c r="D19676" s="19"/>
      <c r="E19676" s="57"/>
      <c r="H19676" s="18"/>
    </row>
    <row r="19677">
      <c r="C19677" s="18"/>
      <c r="D19677" s="19"/>
      <c r="E19677" s="57"/>
      <c r="H19677" s="18"/>
    </row>
    <row r="19678">
      <c r="C19678" s="18"/>
      <c r="D19678" s="19"/>
      <c r="E19678" s="57"/>
      <c r="H19678" s="18"/>
    </row>
    <row r="19679">
      <c r="C19679" s="18"/>
      <c r="D19679" s="19"/>
      <c r="E19679" s="57"/>
      <c r="H19679" s="18"/>
    </row>
    <row r="19680">
      <c r="C19680" s="18"/>
      <c r="D19680" s="19"/>
      <c r="E19680" s="57"/>
      <c r="H19680" s="18"/>
    </row>
    <row r="19681">
      <c r="C19681" s="18"/>
      <c r="D19681" s="19"/>
      <c r="E19681" s="57"/>
      <c r="H19681" s="18"/>
    </row>
    <row r="19682">
      <c r="C19682" s="18"/>
      <c r="D19682" s="19"/>
      <c r="E19682" s="57"/>
      <c r="H19682" s="18"/>
    </row>
    <row r="19683">
      <c r="C19683" s="18"/>
      <c r="D19683" s="19"/>
      <c r="E19683" s="57"/>
      <c r="H19683" s="18"/>
    </row>
    <row r="19684">
      <c r="C19684" s="18"/>
      <c r="D19684" s="19"/>
      <c r="E19684" s="57"/>
      <c r="H19684" s="18"/>
    </row>
    <row r="19685">
      <c r="C19685" s="18"/>
      <c r="D19685" s="19"/>
      <c r="E19685" s="57"/>
      <c r="H19685" s="18"/>
    </row>
    <row r="19686">
      <c r="C19686" s="18"/>
      <c r="D19686" s="19"/>
      <c r="E19686" s="57"/>
      <c r="H19686" s="18"/>
    </row>
    <row r="19687">
      <c r="C19687" s="18"/>
      <c r="D19687" s="19"/>
      <c r="E19687" s="57"/>
      <c r="H19687" s="18"/>
    </row>
    <row r="19688">
      <c r="C19688" s="18"/>
      <c r="D19688" s="19"/>
      <c r="E19688" s="57"/>
      <c r="H19688" s="18"/>
    </row>
    <row r="19689">
      <c r="C19689" s="18"/>
      <c r="D19689" s="19"/>
      <c r="E19689" s="57"/>
      <c r="H19689" s="18"/>
    </row>
    <row r="19690">
      <c r="C19690" s="18"/>
      <c r="D19690" s="19"/>
      <c r="E19690" s="57"/>
      <c r="H19690" s="18"/>
    </row>
    <row r="19691">
      <c r="C19691" s="18"/>
      <c r="D19691" s="19"/>
      <c r="E19691" s="57"/>
      <c r="H19691" s="18"/>
    </row>
    <row r="19692">
      <c r="C19692" s="18"/>
      <c r="D19692" s="19"/>
      <c r="E19692" s="57"/>
      <c r="H19692" s="18"/>
    </row>
    <row r="19693">
      <c r="C19693" s="18"/>
      <c r="D19693" s="19"/>
      <c r="E19693" s="57"/>
      <c r="H19693" s="18"/>
    </row>
    <row r="19694">
      <c r="C19694" s="18"/>
      <c r="D19694" s="19"/>
      <c r="E19694" s="57"/>
      <c r="H19694" s="18"/>
    </row>
    <row r="19695">
      <c r="C19695" s="18"/>
      <c r="D19695" s="19"/>
      <c r="E19695" s="57"/>
      <c r="H19695" s="18"/>
    </row>
    <row r="19696">
      <c r="C19696" s="18"/>
      <c r="D19696" s="19"/>
      <c r="E19696" s="57"/>
      <c r="H19696" s="18"/>
    </row>
    <row r="19697">
      <c r="C19697" s="18"/>
      <c r="D19697" s="19"/>
      <c r="E19697" s="57"/>
      <c r="H19697" s="18"/>
    </row>
    <row r="19698">
      <c r="C19698" s="18"/>
      <c r="D19698" s="19"/>
      <c r="E19698" s="57"/>
      <c r="H19698" s="18"/>
    </row>
    <row r="19699">
      <c r="C19699" s="18"/>
      <c r="D19699" s="19"/>
      <c r="E19699" s="57"/>
      <c r="H19699" s="18"/>
    </row>
    <row r="19700">
      <c r="C19700" s="18"/>
      <c r="D19700" s="19"/>
      <c r="E19700" s="57"/>
      <c r="H19700" s="18"/>
    </row>
    <row r="19701">
      <c r="C19701" s="18"/>
      <c r="D19701" s="19"/>
      <c r="E19701" s="57"/>
      <c r="H19701" s="18"/>
    </row>
    <row r="19702">
      <c r="C19702" s="18"/>
      <c r="D19702" s="19"/>
      <c r="E19702" s="57"/>
      <c r="H19702" s="18"/>
    </row>
    <row r="19703">
      <c r="C19703" s="18"/>
      <c r="D19703" s="19"/>
      <c r="E19703" s="57"/>
      <c r="H19703" s="18"/>
    </row>
    <row r="19704">
      <c r="C19704" s="18"/>
      <c r="D19704" s="19"/>
      <c r="E19704" s="57"/>
      <c r="H19704" s="18"/>
    </row>
    <row r="19705">
      <c r="C19705" s="18"/>
      <c r="D19705" s="19"/>
      <c r="E19705" s="57"/>
      <c r="H19705" s="18"/>
    </row>
    <row r="19706">
      <c r="C19706" s="18"/>
      <c r="D19706" s="19"/>
      <c r="E19706" s="57"/>
      <c r="H19706" s="18"/>
    </row>
    <row r="19707">
      <c r="C19707" s="18"/>
      <c r="D19707" s="19"/>
      <c r="E19707" s="57"/>
      <c r="H19707" s="18"/>
    </row>
    <row r="19708">
      <c r="C19708" s="18"/>
      <c r="D19708" s="19"/>
      <c r="E19708" s="57"/>
      <c r="H19708" s="18"/>
    </row>
    <row r="19709">
      <c r="C19709" s="18"/>
      <c r="D19709" s="19"/>
      <c r="E19709" s="57"/>
      <c r="H19709" s="18"/>
    </row>
    <row r="19710">
      <c r="C19710" s="18"/>
      <c r="D19710" s="19"/>
      <c r="E19710" s="57"/>
      <c r="H19710" s="18"/>
    </row>
    <row r="19711">
      <c r="C19711" s="18"/>
      <c r="D19711" s="19"/>
      <c r="E19711" s="57"/>
      <c r="H19711" s="18"/>
    </row>
    <row r="19712">
      <c r="C19712" s="18"/>
      <c r="D19712" s="19"/>
      <c r="E19712" s="57"/>
      <c r="H19712" s="18"/>
    </row>
    <row r="19713">
      <c r="C19713" s="18"/>
      <c r="D19713" s="19"/>
      <c r="E19713" s="57"/>
      <c r="H19713" s="18"/>
    </row>
    <row r="19714">
      <c r="C19714" s="18"/>
      <c r="D19714" s="19"/>
      <c r="E19714" s="57"/>
      <c r="H19714" s="18"/>
    </row>
    <row r="19715">
      <c r="C19715" s="18"/>
      <c r="D19715" s="19"/>
      <c r="E19715" s="57"/>
      <c r="H19715" s="18"/>
    </row>
    <row r="19716">
      <c r="C19716" s="18"/>
      <c r="D19716" s="19"/>
      <c r="E19716" s="57"/>
      <c r="H19716" s="18"/>
    </row>
    <row r="19717">
      <c r="C19717" s="18"/>
      <c r="D19717" s="19"/>
      <c r="E19717" s="57"/>
      <c r="H19717" s="18"/>
    </row>
    <row r="19718">
      <c r="C19718" s="18"/>
      <c r="D19718" s="19"/>
      <c r="E19718" s="57"/>
      <c r="H19718" s="18"/>
    </row>
    <row r="19719">
      <c r="C19719" s="18"/>
      <c r="D19719" s="19"/>
      <c r="E19719" s="57"/>
      <c r="H19719" s="18"/>
    </row>
    <row r="19720">
      <c r="C19720" s="18"/>
      <c r="D19720" s="19"/>
      <c r="E19720" s="57"/>
      <c r="H19720" s="18"/>
    </row>
    <row r="19721">
      <c r="C19721" s="18"/>
      <c r="D19721" s="19"/>
      <c r="E19721" s="57"/>
      <c r="H19721" s="18"/>
    </row>
    <row r="19722">
      <c r="C19722" s="18"/>
      <c r="D19722" s="19"/>
      <c r="E19722" s="57"/>
      <c r="H19722" s="18"/>
    </row>
    <row r="19723">
      <c r="C19723" s="18"/>
      <c r="D19723" s="19"/>
      <c r="E19723" s="57"/>
      <c r="H19723" s="18"/>
    </row>
    <row r="19724">
      <c r="C19724" s="18"/>
      <c r="D19724" s="19"/>
      <c r="E19724" s="57"/>
      <c r="H19724" s="18"/>
    </row>
    <row r="19725">
      <c r="C19725" s="18"/>
      <c r="D19725" s="19"/>
      <c r="E19725" s="57"/>
      <c r="H19725" s="18"/>
    </row>
    <row r="19726">
      <c r="C19726" s="18"/>
      <c r="D19726" s="19"/>
      <c r="E19726" s="57"/>
      <c r="H19726" s="18"/>
    </row>
    <row r="19727">
      <c r="C19727" s="18"/>
      <c r="D19727" s="19"/>
      <c r="E19727" s="57"/>
      <c r="H19727" s="18"/>
    </row>
    <row r="19728">
      <c r="C19728" s="18"/>
      <c r="D19728" s="19"/>
      <c r="E19728" s="57"/>
      <c r="H19728" s="18"/>
    </row>
    <row r="19729">
      <c r="C19729" s="18"/>
      <c r="D19729" s="19"/>
      <c r="E19729" s="57"/>
      <c r="H19729" s="18"/>
    </row>
    <row r="19730">
      <c r="C19730" s="18"/>
      <c r="D19730" s="19"/>
      <c r="E19730" s="57"/>
      <c r="H19730" s="18"/>
    </row>
    <row r="19731">
      <c r="C19731" s="18"/>
      <c r="D19731" s="19"/>
      <c r="E19731" s="57"/>
      <c r="H19731" s="18"/>
    </row>
    <row r="19732">
      <c r="C19732" s="18"/>
      <c r="D19732" s="19"/>
      <c r="E19732" s="57"/>
      <c r="H19732" s="18"/>
    </row>
    <row r="19733">
      <c r="C19733" s="18"/>
      <c r="D19733" s="19"/>
      <c r="E19733" s="57"/>
      <c r="H19733" s="18"/>
    </row>
    <row r="19734">
      <c r="C19734" s="18"/>
      <c r="D19734" s="19"/>
      <c r="E19734" s="57"/>
      <c r="H19734" s="18"/>
    </row>
    <row r="19735">
      <c r="C19735" s="18"/>
      <c r="D19735" s="19"/>
      <c r="E19735" s="57"/>
      <c r="H19735" s="18"/>
    </row>
    <row r="19736">
      <c r="C19736" s="18"/>
      <c r="D19736" s="19"/>
      <c r="E19736" s="57"/>
      <c r="H19736" s="18"/>
    </row>
    <row r="19737">
      <c r="C19737" s="18"/>
      <c r="D19737" s="19"/>
      <c r="E19737" s="57"/>
      <c r="H19737" s="18"/>
    </row>
    <row r="19738">
      <c r="C19738" s="18"/>
      <c r="D19738" s="19"/>
      <c r="E19738" s="57"/>
      <c r="H19738" s="18"/>
    </row>
    <row r="19739">
      <c r="C19739" s="18"/>
      <c r="D19739" s="19"/>
      <c r="E19739" s="57"/>
      <c r="H19739" s="18"/>
    </row>
    <row r="19740">
      <c r="C19740" s="18"/>
      <c r="D19740" s="19"/>
      <c r="E19740" s="57"/>
      <c r="H19740" s="18"/>
    </row>
    <row r="19741">
      <c r="C19741" s="18"/>
      <c r="D19741" s="19"/>
      <c r="E19741" s="57"/>
      <c r="H19741" s="18"/>
    </row>
    <row r="19742">
      <c r="C19742" s="18"/>
      <c r="D19742" s="19"/>
      <c r="E19742" s="57"/>
      <c r="H19742" s="18"/>
    </row>
    <row r="19743">
      <c r="C19743" s="18"/>
      <c r="D19743" s="19"/>
      <c r="E19743" s="57"/>
      <c r="H19743" s="18"/>
    </row>
    <row r="19744">
      <c r="C19744" s="18"/>
      <c r="D19744" s="19"/>
      <c r="E19744" s="57"/>
      <c r="H19744" s="18"/>
    </row>
    <row r="19745">
      <c r="C19745" s="18"/>
      <c r="D19745" s="19"/>
      <c r="E19745" s="57"/>
      <c r="H19745" s="18"/>
    </row>
    <row r="19746">
      <c r="C19746" s="18"/>
      <c r="D19746" s="19"/>
      <c r="E19746" s="57"/>
      <c r="H19746" s="18"/>
    </row>
    <row r="19747">
      <c r="C19747" s="18"/>
      <c r="D19747" s="19"/>
      <c r="E19747" s="57"/>
      <c r="H19747" s="18"/>
    </row>
    <row r="19748">
      <c r="C19748" s="18"/>
      <c r="D19748" s="19"/>
      <c r="E19748" s="57"/>
      <c r="H19748" s="18"/>
    </row>
    <row r="19749">
      <c r="C19749" s="18"/>
      <c r="D19749" s="19"/>
      <c r="E19749" s="57"/>
      <c r="H19749" s="18"/>
    </row>
    <row r="19750">
      <c r="C19750" s="18"/>
      <c r="D19750" s="19"/>
      <c r="E19750" s="57"/>
      <c r="H19750" s="18"/>
    </row>
    <row r="19751">
      <c r="C19751" s="18"/>
      <c r="D19751" s="19"/>
      <c r="E19751" s="57"/>
      <c r="H19751" s="18"/>
    </row>
    <row r="19752">
      <c r="C19752" s="18"/>
      <c r="D19752" s="19"/>
      <c r="E19752" s="57"/>
      <c r="H19752" s="18"/>
    </row>
    <row r="19753">
      <c r="C19753" s="18"/>
      <c r="D19753" s="19"/>
      <c r="E19753" s="57"/>
      <c r="H19753" s="18"/>
    </row>
    <row r="19754">
      <c r="C19754" s="18"/>
      <c r="D19754" s="19"/>
      <c r="E19754" s="57"/>
      <c r="H19754" s="18"/>
    </row>
    <row r="19755">
      <c r="C19755" s="18"/>
      <c r="D19755" s="19"/>
      <c r="E19755" s="57"/>
      <c r="H19755" s="18"/>
    </row>
    <row r="19756">
      <c r="C19756" s="18"/>
      <c r="D19756" s="19"/>
      <c r="E19756" s="57"/>
      <c r="H19756" s="18"/>
    </row>
    <row r="19757">
      <c r="C19757" s="18"/>
      <c r="D19757" s="19"/>
      <c r="E19757" s="57"/>
      <c r="H19757" s="18"/>
    </row>
    <row r="19758">
      <c r="C19758" s="18"/>
      <c r="D19758" s="19"/>
      <c r="E19758" s="57"/>
      <c r="H19758" s="18"/>
    </row>
    <row r="19759">
      <c r="C19759" s="18"/>
      <c r="D19759" s="19"/>
      <c r="E19759" s="57"/>
      <c r="H19759" s="18"/>
    </row>
    <row r="19760">
      <c r="C19760" s="18"/>
      <c r="D19760" s="19"/>
      <c r="E19760" s="57"/>
      <c r="H19760" s="18"/>
    </row>
    <row r="19761">
      <c r="C19761" s="18"/>
      <c r="D19761" s="19"/>
      <c r="E19761" s="57"/>
      <c r="H19761" s="18"/>
    </row>
    <row r="19762">
      <c r="C19762" s="18"/>
      <c r="D19762" s="19"/>
      <c r="E19762" s="57"/>
      <c r="H19762" s="18"/>
    </row>
    <row r="19763">
      <c r="C19763" s="18"/>
      <c r="D19763" s="19"/>
      <c r="E19763" s="57"/>
      <c r="H19763" s="18"/>
    </row>
    <row r="19764">
      <c r="C19764" s="18"/>
      <c r="D19764" s="19"/>
      <c r="E19764" s="57"/>
      <c r="H19764" s="18"/>
    </row>
    <row r="19765">
      <c r="C19765" s="18"/>
      <c r="D19765" s="19"/>
      <c r="E19765" s="57"/>
      <c r="H19765" s="18"/>
    </row>
    <row r="19766">
      <c r="C19766" s="18"/>
      <c r="D19766" s="19"/>
      <c r="E19766" s="57"/>
      <c r="H19766" s="18"/>
    </row>
    <row r="19767">
      <c r="C19767" s="18"/>
      <c r="D19767" s="19"/>
      <c r="E19767" s="57"/>
      <c r="H19767" s="18"/>
    </row>
    <row r="19768">
      <c r="C19768" s="18"/>
      <c r="D19768" s="19"/>
      <c r="E19768" s="57"/>
      <c r="H19768" s="18"/>
    </row>
    <row r="19769">
      <c r="C19769" s="18"/>
      <c r="D19769" s="19"/>
      <c r="E19769" s="57"/>
      <c r="H19769" s="18"/>
    </row>
    <row r="19770">
      <c r="C19770" s="18"/>
      <c r="D19770" s="19"/>
      <c r="E19770" s="57"/>
      <c r="H19770" s="18"/>
    </row>
    <row r="19771">
      <c r="C19771" s="18"/>
      <c r="D19771" s="19"/>
      <c r="E19771" s="57"/>
      <c r="H19771" s="18"/>
    </row>
    <row r="19772">
      <c r="C19772" s="18"/>
      <c r="D19772" s="19"/>
      <c r="E19772" s="57"/>
      <c r="H19772" s="18"/>
    </row>
    <row r="19773">
      <c r="C19773" s="18"/>
      <c r="D19773" s="19"/>
      <c r="E19773" s="57"/>
      <c r="H19773" s="18"/>
    </row>
    <row r="19774">
      <c r="C19774" s="18"/>
      <c r="D19774" s="19"/>
      <c r="E19774" s="57"/>
      <c r="H19774" s="18"/>
    </row>
    <row r="19775">
      <c r="C19775" s="18"/>
      <c r="D19775" s="19"/>
      <c r="E19775" s="57"/>
      <c r="H19775" s="18"/>
    </row>
    <row r="19776">
      <c r="C19776" s="18"/>
      <c r="D19776" s="19"/>
      <c r="E19776" s="57"/>
      <c r="H19776" s="18"/>
    </row>
    <row r="19777">
      <c r="C19777" s="18"/>
      <c r="D19777" s="19"/>
      <c r="E19777" s="57"/>
      <c r="H19777" s="18"/>
    </row>
    <row r="19778">
      <c r="C19778" s="18"/>
      <c r="D19778" s="19"/>
      <c r="E19778" s="57"/>
      <c r="H19778" s="18"/>
    </row>
    <row r="19779">
      <c r="C19779" s="18"/>
      <c r="D19779" s="19"/>
      <c r="E19779" s="57"/>
      <c r="H19779" s="18"/>
    </row>
    <row r="19780">
      <c r="C19780" s="18"/>
      <c r="D19780" s="19"/>
      <c r="E19780" s="57"/>
      <c r="H19780" s="18"/>
    </row>
    <row r="19781">
      <c r="C19781" s="18"/>
      <c r="D19781" s="19"/>
      <c r="E19781" s="57"/>
      <c r="H19781" s="18"/>
    </row>
    <row r="19782">
      <c r="C19782" s="18"/>
      <c r="D19782" s="19"/>
      <c r="E19782" s="57"/>
      <c r="H19782" s="18"/>
    </row>
    <row r="19783">
      <c r="C19783" s="18"/>
      <c r="D19783" s="19"/>
      <c r="E19783" s="57"/>
      <c r="H19783" s="18"/>
    </row>
    <row r="19784">
      <c r="C19784" s="18"/>
      <c r="D19784" s="19"/>
      <c r="E19784" s="57"/>
      <c r="H19784" s="18"/>
    </row>
    <row r="19785">
      <c r="C19785" s="18"/>
      <c r="D19785" s="19"/>
      <c r="E19785" s="57"/>
      <c r="H19785" s="18"/>
    </row>
    <row r="19786">
      <c r="C19786" s="18"/>
      <c r="D19786" s="19"/>
      <c r="E19786" s="57"/>
      <c r="H19786" s="18"/>
    </row>
    <row r="19787">
      <c r="C19787" s="18"/>
      <c r="D19787" s="19"/>
      <c r="E19787" s="57"/>
      <c r="H19787" s="18"/>
    </row>
    <row r="19788">
      <c r="C19788" s="18"/>
      <c r="D19788" s="19"/>
      <c r="E19788" s="57"/>
      <c r="H19788" s="18"/>
    </row>
    <row r="19789">
      <c r="C19789" s="18"/>
      <c r="D19789" s="19"/>
      <c r="E19789" s="57"/>
      <c r="H19789" s="18"/>
    </row>
    <row r="19790">
      <c r="C19790" s="18"/>
      <c r="D19790" s="19"/>
      <c r="E19790" s="57"/>
      <c r="H19790" s="18"/>
    </row>
    <row r="19791">
      <c r="C19791" s="18"/>
      <c r="D19791" s="19"/>
      <c r="E19791" s="57"/>
      <c r="H19791" s="18"/>
    </row>
    <row r="19792">
      <c r="C19792" s="18"/>
      <c r="D19792" s="19"/>
      <c r="E19792" s="57"/>
      <c r="H19792" s="18"/>
    </row>
    <row r="19793">
      <c r="C19793" s="18"/>
      <c r="D19793" s="19"/>
      <c r="E19793" s="57"/>
      <c r="H19793" s="18"/>
    </row>
    <row r="19794">
      <c r="C19794" s="18"/>
      <c r="D19794" s="19"/>
      <c r="E19794" s="57"/>
      <c r="H19794" s="18"/>
    </row>
    <row r="19795">
      <c r="C19795" s="18"/>
      <c r="D19795" s="19"/>
      <c r="E19795" s="57"/>
      <c r="H19795" s="18"/>
    </row>
    <row r="19796">
      <c r="C19796" s="18"/>
      <c r="D19796" s="19"/>
      <c r="E19796" s="57"/>
      <c r="H19796" s="18"/>
    </row>
    <row r="19797">
      <c r="C19797" s="18"/>
      <c r="D19797" s="19"/>
      <c r="E19797" s="57"/>
      <c r="H19797" s="18"/>
    </row>
    <row r="19798">
      <c r="C19798" s="18"/>
      <c r="D19798" s="19"/>
      <c r="E19798" s="57"/>
      <c r="H19798" s="18"/>
    </row>
    <row r="19799">
      <c r="C19799" s="18"/>
      <c r="D19799" s="19"/>
      <c r="E19799" s="57"/>
      <c r="H19799" s="18"/>
    </row>
    <row r="19800">
      <c r="C19800" s="18"/>
      <c r="D19800" s="19"/>
      <c r="E19800" s="57"/>
      <c r="H19800" s="18"/>
    </row>
    <row r="19801">
      <c r="C19801" s="18"/>
      <c r="D19801" s="19"/>
      <c r="E19801" s="57"/>
      <c r="H19801" s="18"/>
    </row>
    <row r="19802">
      <c r="C19802" s="18"/>
      <c r="D19802" s="19"/>
      <c r="E19802" s="57"/>
      <c r="H19802" s="18"/>
    </row>
    <row r="19803">
      <c r="C19803" s="18"/>
      <c r="D19803" s="19"/>
      <c r="E19803" s="57"/>
      <c r="H19803" s="18"/>
    </row>
    <row r="19804">
      <c r="C19804" s="18"/>
      <c r="D19804" s="19"/>
      <c r="E19804" s="57"/>
      <c r="H19804" s="18"/>
    </row>
    <row r="19805">
      <c r="C19805" s="18"/>
      <c r="D19805" s="19"/>
      <c r="E19805" s="57"/>
      <c r="H19805" s="18"/>
    </row>
    <row r="19806">
      <c r="C19806" s="18"/>
      <c r="D19806" s="19"/>
      <c r="E19806" s="57"/>
      <c r="H19806" s="18"/>
    </row>
    <row r="19807">
      <c r="C19807" s="18"/>
      <c r="D19807" s="19"/>
      <c r="E19807" s="57"/>
      <c r="H19807" s="18"/>
    </row>
    <row r="19808">
      <c r="C19808" s="18"/>
      <c r="D19808" s="19"/>
      <c r="E19808" s="57"/>
      <c r="H19808" s="18"/>
    </row>
    <row r="19809">
      <c r="C19809" s="18"/>
      <c r="D19809" s="19"/>
      <c r="E19809" s="57"/>
      <c r="H19809" s="18"/>
    </row>
    <row r="19810">
      <c r="C19810" s="18"/>
      <c r="D19810" s="19"/>
      <c r="E19810" s="57"/>
      <c r="H19810" s="18"/>
    </row>
    <row r="19811">
      <c r="C19811" s="18"/>
      <c r="D19811" s="19"/>
      <c r="E19811" s="57"/>
      <c r="H19811" s="18"/>
    </row>
    <row r="19812">
      <c r="C19812" s="18"/>
      <c r="D19812" s="19"/>
      <c r="E19812" s="57"/>
      <c r="H19812" s="18"/>
    </row>
    <row r="19813">
      <c r="C19813" s="18"/>
      <c r="D19813" s="19"/>
      <c r="E19813" s="57"/>
      <c r="H19813" s="18"/>
    </row>
    <row r="19814">
      <c r="C19814" s="18"/>
      <c r="D19814" s="19"/>
      <c r="E19814" s="57"/>
      <c r="H19814" s="18"/>
    </row>
    <row r="19815">
      <c r="C19815" s="18"/>
      <c r="D19815" s="19"/>
      <c r="E19815" s="57"/>
      <c r="H19815" s="18"/>
    </row>
    <row r="19816">
      <c r="C19816" s="18"/>
      <c r="D19816" s="19"/>
      <c r="E19816" s="57"/>
      <c r="H19816" s="18"/>
    </row>
    <row r="19817">
      <c r="C19817" s="18"/>
      <c r="D19817" s="19"/>
      <c r="E19817" s="57"/>
      <c r="H19817" s="18"/>
    </row>
    <row r="19818">
      <c r="C19818" s="18"/>
      <c r="D19818" s="19"/>
      <c r="E19818" s="57"/>
      <c r="H19818" s="18"/>
    </row>
    <row r="19819">
      <c r="C19819" s="18"/>
      <c r="D19819" s="19"/>
      <c r="E19819" s="57"/>
      <c r="H19819" s="18"/>
    </row>
    <row r="19820">
      <c r="C19820" s="18"/>
      <c r="D19820" s="19"/>
      <c r="E19820" s="57"/>
      <c r="H19820" s="18"/>
    </row>
    <row r="19821">
      <c r="C19821" s="18"/>
      <c r="D19821" s="19"/>
      <c r="E19821" s="57"/>
      <c r="H19821" s="18"/>
    </row>
    <row r="19822">
      <c r="C19822" s="18"/>
      <c r="D19822" s="19"/>
      <c r="E19822" s="57"/>
      <c r="H19822" s="18"/>
    </row>
    <row r="19823">
      <c r="C19823" s="18"/>
      <c r="D19823" s="19"/>
      <c r="E19823" s="57"/>
      <c r="H19823" s="18"/>
    </row>
    <row r="19824">
      <c r="C19824" s="18"/>
      <c r="D19824" s="19"/>
      <c r="E19824" s="57"/>
      <c r="H19824" s="18"/>
    </row>
    <row r="19825">
      <c r="C19825" s="18"/>
      <c r="D19825" s="19"/>
      <c r="E19825" s="57"/>
      <c r="H19825" s="18"/>
    </row>
    <row r="19826">
      <c r="C19826" s="18"/>
      <c r="D19826" s="19"/>
      <c r="E19826" s="57"/>
      <c r="H19826" s="18"/>
    </row>
    <row r="19827">
      <c r="C19827" s="18"/>
      <c r="D19827" s="19"/>
      <c r="E19827" s="57"/>
      <c r="H19827" s="18"/>
    </row>
    <row r="19828">
      <c r="C19828" s="18"/>
      <c r="D19828" s="19"/>
      <c r="E19828" s="57"/>
      <c r="H19828" s="18"/>
    </row>
    <row r="19829">
      <c r="C19829" s="18"/>
      <c r="D19829" s="19"/>
      <c r="E19829" s="57"/>
      <c r="H19829" s="18"/>
    </row>
    <row r="19830">
      <c r="C19830" s="18"/>
      <c r="D19830" s="19"/>
      <c r="E19830" s="57"/>
      <c r="H19830" s="18"/>
    </row>
    <row r="19831">
      <c r="C19831" s="18"/>
      <c r="D19831" s="19"/>
      <c r="E19831" s="57"/>
      <c r="H19831" s="18"/>
    </row>
    <row r="19832">
      <c r="C19832" s="18"/>
      <c r="D19832" s="19"/>
      <c r="E19832" s="57"/>
      <c r="H19832" s="18"/>
    </row>
    <row r="19833">
      <c r="C19833" s="18"/>
      <c r="D19833" s="19"/>
      <c r="E19833" s="57"/>
      <c r="H19833" s="18"/>
    </row>
    <row r="19834">
      <c r="C19834" s="18"/>
      <c r="D19834" s="19"/>
      <c r="E19834" s="57"/>
      <c r="H19834" s="18"/>
    </row>
    <row r="19835">
      <c r="C19835" s="18"/>
      <c r="D19835" s="19"/>
      <c r="E19835" s="57"/>
      <c r="H19835" s="18"/>
    </row>
    <row r="19836">
      <c r="C19836" s="18"/>
      <c r="D19836" s="19"/>
      <c r="E19836" s="57"/>
      <c r="H19836" s="18"/>
    </row>
    <row r="19837">
      <c r="C19837" s="18"/>
      <c r="D19837" s="19"/>
      <c r="E19837" s="57"/>
      <c r="H19837" s="18"/>
    </row>
    <row r="19838">
      <c r="C19838" s="18"/>
      <c r="D19838" s="19"/>
      <c r="E19838" s="57"/>
      <c r="H19838" s="18"/>
    </row>
    <row r="19839">
      <c r="C19839" s="18"/>
      <c r="D19839" s="19"/>
      <c r="E19839" s="57"/>
      <c r="H19839" s="18"/>
    </row>
    <row r="19840">
      <c r="C19840" s="18"/>
      <c r="D19840" s="19"/>
      <c r="E19840" s="57"/>
      <c r="H19840" s="18"/>
    </row>
    <row r="19841">
      <c r="C19841" s="18"/>
      <c r="D19841" s="19"/>
      <c r="E19841" s="57"/>
      <c r="H19841" s="18"/>
    </row>
    <row r="19842">
      <c r="C19842" s="18"/>
      <c r="D19842" s="19"/>
      <c r="E19842" s="57"/>
      <c r="H19842" s="18"/>
    </row>
    <row r="19843">
      <c r="C19843" s="18"/>
      <c r="D19843" s="19"/>
      <c r="E19843" s="57"/>
      <c r="H19843" s="18"/>
    </row>
    <row r="19844">
      <c r="C19844" s="18"/>
      <c r="D19844" s="19"/>
      <c r="E19844" s="57"/>
      <c r="H19844" s="18"/>
    </row>
    <row r="19845">
      <c r="C19845" s="18"/>
      <c r="D19845" s="19"/>
      <c r="E19845" s="57"/>
      <c r="H19845" s="18"/>
    </row>
    <row r="19846">
      <c r="C19846" s="18"/>
      <c r="D19846" s="19"/>
      <c r="E19846" s="57"/>
      <c r="H19846" s="18"/>
    </row>
    <row r="19847">
      <c r="C19847" s="18"/>
      <c r="D19847" s="19"/>
      <c r="E19847" s="57"/>
      <c r="H19847" s="18"/>
    </row>
    <row r="19848">
      <c r="C19848" s="18"/>
      <c r="D19848" s="19"/>
      <c r="E19848" s="57"/>
      <c r="H19848" s="18"/>
    </row>
    <row r="19849">
      <c r="C19849" s="18"/>
      <c r="D19849" s="19"/>
      <c r="E19849" s="57"/>
      <c r="H19849" s="18"/>
    </row>
    <row r="19850">
      <c r="C19850" s="18"/>
      <c r="D19850" s="19"/>
      <c r="E19850" s="57"/>
      <c r="H19850" s="18"/>
    </row>
    <row r="19851">
      <c r="C19851" s="18"/>
      <c r="D19851" s="19"/>
      <c r="E19851" s="57"/>
      <c r="H19851" s="18"/>
    </row>
    <row r="19852">
      <c r="C19852" s="18"/>
      <c r="D19852" s="19"/>
      <c r="E19852" s="57"/>
      <c r="H19852" s="18"/>
    </row>
    <row r="19853">
      <c r="C19853" s="18"/>
      <c r="D19853" s="19"/>
      <c r="E19853" s="57"/>
      <c r="H19853" s="18"/>
    </row>
    <row r="19854">
      <c r="C19854" s="18"/>
      <c r="D19854" s="19"/>
      <c r="E19854" s="57"/>
      <c r="H19854" s="18"/>
    </row>
    <row r="19855">
      <c r="C19855" s="18"/>
      <c r="D19855" s="19"/>
      <c r="E19855" s="57"/>
      <c r="H19855" s="18"/>
    </row>
    <row r="19856">
      <c r="C19856" s="18"/>
      <c r="D19856" s="19"/>
      <c r="E19856" s="57"/>
      <c r="H19856" s="18"/>
    </row>
    <row r="19857">
      <c r="C19857" s="18"/>
      <c r="D19857" s="19"/>
      <c r="E19857" s="57"/>
      <c r="H19857" s="18"/>
    </row>
    <row r="19858">
      <c r="C19858" s="18"/>
      <c r="D19858" s="19"/>
      <c r="E19858" s="57"/>
      <c r="H19858" s="18"/>
    </row>
    <row r="19859">
      <c r="C19859" s="18"/>
      <c r="D19859" s="19"/>
      <c r="E19859" s="57"/>
      <c r="H19859" s="18"/>
    </row>
    <row r="19860">
      <c r="C19860" s="18"/>
      <c r="D19860" s="19"/>
      <c r="E19860" s="57"/>
      <c r="H19860" s="18"/>
    </row>
    <row r="19861">
      <c r="C19861" s="18"/>
      <c r="D19861" s="19"/>
      <c r="E19861" s="57"/>
      <c r="H19861" s="18"/>
    </row>
    <row r="19862">
      <c r="C19862" s="18"/>
      <c r="D19862" s="19"/>
      <c r="E19862" s="57"/>
      <c r="H19862" s="18"/>
    </row>
    <row r="19863">
      <c r="C19863" s="18"/>
      <c r="D19863" s="19"/>
      <c r="E19863" s="57"/>
      <c r="H19863" s="18"/>
    </row>
    <row r="19864">
      <c r="C19864" s="18"/>
      <c r="D19864" s="19"/>
      <c r="E19864" s="57"/>
      <c r="H19864" s="18"/>
    </row>
    <row r="19865">
      <c r="C19865" s="18"/>
      <c r="D19865" s="19"/>
      <c r="E19865" s="57"/>
      <c r="H19865" s="18"/>
    </row>
    <row r="19866">
      <c r="C19866" s="18"/>
      <c r="D19866" s="19"/>
      <c r="E19866" s="57"/>
      <c r="H19866" s="18"/>
    </row>
    <row r="19867">
      <c r="C19867" s="18"/>
      <c r="D19867" s="19"/>
      <c r="E19867" s="57"/>
      <c r="H19867" s="18"/>
    </row>
    <row r="19868">
      <c r="C19868" s="18"/>
      <c r="D19868" s="19"/>
      <c r="E19868" s="57"/>
      <c r="H19868" s="18"/>
    </row>
    <row r="19869">
      <c r="C19869" s="18"/>
      <c r="D19869" s="19"/>
      <c r="E19869" s="57"/>
      <c r="H19869" s="18"/>
    </row>
    <row r="19870">
      <c r="C19870" s="18"/>
      <c r="D19870" s="19"/>
      <c r="E19870" s="57"/>
      <c r="H19870" s="18"/>
    </row>
    <row r="19871">
      <c r="C19871" s="18"/>
      <c r="D19871" s="19"/>
      <c r="E19871" s="57"/>
      <c r="H19871" s="18"/>
    </row>
    <row r="19872">
      <c r="C19872" s="18"/>
      <c r="D19872" s="19"/>
      <c r="E19872" s="57"/>
      <c r="H19872" s="18"/>
    </row>
    <row r="19873">
      <c r="C19873" s="18"/>
      <c r="D19873" s="19"/>
      <c r="E19873" s="57"/>
      <c r="H19873" s="18"/>
    </row>
    <row r="19874">
      <c r="C19874" s="18"/>
      <c r="D19874" s="19"/>
      <c r="E19874" s="57"/>
      <c r="H19874" s="18"/>
    </row>
    <row r="19875">
      <c r="C19875" s="18"/>
      <c r="D19875" s="19"/>
      <c r="E19875" s="57"/>
      <c r="H19875" s="18"/>
    </row>
    <row r="19876">
      <c r="C19876" s="18"/>
      <c r="D19876" s="19"/>
      <c r="E19876" s="57"/>
      <c r="H19876" s="18"/>
    </row>
    <row r="19877">
      <c r="C19877" s="18"/>
      <c r="D19877" s="19"/>
      <c r="E19877" s="57"/>
      <c r="H19877" s="18"/>
    </row>
    <row r="19878">
      <c r="C19878" s="18"/>
      <c r="D19878" s="19"/>
      <c r="E19878" s="57"/>
      <c r="H19878" s="18"/>
    </row>
    <row r="19879">
      <c r="C19879" s="18"/>
      <c r="D19879" s="19"/>
      <c r="E19879" s="57"/>
      <c r="H19879" s="18"/>
    </row>
    <row r="19880">
      <c r="C19880" s="18"/>
      <c r="D19880" s="19"/>
      <c r="E19880" s="57"/>
      <c r="H19880" s="18"/>
    </row>
    <row r="19881">
      <c r="C19881" s="18"/>
      <c r="D19881" s="19"/>
      <c r="E19881" s="57"/>
      <c r="H19881" s="18"/>
    </row>
    <row r="19882">
      <c r="C19882" s="18"/>
      <c r="D19882" s="19"/>
      <c r="E19882" s="57"/>
      <c r="H19882" s="18"/>
    </row>
    <row r="19883">
      <c r="C19883" s="18"/>
      <c r="D19883" s="19"/>
      <c r="E19883" s="57"/>
      <c r="H19883" s="18"/>
    </row>
    <row r="19884">
      <c r="C19884" s="18"/>
      <c r="D19884" s="19"/>
      <c r="E19884" s="57"/>
      <c r="H19884" s="18"/>
    </row>
    <row r="19885">
      <c r="C19885" s="18"/>
      <c r="D19885" s="19"/>
      <c r="E19885" s="57"/>
      <c r="H19885" s="18"/>
    </row>
    <row r="19886">
      <c r="C19886" s="18"/>
      <c r="D19886" s="19"/>
      <c r="E19886" s="57"/>
      <c r="H19886" s="18"/>
    </row>
    <row r="19887">
      <c r="C19887" s="18"/>
      <c r="D19887" s="19"/>
      <c r="E19887" s="57"/>
      <c r="H19887" s="18"/>
    </row>
    <row r="19888">
      <c r="C19888" s="18"/>
      <c r="D19888" s="19"/>
      <c r="E19888" s="57"/>
      <c r="H19888" s="18"/>
    </row>
    <row r="19889">
      <c r="C19889" s="18"/>
      <c r="D19889" s="19"/>
      <c r="E19889" s="57"/>
      <c r="H19889" s="18"/>
    </row>
    <row r="19890">
      <c r="C19890" s="18"/>
      <c r="D19890" s="19"/>
      <c r="E19890" s="57"/>
      <c r="H19890" s="18"/>
    </row>
    <row r="19891">
      <c r="C19891" s="18"/>
      <c r="D19891" s="19"/>
      <c r="E19891" s="57"/>
      <c r="H19891" s="18"/>
    </row>
    <row r="19892">
      <c r="C19892" s="18"/>
      <c r="D19892" s="19"/>
      <c r="E19892" s="57"/>
      <c r="H19892" s="18"/>
    </row>
    <row r="19893">
      <c r="C19893" s="18"/>
      <c r="D19893" s="19"/>
      <c r="E19893" s="57"/>
      <c r="H19893" s="18"/>
    </row>
    <row r="19894">
      <c r="C19894" s="18"/>
      <c r="D19894" s="19"/>
      <c r="E19894" s="57"/>
      <c r="H19894" s="18"/>
    </row>
    <row r="19895">
      <c r="C19895" s="18"/>
      <c r="D19895" s="19"/>
      <c r="E19895" s="57"/>
      <c r="H19895" s="18"/>
    </row>
    <row r="19896">
      <c r="C19896" s="18"/>
      <c r="D19896" s="19"/>
      <c r="E19896" s="57"/>
      <c r="H19896" s="18"/>
    </row>
    <row r="19897">
      <c r="C19897" s="18"/>
      <c r="D19897" s="19"/>
      <c r="E19897" s="57"/>
      <c r="H19897" s="18"/>
    </row>
    <row r="19898">
      <c r="C19898" s="18"/>
      <c r="D19898" s="19"/>
      <c r="E19898" s="57"/>
      <c r="H19898" s="18"/>
    </row>
    <row r="19899">
      <c r="C19899" s="18"/>
      <c r="D19899" s="19"/>
      <c r="E19899" s="57"/>
      <c r="H19899" s="18"/>
    </row>
    <row r="19900">
      <c r="C19900" s="18"/>
      <c r="D19900" s="19"/>
      <c r="E19900" s="57"/>
      <c r="H19900" s="18"/>
    </row>
    <row r="19901">
      <c r="C19901" s="18"/>
      <c r="D19901" s="19"/>
      <c r="E19901" s="57"/>
      <c r="H19901" s="18"/>
    </row>
    <row r="19902">
      <c r="C19902" s="18"/>
      <c r="D19902" s="19"/>
      <c r="E19902" s="57"/>
      <c r="H19902" s="18"/>
    </row>
    <row r="19903">
      <c r="C19903" s="18"/>
      <c r="D19903" s="19"/>
      <c r="E19903" s="57"/>
      <c r="H19903" s="18"/>
    </row>
    <row r="19904">
      <c r="C19904" s="18"/>
      <c r="D19904" s="19"/>
      <c r="E19904" s="57"/>
      <c r="H19904" s="18"/>
    </row>
    <row r="19905">
      <c r="C19905" s="18"/>
      <c r="D19905" s="19"/>
      <c r="E19905" s="57"/>
      <c r="H19905" s="18"/>
    </row>
    <row r="19906">
      <c r="C19906" s="18"/>
      <c r="D19906" s="19"/>
      <c r="E19906" s="57"/>
      <c r="H19906" s="18"/>
    </row>
    <row r="19907">
      <c r="C19907" s="18"/>
      <c r="D19907" s="19"/>
      <c r="E19907" s="57"/>
      <c r="H19907" s="18"/>
    </row>
    <row r="19908">
      <c r="C19908" s="18"/>
      <c r="D19908" s="19"/>
      <c r="E19908" s="57"/>
      <c r="H19908" s="18"/>
    </row>
    <row r="19909">
      <c r="C19909" s="18"/>
      <c r="D19909" s="19"/>
      <c r="E19909" s="57"/>
      <c r="H19909" s="18"/>
    </row>
    <row r="19910">
      <c r="C19910" s="18"/>
      <c r="D19910" s="19"/>
      <c r="E19910" s="57"/>
      <c r="H19910" s="18"/>
    </row>
    <row r="19911">
      <c r="C19911" s="18"/>
      <c r="D19911" s="19"/>
      <c r="E19911" s="57"/>
      <c r="H19911" s="18"/>
    </row>
    <row r="19912">
      <c r="C19912" s="18"/>
      <c r="D19912" s="19"/>
      <c r="E19912" s="57"/>
      <c r="H19912" s="18"/>
    </row>
    <row r="19913">
      <c r="C19913" s="18"/>
      <c r="D19913" s="19"/>
      <c r="E19913" s="57"/>
      <c r="H19913" s="18"/>
    </row>
    <row r="19914">
      <c r="C19914" s="18"/>
      <c r="D19914" s="19"/>
      <c r="E19914" s="57"/>
      <c r="H19914" s="18"/>
    </row>
    <row r="19915">
      <c r="C19915" s="18"/>
      <c r="D19915" s="19"/>
      <c r="E19915" s="57"/>
      <c r="H19915" s="18"/>
    </row>
    <row r="19916">
      <c r="C19916" s="18"/>
      <c r="D19916" s="19"/>
      <c r="E19916" s="57"/>
      <c r="H19916" s="18"/>
    </row>
    <row r="19917">
      <c r="C19917" s="18"/>
      <c r="D19917" s="19"/>
      <c r="E19917" s="57"/>
      <c r="H19917" s="18"/>
    </row>
    <row r="19918">
      <c r="C19918" s="18"/>
      <c r="D19918" s="19"/>
      <c r="E19918" s="57"/>
      <c r="H19918" s="18"/>
    </row>
    <row r="19919">
      <c r="C19919" s="18"/>
      <c r="D19919" s="19"/>
      <c r="E19919" s="57"/>
      <c r="H19919" s="18"/>
    </row>
    <row r="19920">
      <c r="C19920" s="18"/>
      <c r="D19920" s="19"/>
      <c r="E19920" s="57"/>
      <c r="H19920" s="18"/>
    </row>
    <row r="19921">
      <c r="C19921" s="18"/>
      <c r="D19921" s="19"/>
      <c r="E19921" s="57"/>
      <c r="H19921" s="18"/>
    </row>
    <row r="19922">
      <c r="C19922" s="18"/>
      <c r="D19922" s="19"/>
      <c r="E19922" s="57"/>
      <c r="H19922" s="18"/>
    </row>
    <row r="19923">
      <c r="C19923" s="18"/>
      <c r="D19923" s="19"/>
      <c r="E19923" s="57"/>
      <c r="H19923" s="18"/>
    </row>
    <row r="19924">
      <c r="C19924" s="18"/>
      <c r="D19924" s="19"/>
      <c r="E19924" s="57"/>
      <c r="H19924" s="18"/>
    </row>
    <row r="19925">
      <c r="C19925" s="18"/>
      <c r="D19925" s="19"/>
      <c r="E19925" s="57"/>
      <c r="H19925" s="18"/>
    </row>
    <row r="19926">
      <c r="C19926" s="18"/>
      <c r="D19926" s="19"/>
      <c r="E19926" s="57"/>
      <c r="H19926" s="18"/>
    </row>
    <row r="19927">
      <c r="C19927" s="18"/>
      <c r="D19927" s="19"/>
      <c r="E19927" s="57"/>
      <c r="H19927" s="18"/>
    </row>
    <row r="19928">
      <c r="C19928" s="18"/>
      <c r="D19928" s="19"/>
      <c r="E19928" s="57"/>
      <c r="H19928" s="18"/>
    </row>
    <row r="19929">
      <c r="C19929" s="18"/>
      <c r="D19929" s="19"/>
      <c r="E19929" s="57"/>
      <c r="H19929" s="18"/>
    </row>
    <row r="19930">
      <c r="C19930" s="18"/>
      <c r="D19930" s="19"/>
      <c r="E19930" s="57"/>
      <c r="H19930" s="18"/>
    </row>
    <row r="19931">
      <c r="C19931" s="18"/>
      <c r="D19931" s="19"/>
      <c r="E19931" s="57"/>
      <c r="H19931" s="18"/>
    </row>
    <row r="19932">
      <c r="C19932" s="18"/>
      <c r="D19932" s="19"/>
      <c r="E19932" s="57"/>
      <c r="H19932" s="18"/>
    </row>
    <row r="19933">
      <c r="C19933" s="18"/>
      <c r="D19933" s="19"/>
      <c r="E19933" s="57"/>
      <c r="H19933" s="18"/>
    </row>
    <row r="19934">
      <c r="C19934" s="18"/>
      <c r="D19934" s="19"/>
      <c r="E19934" s="57"/>
      <c r="H19934" s="18"/>
    </row>
    <row r="19935">
      <c r="C19935" s="18"/>
      <c r="D19935" s="19"/>
      <c r="E19935" s="57"/>
      <c r="H19935" s="18"/>
    </row>
    <row r="19936">
      <c r="C19936" s="18"/>
      <c r="D19936" s="19"/>
      <c r="E19936" s="57"/>
      <c r="H19936" s="18"/>
    </row>
    <row r="19937">
      <c r="C19937" s="18"/>
      <c r="D19937" s="19"/>
      <c r="E19937" s="57"/>
      <c r="H19937" s="18"/>
    </row>
    <row r="19938">
      <c r="C19938" s="18"/>
      <c r="D19938" s="19"/>
      <c r="E19938" s="57"/>
      <c r="H19938" s="18"/>
    </row>
    <row r="19939">
      <c r="C19939" s="18"/>
      <c r="D19939" s="19"/>
      <c r="E19939" s="57"/>
      <c r="H19939" s="18"/>
    </row>
    <row r="19940">
      <c r="C19940" s="18"/>
      <c r="D19940" s="19"/>
      <c r="E19940" s="57"/>
      <c r="H19940" s="18"/>
    </row>
    <row r="19941">
      <c r="C19941" s="18"/>
      <c r="D19941" s="19"/>
      <c r="E19941" s="57"/>
      <c r="H19941" s="18"/>
    </row>
    <row r="19942">
      <c r="C19942" s="18"/>
      <c r="D19942" s="19"/>
      <c r="E19942" s="57"/>
      <c r="H19942" s="18"/>
    </row>
    <row r="19943">
      <c r="C19943" s="18"/>
      <c r="D19943" s="19"/>
      <c r="E19943" s="57"/>
      <c r="H19943" s="18"/>
    </row>
    <row r="19944">
      <c r="C19944" s="18"/>
      <c r="D19944" s="19"/>
      <c r="E19944" s="57"/>
      <c r="H19944" s="18"/>
    </row>
    <row r="19945">
      <c r="C19945" s="18"/>
      <c r="D19945" s="19"/>
      <c r="E19945" s="57"/>
      <c r="H19945" s="18"/>
    </row>
    <row r="19946">
      <c r="C19946" s="18"/>
      <c r="D19946" s="19"/>
      <c r="E19946" s="57"/>
      <c r="H19946" s="18"/>
    </row>
    <row r="19947">
      <c r="C19947" s="18"/>
      <c r="D19947" s="19"/>
      <c r="E19947" s="57"/>
      <c r="H19947" s="18"/>
    </row>
    <row r="19948">
      <c r="C19948" s="18"/>
      <c r="D19948" s="19"/>
      <c r="E19948" s="57"/>
      <c r="H19948" s="18"/>
    </row>
    <row r="19949">
      <c r="C19949" s="18"/>
      <c r="D19949" s="19"/>
      <c r="E19949" s="57"/>
      <c r="H19949" s="18"/>
    </row>
    <row r="19950">
      <c r="C19950" s="18"/>
      <c r="D19950" s="19"/>
      <c r="E19950" s="57"/>
      <c r="H19950" s="18"/>
    </row>
    <row r="19951">
      <c r="C19951" s="18"/>
      <c r="D19951" s="19"/>
      <c r="E19951" s="57"/>
      <c r="H19951" s="18"/>
    </row>
    <row r="19952">
      <c r="C19952" s="18"/>
      <c r="D19952" s="19"/>
      <c r="E19952" s="57"/>
      <c r="H19952" s="18"/>
    </row>
    <row r="19953">
      <c r="C19953" s="18"/>
      <c r="D19953" s="19"/>
      <c r="E19953" s="57"/>
      <c r="H19953" s="18"/>
    </row>
    <row r="19954">
      <c r="C19954" s="18"/>
      <c r="D19954" s="19"/>
      <c r="E19954" s="57"/>
      <c r="H19954" s="18"/>
    </row>
    <row r="19955">
      <c r="C19955" s="18"/>
      <c r="D19955" s="19"/>
      <c r="E19955" s="57"/>
      <c r="H19955" s="18"/>
    </row>
    <row r="19956">
      <c r="C19956" s="18"/>
      <c r="D19956" s="19"/>
      <c r="E19956" s="57"/>
      <c r="H19956" s="18"/>
    </row>
    <row r="19957">
      <c r="C19957" s="18"/>
      <c r="D19957" s="19"/>
      <c r="E19957" s="57"/>
      <c r="H19957" s="18"/>
    </row>
    <row r="19958">
      <c r="C19958" s="18"/>
      <c r="D19958" s="19"/>
      <c r="E19958" s="57"/>
      <c r="H19958" s="18"/>
    </row>
    <row r="19959">
      <c r="C19959" s="18"/>
      <c r="D19959" s="19"/>
      <c r="E19959" s="57"/>
      <c r="H19959" s="18"/>
    </row>
    <row r="19960">
      <c r="C19960" s="18"/>
      <c r="D19960" s="19"/>
      <c r="E19960" s="57"/>
      <c r="H19960" s="18"/>
    </row>
    <row r="19961">
      <c r="C19961" s="18"/>
      <c r="D19961" s="19"/>
      <c r="E19961" s="57"/>
      <c r="H19961" s="18"/>
    </row>
    <row r="19962">
      <c r="C19962" s="18"/>
      <c r="D19962" s="19"/>
      <c r="E19962" s="57"/>
      <c r="H19962" s="18"/>
    </row>
    <row r="19963">
      <c r="C19963" s="18"/>
      <c r="D19963" s="19"/>
      <c r="E19963" s="57"/>
      <c r="H19963" s="18"/>
    </row>
    <row r="19964">
      <c r="C19964" s="18"/>
      <c r="D19964" s="19"/>
      <c r="E19964" s="57"/>
      <c r="H19964" s="18"/>
    </row>
    <row r="19965">
      <c r="C19965" s="18"/>
      <c r="D19965" s="19"/>
      <c r="E19965" s="57"/>
      <c r="H19965" s="18"/>
    </row>
    <row r="19966">
      <c r="C19966" s="18"/>
      <c r="D19966" s="19"/>
      <c r="E19966" s="57"/>
      <c r="H19966" s="18"/>
    </row>
    <row r="19967">
      <c r="C19967" s="18"/>
      <c r="D19967" s="19"/>
      <c r="E19967" s="57"/>
      <c r="H19967" s="18"/>
    </row>
    <row r="19968">
      <c r="C19968" s="18"/>
      <c r="D19968" s="19"/>
      <c r="E19968" s="57"/>
      <c r="H19968" s="18"/>
    </row>
    <row r="19969">
      <c r="C19969" s="18"/>
      <c r="D19969" s="19"/>
      <c r="E19969" s="57"/>
      <c r="H19969" s="18"/>
    </row>
    <row r="19970">
      <c r="C19970" s="18"/>
      <c r="D19970" s="19"/>
      <c r="E19970" s="57"/>
      <c r="H19970" s="18"/>
    </row>
    <row r="19971">
      <c r="C19971" s="18"/>
      <c r="D19971" s="19"/>
      <c r="E19971" s="57"/>
      <c r="H19971" s="18"/>
    </row>
    <row r="19972">
      <c r="C19972" s="18"/>
      <c r="D19972" s="19"/>
      <c r="E19972" s="57"/>
      <c r="H19972" s="18"/>
    </row>
    <row r="19973">
      <c r="C19973" s="18"/>
      <c r="D19973" s="19"/>
      <c r="E19973" s="57"/>
      <c r="H19973" s="18"/>
    </row>
    <row r="19974">
      <c r="C19974" s="18"/>
      <c r="D19974" s="19"/>
      <c r="E19974" s="57"/>
      <c r="H19974" s="18"/>
    </row>
    <row r="19975">
      <c r="C19975" s="18"/>
      <c r="D19975" s="19"/>
      <c r="E19975" s="57"/>
      <c r="H19975" s="18"/>
    </row>
    <row r="19976">
      <c r="C19976" s="18"/>
      <c r="D19976" s="19"/>
      <c r="E19976" s="57"/>
      <c r="H19976" s="18"/>
    </row>
    <row r="19977">
      <c r="C19977" s="18"/>
      <c r="D19977" s="19"/>
      <c r="E19977" s="57"/>
      <c r="H19977" s="18"/>
    </row>
    <row r="19978">
      <c r="C19978" s="18"/>
      <c r="D19978" s="19"/>
      <c r="E19978" s="57"/>
      <c r="H19978" s="18"/>
    </row>
    <row r="19979">
      <c r="C19979" s="18"/>
      <c r="D19979" s="19"/>
      <c r="E19979" s="57"/>
      <c r="H19979" s="18"/>
    </row>
    <row r="19980">
      <c r="C19980" s="18"/>
      <c r="D19980" s="19"/>
      <c r="E19980" s="57"/>
      <c r="H19980" s="18"/>
    </row>
    <row r="19981">
      <c r="C19981" s="18"/>
      <c r="D19981" s="19"/>
      <c r="E19981" s="57"/>
      <c r="H19981" s="18"/>
    </row>
    <row r="19982">
      <c r="C19982" s="18"/>
      <c r="D19982" s="19"/>
      <c r="E19982" s="57"/>
      <c r="H19982" s="18"/>
    </row>
    <row r="19983">
      <c r="C19983" s="18"/>
      <c r="D19983" s="19"/>
      <c r="E19983" s="57"/>
      <c r="H19983" s="18"/>
    </row>
    <row r="19984">
      <c r="C19984" s="18"/>
      <c r="D19984" s="19"/>
      <c r="E19984" s="57"/>
      <c r="H19984" s="18"/>
    </row>
    <row r="19985">
      <c r="C19985" s="18"/>
      <c r="D19985" s="19"/>
      <c r="E19985" s="57"/>
      <c r="H19985" s="18"/>
    </row>
    <row r="19986">
      <c r="C19986" s="18"/>
      <c r="D19986" s="19"/>
      <c r="E19986" s="57"/>
      <c r="H19986" s="18"/>
    </row>
    <row r="19987">
      <c r="C19987" s="18"/>
      <c r="D19987" s="19"/>
      <c r="E19987" s="57"/>
      <c r="H19987" s="18"/>
    </row>
    <row r="19988">
      <c r="C19988" s="18"/>
      <c r="D19988" s="19"/>
      <c r="E19988" s="57"/>
      <c r="H19988" s="18"/>
    </row>
    <row r="19989">
      <c r="C19989" s="18"/>
      <c r="D19989" s="19"/>
      <c r="E19989" s="57"/>
      <c r="H19989" s="18"/>
    </row>
    <row r="19990">
      <c r="C19990" s="18"/>
      <c r="D19990" s="19"/>
      <c r="E19990" s="57"/>
      <c r="H19990" s="18"/>
    </row>
    <row r="19991">
      <c r="C19991" s="18"/>
      <c r="D19991" s="19"/>
      <c r="E19991" s="57"/>
      <c r="H19991" s="18"/>
    </row>
    <row r="19992">
      <c r="C19992" s="18"/>
      <c r="D19992" s="19"/>
      <c r="E19992" s="57"/>
      <c r="H19992" s="18"/>
    </row>
    <row r="19993">
      <c r="C19993" s="18"/>
      <c r="D19993" s="19"/>
      <c r="E19993" s="57"/>
      <c r="H19993" s="18"/>
    </row>
    <row r="19994">
      <c r="C19994" s="18"/>
      <c r="D19994" s="19"/>
      <c r="E19994" s="57"/>
      <c r="H19994" s="18"/>
    </row>
    <row r="19995">
      <c r="C19995" s="18"/>
      <c r="D19995" s="19"/>
      <c r="E19995" s="57"/>
      <c r="H19995" s="18"/>
    </row>
    <row r="19996">
      <c r="C19996" s="18"/>
      <c r="D19996" s="19"/>
      <c r="E19996" s="57"/>
      <c r="H19996" s="18"/>
    </row>
    <row r="19997">
      <c r="C19997" s="18"/>
      <c r="D19997" s="19"/>
      <c r="E19997" s="57"/>
      <c r="H19997" s="18"/>
    </row>
    <row r="19998">
      <c r="C19998" s="18"/>
      <c r="D19998" s="19"/>
      <c r="E19998" s="57"/>
      <c r="H19998" s="18"/>
    </row>
    <row r="19999">
      <c r="C19999" s="18"/>
      <c r="D19999" s="19"/>
      <c r="E19999" s="57"/>
      <c r="H19999" s="18"/>
    </row>
    <row r="20000">
      <c r="C20000" s="18"/>
      <c r="D20000" s="19"/>
      <c r="E20000" s="57"/>
      <c r="H20000" s="18"/>
    </row>
    <row r="20001">
      <c r="C20001" s="18"/>
      <c r="D20001" s="19"/>
      <c r="E20001" s="57"/>
      <c r="H20001" s="18"/>
    </row>
    <row r="20002">
      <c r="C20002" s="18"/>
      <c r="D20002" s="19"/>
      <c r="E20002" s="57"/>
      <c r="H20002" s="18"/>
    </row>
    <row r="20003">
      <c r="C20003" s="18"/>
      <c r="D20003" s="19"/>
      <c r="E20003" s="57"/>
      <c r="H20003" s="18"/>
    </row>
    <row r="20004">
      <c r="C20004" s="18"/>
      <c r="D20004" s="19"/>
      <c r="E20004" s="57"/>
      <c r="H20004" s="18"/>
    </row>
    <row r="20005">
      <c r="C20005" s="18"/>
      <c r="D20005" s="19"/>
      <c r="E20005" s="57"/>
      <c r="H20005" s="18"/>
    </row>
    <row r="20006">
      <c r="C20006" s="18"/>
      <c r="D20006" s="19"/>
      <c r="E20006" s="57"/>
      <c r="H20006" s="18"/>
    </row>
    <row r="20007">
      <c r="C20007" s="18"/>
      <c r="D20007" s="19"/>
      <c r="E20007" s="57"/>
      <c r="H20007" s="18"/>
    </row>
    <row r="20008">
      <c r="C20008" s="18"/>
      <c r="D20008" s="19"/>
      <c r="E20008" s="57"/>
      <c r="H20008" s="18"/>
    </row>
    <row r="20009">
      <c r="C20009" s="18"/>
      <c r="D20009" s="19"/>
      <c r="E20009" s="57"/>
      <c r="H20009" s="18"/>
    </row>
    <row r="20010">
      <c r="C20010" s="18"/>
      <c r="D20010" s="19"/>
      <c r="E20010" s="57"/>
      <c r="H20010" s="18"/>
    </row>
    <row r="20011">
      <c r="C20011" s="18"/>
      <c r="D20011" s="19"/>
      <c r="E20011" s="57"/>
      <c r="H20011" s="18"/>
    </row>
    <row r="20012">
      <c r="C20012" s="18"/>
      <c r="D20012" s="19"/>
      <c r="E20012" s="57"/>
      <c r="H20012" s="18"/>
    </row>
    <row r="20013">
      <c r="C20013" s="18"/>
      <c r="D20013" s="19"/>
      <c r="E20013" s="57"/>
      <c r="H20013" s="18"/>
    </row>
    <row r="20014">
      <c r="C20014" s="18"/>
      <c r="D20014" s="19"/>
      <c r="E20014" s="57"/>
      <c r="H20014" s="18"/>
    </row>
    <row r="20015">
      <c r="C20015" s="18"/>
      <c r="D20015" s="19"/>
      <c r="E20015" s="57"/>
      <c r="H20015" s="18"/>
    </row>
    <row r="20016">
      <c r="C20016" s="18"/>
      <c r="D20016" s="19"/>
      <c r="E20016" s="57"/>
      <c r="H20016" s="18"/>
    </row>
    <row r="20017">
      <c r="C20017" s="18"/>
      <c r="D20017" s="19"/>
      <c r="E20017" s="57"/>
      <c r="H20017" s="18"/>
    </row>
    <row r="20018">
      <c r="C20018" s="18"/>
      <c r="D20018" s="19"/>
      <c r="E20018" s="57"/>
      <c r="H20018" s="18"/>
    </row>
    <row r="20019">
      <c r="C20019" s="18"/>
      <c r="D20019" s="19"/>
      <c r="E20019" s="57"/>
      <c r="H20019" s="18"/>
    </row>
    <row r="20020">
      <c r="C20020" s="18"/>
      <c r="D20020" s="19"/>
      <c r="E20020" s="57"/>
      <c r="H20020" s="18"/>
    </row>
    <row r="20021">
      <c r="C20021" s="18"/>
      <c r="D20021" s="19"/>
      <c r="E20021" s="57"/>
      <c r="H20021" s="18"/>
    </row>
    <row r="20022">
      <c r="C20022" s="18"/>
      <c r="D20022" s="19"/>
      <c r="E20022" s="57"/>
      <c r="H20022" s="18"/>
    </row>
    <row r="20023">
      <c r="C20023" s="18"/>
      <c r="D20023" s="19"/>
      <c r="E20023" s="57"/>
      <c r="H20023" s="18"/>
    </row>
    <row r="20024">
      <c r="C20024" s="18"/>
      <c r="D20024" s="19"/>
      <c r="E20024" s="57"/>
      <c r="H20024" s="18"/>
    </row>
    <row r="20025">
      <c r="C20025" s="18"/>
      <c r="D20025" s="19"/>
      <c r="E20025" s="57"/>
      <c r="H20025" s="18"/>
    </row>
    <row r="20026">
      <c r="C20026" s="18"/>
      <c r="D20026" s="19"/>
      <c r="E20026" s="57"/>
      <c r="H20026" s="18"/>
    </row>
    <row r="20027">
      <c r="C20027" s="18"/>
      <c r="D20027" s="19"/>
      <c r="E20027" s="57"/>
      <c r="H20027" s="18"/>
    </row>
    <row r="20028">
      <c r="C20028" s="18"/>
      <c r="D20028" s="19"/>
      <c r="E20028" s="57"/>
      <c r="H20028" s="18"/>
    </row>
    <row r="20029">
      <c r="C20029" s="18"/>
      <c r="D20029" s="19"/>
      <c r="E20029" s="57"/>
      <c r="H20029" s="18"/>
    </row>
    <row r="20030">
      <c r="C20030" s="18"/>
      <c r="D20030" s="19"/>
      <c r="E20030" s="57"/>
      <c r="H20030" s="18"/>
    </row>
    <row r="20031">
      <c r="C20031" s="18"/>
      <c r="D20031" s="19"/>
      <c r="E20031" s="57"/>
      <c r="H20031" s="18"/>
    </row>
    <row r="20032">
      <c r="C20032" s="18"/>
      <c r="D20032" s="19"/>
      <c r="E20032" s="57"/>
      <c r="H20032" s="18"/>
    </row>
    <row r="20033">
      <c r="C20033" s="18"/>
      <c r="D20033" s="19"/>
      <c r="E20033" s="57"/>
      <c r="H20033" s="18"/>
    </row>
    <row r="20034">
      <c r="C20034" s="18"/>
      <c r="D20034" s="19"/>
      <c r="E20034" s="57"/>
      <c r="H20034" s="18"/>
    </row>
    <row r="20035">
      <c r="C20035" s="18"/>
      <c r="D20035" s="19"/>
      <c r="E20035" s="57"/>
      <c r="H20035" s="18"/>
    </row>
    <row r="20036">
      <c r="C20036" s="18"/>
      <c r="D20036" s="19"/>
      <c r="E20036" s="57"/>
      <c r="H20036" s="18"/>
    </row>
    <row r="20037">
      <c r="C20037" s="18"/>
      <c r="D20037" s="19"/>
      <c r="E20037" s="57"/>
      <c r="H20037" s="18"/>
    </row>
    <row r="20038">
      <c r="C20038" s="18"/>
      <c r="D20038" s="19"/>
      <c r="E20038" s="57"/>
      <c r="H20038" s="18"/>
    </row>
    <row r="20039">
      <c r="C20039" s="18"/>
      <c r="D20039" s="19"/>
      <c r="E20039" s="57"/>
      <c r="H20039" s="18"/>
    </row>
    <row r="20040">
      <c r="C20040" s="18"/>
      <c r="D20040" s="19"/>
      <c r="E20040" s="57"/>
      <c r="H20040" s="18"/>
    </row>
    <row r="20041">
      <c r="C20041" s="18"/>
      <c r="D20041" s="19"/>
      <c r="E20041" s="57"/>
      <c r="H20041" s="18"/>
    </row>
    <row r="20042">
      <c r="C20042" s="18"/>
      <c r="D20042" s="19"/>
      <c r="E20042" s="57"/>
      <c r="H20042" s="18"/>
    </row>
    <row r="20043">
      <c r="C20043" s="18"/>
      <c r="D20043" s="19"/>
      <c r="E20043" s="57"/>
      <c r="H20043" s="18"/>
    </row>
    <row r="20044">
      <c r="C20044" s="18"/>
      <c r="D20044" s="19"/>
      <c r="E20044" s="57"/>
      <c r="H20044" s="18"/>
    </row>
    <row r="20045">
      <c r="C20045" s="18"/>
      <c r="D20045" s="19"/>
      <c r="E20045" s="57"/>
      <c r="H20045" s="18"/>
    </row>
    <row r="20046">
      <c r="C20046" s="18"/>
      <c r="D20046" s="19"/>
      <c r="E20046" s="57"/>
      <c r="H20046" s="18"/>
    </row>
    <row r="20047">
      <c r="C20047" s="18"/>
      <c r="D20047" s="19"/>
      <c r="E20047" s="57"/>
      <c r="H20047" s="18"/>
    </row>
    <row r="20048">
      <c r="C20048" s="18"/>
      <c r="D20048" s="19"/>
      <c r="E20048" s="57"/>
      <c r="H20048" s="18"/>
    </row>
    <row r="20049">
      <c r="C20049" s="18"/>
      <c r="D20049" s="19"/>
      <c r="E20049" s="57"/>
      <c r="H20049" s="18"/>
    </row>
    <row r="20050">
      <c r="C20050" s="18"/>
      <c r="D20050" s="19"/>
      <c r="E20050" s="57"/>
      <c r="H20050" s="18"/>
    </row>
    <row r="20051">
      <c r="C20051" s="18"/>
      <c r="D20051" s="19"/>
      <c r="E20051" s="57"/>
      <c r="H20051" s="18"/>
    </row>
    <row r="20052">
      <c r="C20052" s="18"/>
      <c r="D20052" s="19"/>
      <c r="E20052" s="57"/>
      <c r="H20052" s="18"/>
    </row>
    <row r="20053">
      <c r="C20053" s="18"/>
      <c r="D20053" s="19"/>
      <c r="E20053" s="57"/>
      <c r="H20053" s="18"/>
    </row>
    <row r="20054">
      <c r="C20054" s="18"/>
      <c r="D20054" s="19"/>
      <c r="E20054" s="57"/>
      <c r="H20054" s="18"/>
    </row>
    <row r="20055">
      <c r="C20055" s="18"/>
      <c r="D20055" s="19"/>
      <c r="E20055" s="57"/>
      <c r="H20055" s="18"/>
    </row>
    <row r="20056">
      <c r="C20056" s="18"/>
      <c r="D20056" s="19"/>
      <c r="E20056" s="57"/>
      <c r="H20056" s="18"/>
    </row>
    <row r="20057">
      <c r="C20057" s="18"/>
      <c r="D20057" s="19"/>
      <c r="E20057" s="57"/>
      <c r="H20057" s="18"/>
    </row>
    <row r="20058">
      <c r="C20058" s="18"/>
      <c r="D20058" s="19"/>
      <c r="E20058" s="57"/>
      <c r="H20058" s="18"/>
    </row>
    <row r="20059">
      <c r="C20059" s="18"/>
      <c r="D20059" s="19"/>
      <c r="E20059" s="57"/>
      <c r="H20059" s="18"/>
    </row>
    <row r="20060">
      <c r="C20060" s="18"/>
      <c r="D20060" s="19"/>
      <c r="E20060" s="57"/>
      <c r="H20060" s="18"/>
    </row>
    <row r="20061">
      <c r="C20061" s="18"/>
      <c r="D20061" s="19"/>
      <c r="E20061" s="57"/>
      <c r="H20061" s="18"/>
    </row>
    <row r="20062">
      <c r="C20062" s="18"/>
      <c r="D20062" s="19"/>
      <c r="E20062" s="57"/>
      <c r="H20062" s="18"/>
    </row>
    <row r="20063">
      <c r="C20063" s="18"/>
      <c r="D20063" s="19"/>
      <c r="E20063" s="57"/>
      <c r="H20063" s="18"/>
    </row>
    <row r="20064">
      <c r="C20064" s="18"/>
      <c r="D20064" s="19"/>
      <c r="E20064" s="57"/>
      <c r="H20064" s="18"/>
    </row>
    <row r="20065">
      <c r="C20065" s="18"/>
      <c r="D20065" s="19"/>
      <c r="E20065" s="57"/>
      <c r="H20065" s="18"/>
    </row>
    <row r="20066">
      <c r="C20066" s="18"/>
      <c r="D20066" s="19"/>
      <c r="E20066" s="57"/>
      <c r="H20066" s="18"/>
    </row>
    <row r="20067">
      <c r="C20067" s="18"/>
      <c r="D20067" s="19"/>
      <c r="E20067" s="57"/>
      <c r="H20067" s="18"/>
    </row>
    <row r="20068">
      <c r="C20068" s="18"/>
      <c r="D20068" s="19"/>
      <c r="E20068" s="57"/>
      <c r="H20068" s="18"/>
    </row>
    <row r="20069">
      <c r="C20069" s="18"/>
      <c r="D20069" s="19"/>
      <c r="E20069" s="57"/>
      <c r="H20069" s="18"/>
    </row>
    <row r="20070">
      <c r="C20070" s="18"/>
      <c r="D20070" s="19"/>
      <c r="E20070" s="57"/>
      <c r="H20070" s="18"/>
    </row>
    <row r="20071">
      <c r="C20071" s="18"/>
      <c r="D20071" s="19"/>
      <c r="E20071" s="57"/>
      <c r="H20071" s="18"/>
    </row>
    <row r="20072">
      <c r="C20072" s="18"/>
      <c r="D20072" s="19"/>
      <c r="E20072" s="57"/>
      <c r="H20072" s="18"/>
    </row>
    <row r="20073">
      <c r="C20073" s="18"/>
      <c r="D20073" s="19"/>
      <c r="E20073" s="57"/>
      <c r="H20073" s="18"/>
    </row>
    <row r="20074">
      <c r="C20074" s="18"/>
      <c r="D20074" s="19"/>
      <c r="E20074" s="57"/>
      <c r="H20074" s="18"/>
    </row>
    <row r="20075">
      <c r="C20075" s="18"/>
      <c r="D20075" s="19"/>
      <c r="E20075" s="57"/>
      <c r="H20075" s="18"/>
    </row>
    <row r="20076">
      <c r="C20076" s="18"/>
      <c r="D20076" s="19"/>
      <c r="E20076" s="57"/>
      <c r="H20076" s="18"/>
    </row>
    <row r="20077">
      <c r="C20077" s="18"/>
      <c r="D20077" s="19"/>
      <c r="E20077" s="57"/>
      <c r="H20077" s="18"/>
    </row>
    <row r="20078">
      <c r="C20078" s="18"/>
      <c r="D20078" s="19"/>
      <c r="E20078" s="57"/>
      <c r="H20078" s="18"/>
    </row>
    <row r="20079">
      <c r="C20079" s="18"/>
      <c r="D20079" s="19"/>
      <c r="E20079" s="57"/>
      <c r="H20079" s="18"/>
    </row>
    <row r="20080">
      <c r="C20080" s="18"/>
      <c r="D20080" s="19"/>
      <c r="E20080" s="57"/>
      <c r="H20080" s="18"/>
    </row>
    <row r="20081">
      <c r="C20081" s="18"/>
      <c r="D20081" s="19"/>
      <c r="E20081" s="57"/>
      <c r="H20081" s="18"/>
    </row>
    <row r="20082">
      <c r="C20082" s="18"/>
      <c r="D20082" s="19"/>
      <c r="E20082" s="57"/>
      <c r="H20082" s="18"/>
    </row>
    <row r="20083">
      <c r="C20083" s="18"/>
      <c r="D20083" s="19"/>
      <c r="E20083" s="57"/>
      <c r="H20083" s="18"/>
    </row>
    <row r="20084">
      <c r="C20084" s="18"/>
      <c r="D20084" s="19"/>
      <c r="E20084" s="57"/>
      <c r="H20084" s="18"/>
    </row>
    <row r="20085">
      <c r="C20085" s="18"/>
      <c r="D20085" s="19"/>
      <c r="E20085" s="57"/>
      <c r="H20085" s="18"/>
    </row>
    <row r="20086">
      <c r="C20086" s="18"/>
      <c r="D20086" s="19"/>
      <c r="E20086" s="57"/>
      <c r="H20086" s="18"/>
    </row>
    <row r="20087">
      <c r="C20087" s="18"/>
      <c r="D20087" s="19"/>
      <c r="E20087" s="57"/>
      <c r="H20087" s="18"/>
    </row>
    <row r="20088">
      <c r="C20088" s="18"/>
      <c r="D20088" s="19"/>
      <c r="E20088" s="57"/>
      <c r="H20088" s="18"/>
    </row>
    <row r="20089">
      <c r="C20089" s="18"/>
      <c r="D20089" s="19"/>
      <c r="E20089" s="57"/>
      <c r="H20089" s="18"/>
    </row>
    <row r="20090">
      <c r="C20090" s="18"/>
      <c r="D20090" s="19"/>
      <c r="E20090" s="57"/>
      <c r="H20090" s="18"/>
    </row>
    <row r="20091">
      <c r="C20091" s="18"/>
      <c r="D20091" s="19"/>
      <c r="E20091" s="57"/>
      <c r="H20091" s="18"/>
    </row>
    <row r="20092">
      <c r="C20092" s="18"/>
      <c r="D20092" s="19"/>
      <c r="E20092" s="57"/>
      <c r="H20092" s="18"/>
    </row>
    <row r="20093">
      <c r="C20093" s="18"/>
      <c r="D20093" s="19"/>
      <c r="E20093" s="57"/>
      <c r="H20093" s="18"/>
    </row>
    <row r="20094">
      <c r="C20094" s="18"/>
      <c r="D20094" s="19"/>
      <c r="E20094" s="57"/>
      <c r="H20094" s="18"/>
    </row>
    <row r="20095">
      <c r="C20095" s="18"/>
      <c r="D20095" s="19"/>
      <c r="E20095" s="57"/>
      <c r="H20095" s="18"/>
    </row>
    <row r="20096">
      <c r="C20096" s="18"/>
      <c r="D20096" s="19"/>
      <c r="E20096" s="57"/>
      <c r="H20096" s="18"/>
    </row>
    <row r="20097">
      <c r="C20097" s="18"/>
      <c r="D20097" s="19"/>
      <c r="E20097" s="57"/>
      <c r="H20097" s="18"/>
    </row>
    <row r="20098">
      <c r="C20098" s="18"/>
      <c r="D20098" s="19"/>
      <c r="E20098" s="57"/>
      <c r="H20098" s="18"/>
    </row>
    <row r="20099">
      <c r="C20099" s="18"/>
      <c r="D20099" s="19"/>
      <c r="E20099" s="57"/>
      <c r="H20099" s="18"/>
    </row>
    <row r="20100">
      <c r="C20100" s="18"/>
      <c r="D20100" s="19"/>
      <c r="E20100" s="57"/>
      <c r="H20100" s="18"/>
    </row>
    <row r="20101">
      <c r="C20101" s="18"/>
      <c r="D20101" s="19"/>
      <c r="E20101" s="57"/>
      <c r="H20101" s="18"/>
    </row>
    <row r="20102">
      <c r="C20102" s="18"/>
      <c r="D20102" s="19"/>
      <c r="E20102" s="57"/>
      <c r="H20102" s="18"/>
    </row>
    <row r="20103">
      <c r="C20103" s="18"/>
      <c r="D20103" s="19"/>
      <c r="E20103" s="57"/>
      <c r="H20103" s="18"/>
    </row>
    <row r="20104">
      <c r="C20104" s="18"/>
      <c r="D20104" s="19"/>
      <c r="E20104" s="57"/>
      <c r="H20104" s="18"/>
    </row>
    <row r="20105">
      <c r="C20105" s="18"/>
      <c r="D20105" s="19"/>
      <c r="E20105" s="57"/>
      <c r="H20105" s="18"/>
    </row>
    <row r="20106">
      <c r="C20106" s="18"/>
      <c r="D20106" s="19"/>
      <c r="E20106" s="57"/>
      <c r="H20106" s="18"/>
    </row>
    <row r="20107">
      <c r="C20107" s="18"/>
      <c r="D20107" s="19"/>
      <c r="E20107" s="57"/>
      <c r="H20107" s="18"/>
    </row>
    <row r="20108">
      <c r="C20108" s="18"/>
      <c r="D20108" s="19"/>
      <c r="E20108" s="57"/>
      <c r="H20108" s="18"/>
    </row>
    <row r="20109">
      <c r="C20109" s="18"/>
      <c r="D20109" s="19"/>
      <c r="E20109" s="57"/>
      <c r="H20109" s="18"/>
    </row>
    <row r="20110">
      <c r="C20110" s="18"/>
      <c r="D20110" s="19"/>
      <c r="E20110" s="57"/>
      <c r="H20110" s="18"/>
    </row>
    <row r="20111">
      <c r="C20111" s="18"/>
      <c r="D20111" s="19"/>
      <c r="E20111" s="57"/>
      <c r="H20111" s="18"/>
    </row>
    <row r="20112">
      <c r="C20112" s="18"/>
      <c r="D20112" s="19"/>
      <c r="E20112" s="57"/>
      <c r="H20112" s="18"/>
    </row>
    <row r="20113">
      <c r="C20113" s="18"/>
      <c r="D20113" s="19"/>
      <c r="E20113" s="57"/>
      <c r="H20113" s="18"/>
    </row>
    <row r="20114">
      <c r="C20114" s="18"/>
      <c r="D20114" s="19"/>
      <c r="E20114" s="57"/>
      <c r="H20114" s="18"/>
    </row>
    <row r="20115">
      <c r="C20115" s="18"/>
      <c r="D20115" s="19"/>
      <c r="E20115" s="57"/>
      <c r="H20115" s="18"/>
    </row>
    <row r="20116">
      <c r="C20116" s="18"/>
      <c r="D20116" s="19"/>
      <c r="E20116" s="57"/>
      <c r="H20116" s="18"/>
    </row>
    <row r="20117">
      <c r="C20117" s="18"/>
      <c r="D20117" s="19"/>
      <c r="E20117" s="57"/>
      <c r="H20117" s="18"/>
    </row>
    <row r="20118">
      <c r="C20118" s="18"/>
      <c r="D20118" s="19"/>
      <c r="E20118" s="57"/>
      <c r="H20118" s="18"/>
    </row>
    <row r="20119">
      <c r="C20119" s="18"/>
      <c r="D20119" s="19"/>
      <c r="E20119" s="57"/>
      <c r="H20119" s="18"/>
    </row>
    <row r="20120">
      <c r="C20120" s="18"/>
      <c r="D20120" s="19"/>
      <c r="E20120" s="57"/>
      <c r="H20120" s="18"/>
    </row>
    <row r="20121">
      <c r="C20121" s="18"/>
      <c r="D20121" s="19"/>
      <c r="E20121" s="57"/>
      <c r="H20121" s="18"/>
    </row>
    <row r="20122">
      <c r="C20122" s="18"/>
      <c r="D20122" s="19"/>
      <c r="E20122" s="57"/>
      <c r="H20122" s="18"/>
    </row>
    <row r="20123">
      <c r="C20123" s="18"/>
      <c r="D20123" s="19"/>
      <c r="E20123" s="57"/>
      <c r="H20123" s="18"/>
    </row>
    <row r="20124">
      <c r="C20124" s="18"/>
      <c r="D20124" s="19"/>
      <c r="E20124" s="57"/>
      <c r="H20124" s="18"/>
    </row>
    <row r="20125">
      <c r="C20125" s="18"/>
      <c r="D20125" s="19"/>
      <c r="E20125" s="57"/>
      <c r="H20125" s="18"/>
    </row>
    <row r="20126">
      <c r="C20126" s="18"/>
      <c r="D20126" s="19"/>
      <c r="E20126" s="57"/>
      <c r="H20126" s="18"/>
    </row>
    <row r="20127">
      <c r="C20127" s="18"/>
      <c r="D20127" s="19"/>
      <c r="E20127" s="57"/>
      <c r="H20127" s="18"/>
    </row>
    <row r="20128">
      <c r="C20128" s="18"/>
      <c r="D20128" s="19"/>
      <c r="E20128" s="57"/>
      <c r="H20128" s="18"/>
    </row>
    <row r="20129">
      <c r="C20129" s="18"/>
      <c r="D20129" s="19"/>
      <c r="E20129" s="57"/>
      <c r="H20129" s="18"/>
    </row>
    <row r="20130">
      <c r="C20130" s="18"/>
      <c r="D20130" s="19"/>
      <c r="E20130" s="57"/>
      <c r="H20130" s="18"/>
    </row>
    <row r="20131">
      <c r="C20131" s="18"/>
      <c r="D20131" s="19"/>
      <c r="E20131" s="57"/>
      <c r="H20131" s="18"/>
    </row>
    <row r="20132">
      <c r="C20132" s="18"/>
      <c r="D20132" s="19"/>
      <c r="E20132" s="57"/>
      <c r="H20132" s="18"/>
    </row>
    <row r="20133">
      <c r="C20133" s="18"/>
      <c r="D20133" s="19"/>
      <c r="E20133" s="57"/>
      <c r="H20133" s="18"/>
    </row>
    <row r="20134">
      <c r="C20134" s="18"/>
      <c r="D20134" s="19"/>
      <c r="E20134" s="57"/>
      <c r="H20134" s="18"/>
    </row>
    <row r="20135">
      <c r="C20135" s="18"/>
      <c r="D20135" s="19"/>
      <c r="E20135" s="57"/>
      <c r="H20135" s="18"/>
    </row>
    <row r="20136">
      <c r="C20136" s="18"/>
      <c r="D20136" s="19"/>
      <c r="E20136" s="57"/>
      <c r="H20136" s="18"/>
    </row>
    <row r="20137">
      <c r="C20137" s="18"/>
      <c r="D20137" s="19"/>
      <c r="E20137" s="57"/>
      <c r="H20137" s="18"/>
    </row>
    <row r="20138">
      <c r="C20138" s="18"/>
      <c r="D20138" s="19"/>
      <c r="E20138" s="57"/>
      <c r="H20138" s="18"/>
    </row>
    <row r="20139">
      <c r="C20139" s="18"/>
      <c r="D20139" s="19"/>
      <c r="E20139" s="57"/>
      <c r="H20139" s="18"/>
    </row>
    <row r="20140">
      <c r="C20140" s="18"/>
      <c r="D20140" s="19"/>
      <c r="E20140" s="57"/>
      <c r="H20140" s="18"/>
    </row>
    <row r="20141">
      <c r="C20141" s="18"/>
      <c r="D20141" s="19"/>
      <c r="E20141" s="57"/>
      <c r="H20141" s="18"/>
    </row>
    <row r="20142">
      <c r="C20142" s="18"/>
      <c r="D20142" s="19"/>
      <c r="E20142" s="57"/>
      <c r="H20142" s="18"/>
    </row>
    <row r="20143">
      <c r="C20143" s="18"/>
      <c r="D20143" s="19"/>
      <c r="E20143" s="57"/>
      <c r="H20143" s="18"/>
    </row>
    <row r="20144">
      <c r="C20144" s="18"/>
      <c r="D20144" s="19"/>
      <c r="E20144" s="57"/>
      <c r="H20144" s="18"/>
    </row>
    <row r="20145">
      <c r="C20145" s="18"/>
      <c r="D20145" s="19"/>
      <c r="E20145" s="57"/>
      <c r="H20145" s="18"/>
    </row>
    <row r="20146">
      <c r="C20146" s="18"/>
      <c r="D20146" s="19"/>
      <c r="E20146" s="57"/>
      <c r="H20146" s="18"/>
    </row>
    <row r="20147">
      <c r="C20147" s="18"/>
      <c r="D20147" s="19"/>
      <c r="E20147" s="57"/>
      <c r="H20147" s="18"/>
    </row>
    <row r="20148">
      <c r="C20148" s="18"/>
      <c r="D20148" s="19"/>
      <c r="E20148" s="57"/>
      <c r="H20148" s="18"/>
    </row>
    <row r="20149">
      <c r="C20149" s="18"/>
      <c r="D20149" s="19"/>
      <c r="E20149" s="57"/>
      <c r="H20149" s="18"/>
    </row>
    <row r="20150">
      <c r="C20150" s="18"/>
      <c r="D20150" s="19"/>
      <c r="E20150" s="57"/>
      <c r="H20150" s="18"/>
    </row>
    <row r="20151">
      <c r="C20151" s="18"/>
      <c r="D20151" s="19"/>
      <c r="E20151" s="57"/>
      <c r="H20151" s="18"/>
    </row>
    <row r="20152">
      <c r="C20152" s="18"/>
      <c r="D20152" s="19"/>
      <c r="E20152" s="57"/>
      <c r="H20152" s="18"/>
    </row>
    <row r="20153">
      <c r="C20153" s="18"/>
      <c r="D20153" s="19"/>
      <c r="E20153" s="57"/>
      <c r="H20153" s="18"/>
    </row>
    <row r="20154">
      <c r="C20154" s="18"/>
      <c r="D20154" s="19"/>
      <c r="E20154" s="57"/>
      <c r="H20154" s="18"/>
    </row>
    <row r="20155">
      <c r="C20155" s="18"/>
      <c r="D20155" s="19"/>
      <c r="E20155" s="57"/>
      <c r="H20155" s="18"/>
    </row>
    <row r="20156">
      <c r="C20156" s="18"/>
      <c r="D20156" s="19"/>
      <c r="E20156" s="57"/>
      <c r="H20156" s="18"/>
    </row>
    <row r="20157">
      <c r="C20157" s="18"/>
      <c r="D20157" s="19"/>
      <c r="E20157" s="57"/>
      <c r="H20157" s="18"/>
    </row>
    <row r="20158">
      <c r="C20158" s="18"/>
      <c r="D20158" s="19"/>
      <c r="E20158" s="57"/>
      <c r="H20158" s="18"/>
    </row>
    <row r="20159">
      <c r="C20159" s="18"/>
      <c r="D20159" s="19"/>
      <c r="E20159" s="57"/>
      <c r="H20159" s="18"/>
    </row>
    <row r="20160">
      <c r="C20160" s="18"/>
      <c r="D20160" s="19"/>
      <c r="E20160" s="57"/>
      <c r="H20160" s="18"/>
    </row>
    <row r="20161">
      <c r="C20161" s="18"/>
      <c r="D20161" s="19"/>
      <c r="E20161" s="57"/>
      <c r="H20161" s="18"/>
    </row>
    <row r="20162">
      <c r="C20162" s="18"/>
      <c r="D20162" s="19"/>
      <c r="E20162" s="57"/>
      <c r="H20162" s="18"/>
    </row>
    <row r="20163">
      <c r="C20163" s="18"/>
      <c r="D20163" s="19"/>
      <c r="E20163" s="57"/>
      <c r="H20163" s="18"/>
    </row>
    <row r="20164">
      <c r="C20164" s="18"/>
      <c r="D20164" s="19"/>
      <c r="E20164" s="57"/>
      <c r="H20164" s="18"/>
    </row>
    <row r="20165">
      <c r="C20165" s="18"/>
      <c r="D20165" s="19"/>
      <c r="E20165" s="57"/>
      <c r="H20165" s="18"/>
    </row>
    <row r="20166">
      <c r="C20166" s="18"/>
      <c r="D20166" s="19"/>
      <c r="E20166" s="57"/>
      <c r="H20166" s="18"/>
    </row>
    <row r="20167">
      <c r="C20167" s="18"/>
      <c r="D20167" s="19"/>
      <c r="E20167" s="57"/>
      <c r="H20167" s="18"/>
    </row>
    <row r="20168">
      <c r="C20168" s="18"/>
      <c r="D20168" s="19"/>
      <c r="E20168" s="57"/>
      <c r="H20168" s="18"/>
    </row>
    <row r="20169">
      <c r="C20169" s="18"/>
      <c r="D20169" s="19"/>
      <c r="E20169" s="57"/>
      <c r="H20169" s="18"/>
    </row>
    <row r="20170">
      <c r="C20170" s="18"/>
      <c r="D20170" s="19"/>
      <c r="E20170" s="57"/>
      <c r="H20170" s="18"/>
    </row>
    <row r="20171">
      <c r="C20171" s="18"/>
      <c r="D20171" s="19"/>
      <c r="E20171" s="57"/>
      <c r="H20171" s="18"/>
    </row>
    <row r="20172">
      <c r="C20172" s="18"/>
      <c r="D20172" s="19"/>
      <c r="E20172" s="57"/>
      <c r="H20172" s="18"/>
    </row>
    <row r="20173">
      <c r="C20173" s="18"/>
      <c r="D20173" s="19"/>
      <c r="E20173" s="57"/>
      <c r="H20173" s="18"/>
    </row>
    <row r="20174">
      <c r="C20174" s="18"/>
      <c r="D20174" s="19"/>
      <c r="E20174" s="57"/>
      <c r="H20174" s="18"/>
    </row>
    <row r="20175">
      <c r="C20175" s="18"/>
      <c r="D20175" s="19"/>
      <c r="E20175" s="57"/>
      <c r="H20175" s="18"/>
    </row>
    <row r="20176">
      <c r="C20176" s="18"/>
      <c r="D20176" s="19"/>
      <c r="E20176" s="57"/>
      <c r="H20176" s="18"/>
    </row>
    <row r="20177">
      <c r="C20177" s="18"/>
      <c r="D20177" s="19"/>
      <c r="E20177" s="57"/>
      <c r="H20177" s="18"/>
    </row>
    <row r="20178">
      <c r="C20178" s="18"/>
      <c r="D20178" s="19"/>
      <c r="E20178" s="57"/>
      <c r="H20178" s="18"/>
    </row>
    <row r="20179">
      <c r="C20179" s="18"/>
      <c r="D20179" s="19"/>
      <c r="E20179" s="57"/>
      <c r="H20179" s="18"/>
    </row>
    <row r="20180">
      <c r="C20180" s="18"/>
      <c r="D20180" s="19"/>
      <c r="E20180" s="57"/>
      <c r="H20180" s="18"/>
    </row>
    <row r="20181">
      <c r="C20181" s="18"/>
      <c r="D20181" s="19"/>
      <c r="E20181" s="57"/>
      <c r="H20181" s="18"/>
    </row>
    <row r="20182">
      <c r="C20182" s="18"/>
      <c r="D20182" s="19"/>
      <c r="E20182" s="57"/>
      <c r="H20182" s="18"/>
    </row>
    <row r="20183">
      <c r="C20183" s="18"/>
      <c r="D20183" s="19"/>
      <c r="E20183" s="57"/>
      <c r="H20183" s="18"/>
    </row>
    <row r="20184">
      <c r="C20184" s="18"/>
      <c r="D20184" s="19"/>
      <c r="E20184" s="57"/>
      <c r="H20184" s="18"/>
    </row>
    <row r="20185">
      <c r="C20185" s="18"/>
      <c r="D20185" s="19"/>
      <c r="E20185" s="57"/>
      <c r="H20185" s="18"/>
    </row>
    <row r="20186">
      <c r="C20186" s="18"/>
      <c r="D20186" s="19"/>
      <c r="E20186" s="57"/>
      <c r="H20186" s="18"/>
    </row>
    <row r="20187">
      <c r="C20187" s="18"/>
      <c r="D20187" s="19"/>
      <c r="E20187" s="57"/>
      <c r="H20187" s="18"/>
    </row>
    <row r="20188">
      <c r="C20188" s="18"/>
      <c r="D20188" s="19"/>
      <c r="E20188" s="57"/>
      <c r="H20188" s="18"/>
    </row>
    <row r="20189">
      <c r="C20189" s="18"/>
      <c r="D20189" s="19"/>
      <c r="E20189" s="57"/>
      <c r="H20189" s="18"/>
    </row>
    <row r="20190">
      <c r="C20190" s="18"/>
      <c r="D20190" s="19"/>
      <c r="E20190" s="57"/>
      <c r="H20190" s="18"/>
    </row>
    <row r="20191">
      <c r="C20191" s="18"/>
      <c r="D20191" s="19"/>
      <c r="E20191" s="57"/>
      <c r="H20191" s="18"/>
    </row>
    <row r="20192">
      <c r="C20192" s="18"/>
      <c r="D20192" s="19"/>
      <c r="E20192" s="57"/>
      <c r="H20192" s="18"/>
    </row>
    <row r="20193">
      <c r="C20193" s="18"/>
      <c r="D20193" s="19"/>
      <c r="E20193" s="57"/>
      <c r="H20193" s="18"/>
    </row>
    <row r="20194">
      <c r="C20194" s="18"/>
      <c r="D20194" s="19"/>
      <c r="E20194" s="57"/>
      <c r="H20194" s="18"/>
    </row>
    <row r="20195">
      <c r="C20195" s="18"/>
      <c r="D20195" s="19"/>
      <c r="E20195" s="57"/>
      <c r="H20195" s="18"/>
    </row>
    <row r="20196">
      <c r="C20196" s="18"/>
      <c r="D20196" s="19"/>
      <c r="E20196" s="57"/>
      <c r="H20196" s="18"/>
    </row>
    <row r="20197">
      <c r="C20197" s="18"/>
      <c r="D20197" s="19"/>
      <c r="E20197" s="57"/>
      <c r="H20197" s="18"/>
    </row>
    <row r="20198">
      <c r="C20198" s="18"/>
      <c r="D20198" s="19"/>
      <c r="E20198" s="57"/>
      <c r="H20198" s="18"/>
    </row>
    <row r="20199">
      <c r="C20199" s="18"/>
      <c r="D20199" s="19"/>
      <c r="E20199" s="57"/>
      <c r="H20199" s="18"/>
    </row>
    <row r="20200">
      <c r="C20200" s="18"/>
      <c r="D20200" s="19"/>
      <c r="E20200" s="57"/>
      <c r="H20200" s="18"/>
    </row>
    <row r="20201">
      <c r="C20201" s="18"/>
      <c r="D20201" s="19"/>
      <c r="E20201" s="57"/>
      <c r="H20201" s="18"/>
    </row>
    <row r="20202">
      <c r="C20202" s="18"/>
      <c r="D20202" s="19"/>
      <c r="E20202" s="57"/>
      <c r="H20202" s="18"/>
    </row>
    <row r="20203">
      <c r="C20203" s="18"/>
      <c r="D20203" s="19"/>
      <c r="E20203" s="57"/>
      <c r="H20203" s="18"/>
    </row>
    <row r="20204">
      <c r="C20204" s="18"/>
      <c r="D20204" s="19"/>
      <c r="E20204" s="57"/>
      <c r="H20204" s="18"/>
    </row>
    <row r="20205">
      <c r="C20205" s="18"/>
      <c r="D20205" s="19"/>
      <c r="E20205" s="57"/>
      <c r="H20205" s="18"/>
    </row>
    <row r="20206">
      <c r="C20206" s="18"/>
      <c r="D20206" s="19"/>
      <c r="E20206" s="57"/>
      <c r="H20206" s="18"/>
    </row>
    <row r="20207">
      <c r="C20207" s="18"/>
      <c r="D20207" s="19"/>
      <c r="E20207" s="57"/>
      <c r="H20207" s="18"/>
    </row>
    <row r="20208">
      <c r="C20208" s="18"/>
      <c r="D20208" s="19"/>
      <c r="E20208" s="57"/>
      <c r="H20208" s="18"/>
    </row>
    <row r="20209">
      <c r="C20209" s="18"/>
      <c r="D20209" s="19"/>
      <c r="E20209" s="57"/>
      <c r="H20209" s="18"/>
    </row>
    <row r="20210">
      <c r="C20210" s="18"/>
      <c r="D20210" s="19"/>
      <c r="E20210" s="57"/>
      <c r="H20210" s="18"/>
    </row>
    <row r="20211">
      <c r="C20211" s="18"/>
      <c r="D20211" s="19"/>
      <c r="E20211" s="57"/>
      <c r="H20211" s="18"/>
    </row>
    <row r="20212">
      <c r="C20212" s="18"/>
      <c r="D20212" s="19"/>
      <c r="E20212" s="57"/>
      <c r="H20212" s="18"/>
    </row>
    <row r="20213">
      <c r="C20213" s="18"/>
      <c r="D20213" s="19"/>
      <c r="E20213" s="57"/>
      <c r="H20213" s="18"/>
    </row>
    <row r="20214">
      <c r="C20214" s="18"/>
      <c r="D20214" s="19"/>
      <c r="E20214" s="57"/>
      <c r="H20214" s="18"/>
    </row>
    <row r="20215">
      <c r="C20215" s="18"/>
      <c r="D20215" s="19"/>
      <c r="E20215" s="57"/>
      <c r="H20215" s="18"/>
    </row>
    <row r="20216">
      <c r="C20216" s="18"/>
      <c r="D20216" s="19"/>
      <c r="E20216" s="57"/>
      <c r="H20216" s="18"/>
    </row>
    <row r="20217">
      <c r="C20217" s="18"/>
      <c r="D20217" s="19"/>
      <c r="E20217" s="57"/>
      <c r="H20217" s="18"/>
    </row>
    <row r="20218">
      <c r="C20218" s="18"/>
      <c r="D20218" s="19"/>
      <c r="E20218" s="57"/>
      <c r="H20218" s="18"/>
    </row>
    <row r="20219">
      <c r="C20219" s="18"/>
      <c r="D20219" s="19"/>
      <c r="E20219" s="57"/>
      <c r="H20219" s="18"/>
    </row>
    <row r="20220">
      <c r="C20220" s="18"/>
      <c r="D20220" s="19"/>
      <c r="E20220" s="57"/>
      <c r="H20220" s="18"/>
    </row>
    <row r="20221">
      <c r="C20221" s="18"/>
      <c r="D20221" s="19"/>
      <c r="E20221" s="57"/>
      <c r="H20221" s="18"/>
    </row>
    <row r="20222">
      <c r="C20222" s="18"/>
      <c r="D20222" s="19"/>
      <c r="E20222" s="57"/>
      <c r="H20222" s="18"/>
    </row>
    <row r="20223">
      <c r="C20223" s="18"/>
      <c r="D20223" s="19"/>
      <c r="E20223" s="57"/>
      <c r="H20223" s="18"/>
    </row>
    <row r="20224">
      <c r="C20224" s="18"/>
      <c r="D20224" s="19"/>
      <c r="E20224" s="57"/>
      <c r="H20224" s="18"/>
    </row>
    <row r="20225">
      <c r="C20225" s="18"/>
      <c r="D20225" s="19"/>
      <c r="E20225" s="57"/>
      <c r="H20225" s="18"/>
    </row>
    <row r="20226">
      <c r="C20226" s="18"/>
      <c r="D20226" s="19"/>
      <c r="E20226" s="57"/>
      <c r="H20226" s="18"/>
    </row>
    <row r="20227">
      <c r="C20227" s="18"/>
      <c r="D20227" s="19"/>
      <c r="E20227" s="57"/>
      <c r="H20227" s="18"/>
    </row>
    <row r="20228">
      <c r="C20228" s="18"/>
      <c r="D20228" s="19"/>
      <c r="E20228" s="57"/>
      <c r="H20228" s="18"/>
    </row>
    <row r="20229">
      <c r="C20229" s="18"/>
      <c r="D20229" s="19"/>
      <c r="E20229" s="57"/>
      <c r="H20229" s="18"/>
    </row>
    <row r="20230">
      <c r="C20230" s="18"/>
      <c r="D20230" s="19"/>
      <c r="E20230" s="57"/>
      <c r="H20230" s="18"/>
    </row>
    <row r="20231">
      <c r="C20231" s="18"/>
      <c r="D20231" s="19"/>
      <c r="E20231" s="57"/>
      <c r="H20231" s="18"/>
    </row>
    <row r="20232">
      <c r="C20232" s="18"/>
      <c r="D20232" s="19"/>
      <c r="E20232" s="57"/>
      <c r="H20232" s="18"/>
    </row>
    <row r="20233">
      <c r="C20233" s="18"/>
      <c r="D20233" s="19"/>
      <c r="E20233" s="57"/>
      <c r="H20233" s="18"/>
    </row>
    <row r="20234">
      <c r="C20234" s="18"/>
      <c r="D20234" s="19"/>
      <c r="E20234" s="57"/>
      <c r="H20234" s="18"/>
    </row>
    <row r="20235">
      <c r="C20235" s="18"/>
      <c r="D20235" s="19"/>
      <c r="E20235" s="57"/>
      <c r="H20235" s="18"/>
    </row>
    <row r="20236">
      <c r="C20236" s="18"/>
      <c r="D20236" s="19"/>
      <c r="E20236" s="57"/>
      <c r="H20236" s="18"/>
    </row>
    <row r="20237">
      <c r="C20237" s="18"/>
      <c r="D20237" s="19"/>
      <c r="E20237" s="57"/>
      <c r="H20237" s="18"/>
    </row>
    <row r="20238">
      <c r="C20238" s="18"/>
      <c r="D20238" s="19"/>
      <c r="E20238" s="57"/>
      <c r="H20238" s="18"/>
    </row>
    <row r="20239">
      <c r="C20239" s="18"/>
      <c r="D20239" s="19"/>
      <c r="E20239" s="57"/>
      <c r="H20239" s="18"/>
    </row>
    <row r="20240">
      <c r="C20240" s="18"/>
      <c r="D20240" s="19"/>
      <c r="E20240" s="57"/>
      <c r="H20240" s="18"/>
    </row>
    <row r="20241">
      <c r="C20241" s="18"/>
      <c r="D20241" s="19"/>
      <c r="E20241" s="57"/>
      <c r="H20241" s="18"/>
    </row>
    <row r="20242">
      <c r="C20242" s="18"/>
      <c r="D20242" s="19"/>
      <c r="E20242" s="57"/>
      <c r="H20242" s="18"/>
    </row>
    <row r="20243">
      <c r="C20243" s="18"/>
      <c r="D20243" s="19"/>
      <c r="E20243" s="57"/>
      <c r="H20243" s="18"/>
    </row>
    <row r="20244">
      <c r="C20244" s="18"/>
      <c r="D20244" s="19"/>
      <c r="E20244" s="57"/>
      <c r="H20244" s="18"/>
    </row>
    <row r="20245">
      <c r="C20245" s="18"/>
      <c r="D20245" s="19"/>
      <c r="E20245" s="57"/>
      <c r="H20245" s="18"/>
    </row>
    <row r="20246">
      <c r="C20246" s="18"/>
      <c r="D20246" s="19"/>
      <c r="E20246" s="57"/>
      <c r="H20246" s="18"/>
    </row>
    <row r="20247">
      <c r="C20247" s="18"/>
      <c r="D20247" s="19"/>
      <c r="E20247" s="57"/>
      <c r="H20247" s="18"/>
    </row>
    <row r="20248">
      <c r="C20248" s="18"/>
      <c r="D20248" s="19"/>
      <c r="E20248" s="57"/>
      <c r="H20248" s="18"/>
    </row>
    <row r="20249">
      <c r="C20249" s="18"/>
      <c r="D20249" s="19"/>
      <c r="E20249" s="57"/>
      <c r="H20249" s="18"/>
    </row>
    <row r="20250">
      <c r="C20250" s="18"/>
      <c r="D20250" s="19"/>
      <c r="E20250" s="57"/>
      <c r="H20250" s="18"/>
    </row>
    <row r="20251">
      <c r="C20251" s="18"/>
      <c r="D20251" s="19"/>
      <c r="E20251" s="57"/>
      <c r="H20251" s="18"/>
    </row>
    <row r="20252">
      <c r="C20252" s="18"/>
      <c r="D20252" s="19"/>
      <c r="E20252" s="57"/>
      <c r="H20252" s="18"/>
    </row>
    <row r="20253">
      <c r="C20253" s="18"/>
      <c r="D20253" s="19"/>
      <c r="E20253" s="57"/>
      <c r="H20253" s="18"/>
    </row>
    <row r="20254">
      <c r="C20254" s="18"/>
      <c r="D20254" s="19"/>
      <c r="E20254" s="57"/>
      <c r="H20254" s="18"/>
    </row>
    <row r="20255">
      <c r="C20255" s="18"/>
      <c r="D20255" s="19"/>
      <c r="E20255" s="57"/>
      <c r="H20255" s="18"/>
    </row>
    <row r="20256">
      <c r="C20256" s="18"/>
      <c r="D20256" s="19"/>
      <c r="E20256" s="57"/>
      <c r="H20256" s="18"/>
    </row>
    <row r="20257">
      <c r="C20257" s="18"/>
      <c r="D20257" s="19"/>
      <c r="E20257" s="57"/>
      <c r="H20257" s="18"/>
    </row>
    <row r="20258">
      <c r="C20258" s="18"/>
      <c r="D20258" s="19"/>
      <c r="E20258" s="57"/>
      <c r="H20258" s="18"/>
    </row>
    <row r="20259">
      <c r="C20259" s="18"/>
      <c r="D20259" s="19"/>
      <c r="E20259" s="57"/>
      <c r="H20259" s="18"/>
    </row>
    <row r="20260">
      <c r="C20260" s="18"/>
      <c r="D20260" s="19"/>
      <c r="E20260" s="57"/>
      <c r="H20260" s="18"/>
    </row>
    <row r="20261">
      <c r="C20261" s="18"/>
      <c r="D20261" s="19"/>
      <c r="E20261" s="57"/>
      <c r="H20261" s="18"/>
    </row>
    <row r="20262">
      <c r="C20262" s="18"/>
      <c r="D20262" s="19"/>
      <c r="E20262" s="57"/>
      <c r="H20262" s="18"/>
    </row>
    <row r="20263">
      <c r="C20263" s="18"/>
      <c r="D20263" s="19"/>
      <c r="E20263" s="57"/>
      <c r="H20263" s="18"/>
    </row>
    <row r="20264">
      <c r="C20264" s="18"/>
      <c r="D20264" s="19"/>
      <c r="E20264" s="57"/>
      <c r="H20264" s="18"/>
    </row>
    <row r="20265">
      <c r="C20265" s="18"/>
      <c r="D20265" s="19"/>
      <c r="E20265" s="57"/>
      <c r="H20265" s="18"/>
    </row>
    <row r="20266">
      <c r="C20266" s="18"/>
      <c r="D20266" s="19"/>
      <c r="E20266" s="57"/>
      <c r="H20266" s="18"/>
    </row>
    <row r="20267">
      <c r="C20267" s="18"/>
      <c r="D20267" s="19"/>
      <c r="E20267" s="57"/>
      <c r="H20267" s="18"/>
    </row>
    <row r="20268">
      <c r="C20268" s="18"/>
      <c r="D20268" s="19"/>
      <c r="E20268" s="57"/>
      <c r="H20268" s="18"/>
    </row>
    <row r="20269">
      <c r="C20269" s="18"/>
      <c r="D20269" s="19"/>
      <c r="E20269" s="57"/>
      <c r="H20269" s="18"/>
    </row>
    <row r="20270">
      <c r="C20270" s="18"/>
      <c r="D20270" s="19"/>
      <c r="E20270" s="57"/>
      <c r="H20270" s="18"/>
    </row>
    <row r="20271">
      <c r="C20271" s="18"/>
      <c r="D20271" s="19"/>
      <c r="E20271" s="57"/>
      <c r="H20271" s="18"/>
    </row>
    <row r="20272">
      <c r="C20272" s="18"/>
      <c r="D20272" s="19"/>
      <c r="E20272" s="57"/>
      <c r="H20272" s="18"/>
    </row>
    <row r="20273">
      <c r="C20273" s="18"/>
      <c r="D20273" s="19"/>
      <c r="E20273" s="57"/>
      <c r="H20273" s="18"/>
    </row>
    <row r="20274">
      <c r="C20274" s="18"/>
      <c r="D20274" s="19"/>
      <c r="E20274" s="57"/>
      <c r="H20274" s="18"/>
    </row>
    <row r="20275">
      <c r="C20275" s="18"/>
      <c r="D20275" s="19"/>
      <c r="E20275" s="57"/>
      <c r="H20275" s="18"/>
    </row>
    <row r="20276">
      <c r="C20276" s="18"/>
      <c r="D20276" s="19"/>
      <c r="E20276" s="57"/>
      <c r="H20276" s="18"/>
    </row>
    <row r="20277">
      <c r="C20277" s="18"/>
      <c r="D20277" s="19"/>
      <c r="E20277" s="57"/>
      <c r="H20277" s="18"/>
    </row>
    <row r="20278">
      <c r="C20278" s="18"/>
      <c r="D20278" s="19"/>
      <c r="E20278" s="57"/>
      <c r="H20278" s="18"/>
    </row>
    <row r="20279">
      <c r="C20279" s="18"/>
      <c r="D20279" s="19"/>
      <c r="E20279" s="57"/>
      <c r="H20279" s="18"/>
    </row>
    <row r="20280">
      <c r="C20280" s="18"/>
      <c r="D20280" s="19"/>
      <c r="E20280" s="57"/>
      <c r="H20280" s="18"/>
    </row>
    <row r="20281">
      <c r="C20281" s="18"/>
      <c r="D20281" s="19"/>
      <c r="E20281" s="57"/>
      <c r="H20281" s="18"/>
    </row>
    <row r="20282">
      <c r="C20282" s="18"/>
      <c r="D20282" s="19"/>
      <c r="E20282" s="57"/>
      <c r="H20282" s="18"/>
    </row>
    <row r="20283">
      <c r="C20283" s="18"/>
      <c r="D20283" s="19"/>
      <c r="E20283" s="57"/>
      <c r="H20283" s="18"/>
    </row>
    <row r="20284">
      <c r="C20284" s="18"/>
      <c r="D20284" s="19"/>
      <c r="E20284" s="57"/>
      <c r="H20284" s="18"/>
    </row>
    <row r="20285">
      <c r="C20285" s="18"/>
      <c r="D20285" s="19"/>
      <c r="E20285" s="57"/>
      <c r="H20285" s="18"/>
    </row>
    <row r="20286">
      <c r="C20286" s="18"/>
      <c r="D20286" s="19"/>
      <c r="E20286" s="57"/>
      <c r="H20286" s="18"/>
    </row>
    <row r="20287">
      <c r="C20287" s="18"/>
      <c r="D20287" s="19"/>
      <c r="E20287" s="57"/>
      <c r="H20287" s="18"/>
    </row>
    <row r="20288">
      <c r="C20288" s="18"/>
      <c r="D20288" s="19"/>
      <c r="E20288" s="57"/>
      <c r="H20288" s="18"/>
    </row>
    <row r="20289">
      <c r="C20289" s="18"/>
      <c r="D20289" s="19"/>
      <c r="E20289" s="57"/>
      <c r="H20289" s="18"/>
    </row>
    <row r="20290">
      <c r="C20290" s="18"/>
      <c r="D20290" s="19"/>
      <c r="E20290" s="57"/>
      <c r="H20290" s="18"/>
    </row>
    <row r="20291">
      <c r="C20291" s="18"/>
      <c r="D20291" s="19"/>
      <c r="E20291" s="57"/>
      <c r="H20291" s="18"/>
    </row>
    <row r="20292">
      <c r="C20292" s="18"/>
      <c r="D20292" s="19"/>
      <c r="E20292" s="57"/>
      <c r="H20292" s="18"/>
    </row>
    <row r="20293">
      <c r="C20293" s="18"/>
      <c r="D20293" s="19"/>
      <c r="E20293" s="57"/>
      <c r="H20293" s="18"/>
    </row>
    <row r="20294">
      <c r="C20294" s="18"/>
      <c r="D20294" s="19"/>
      <c r="E20294" s="57"/>
      <c r="H20294" s="18"/>
    </row>
    <row r="20295">
      <c r="C20295" s="18"/>
      <c r="D20295" s="19"/>
      <c r="E20295" s="57"/>
      <c r="H20295" s="18"/>
    </row>
    <row r="20296">
      <c r="C20296" s="18"/>
      <c r="D20296" s="19"/>
      <c r="E20296" s="57"/>
      <c r="H20296" s="18"/>
    </row>
    <row r="20297">
      <c r="C20297" s="18"/>
      <c r="D20297" s="19"/>
      <c r="E20297" s="57"/>
      <c r="H20297" s="18"/>
    </row>
    <row r="20298">
      <c r="C20298" s="18"/>
      <c r="D20298" s="19"/>
      <c r="E20298" s="57"/>
      <c r="H20298" s="18"/>
    </row>
    <row r="20299">
      <c r="C20299" s="18"/>
      <c r="D20299" s="19"/>
      <c r="E20299" s="57"/>
      <c r="H20299" s="18"/>
    </row>
    <row r="20300">
      <c r="C20300" s="18"/>
      <c r="D20300" s="19"/>
      <c r="E20300" s="57"/>
      <c r="H20300" s="18"/>
    </row>
    <row r="20301">
      <c r="C20301" s="18"/>
      <c r="D20301" s="19"/>
      <c r="E20301" s="57"/>
      <c r="H20301" s="18"/>
    </row>
    <row r="20302">
      <c r="C20302" s="18"/>
      <c r="D20302" s="19"/>
      <c r="E20302" s="57"/>
      <c r="H20302" s="18"/>
    </row>
    <row r="20303">
      <c r="C20303" s="18"/>
      <c r="D20303" s="19"/>
      <c r="E20303" s="57"/>
      <c r="H20303" s="18"/>
    </row>
    <row r="20304">
      <c r="C20304" s="18"/>
      <c r="D20304" s="19"/>
      <c r="E20304" s="57"/>
      <c r="H20304" s="18"/>
    </row>
    <row r="20305">
      <c r="C20305" s="18"/>
      <c r="D20305" s="19"/>
      <c r="E20305" s="57"/>
      <c r="H20305" s="18"/>
    </row>
    <row r="20306">
      <c r="C20306" s="18"/>
      <c r="D20306" s="19"/>
      <c r="E20306" s="57"/>
      <c r="H20306" s="18"/>
    </row>
    <row r="20307">
      <c r="C20307" s="18"/>
      <c r="D20307" s="19"/>
      <c r="E20307" s="57"/>
      <c r="H20307" s="18"/>
    </row>
    <row r="20308">
      <c r="C20308" s="18"/>
      <c r="D20308" s="19"/>
      <c r="E20308" s="57"/>
      <c r="H20308" s="18"/>
    </row>
    <row r="20309">
      <c r="C20309" s="18"/>
      <c r="D20309" s="19"/>
      <c r="E20309" s="57"/>
      <c r="H20309" s="18"/>
    </row>
    <row r="20310">
      <c r="C20310" s="18"/>
      <c r="D20310" s="19"/>
      <c r="E20310" s="57"/>
      <c r="H20310" s="18"/>
    </row>
    <row r="20311">
      <c r="C20311" s="18"/>
      <c r="D20311" s="19"/>
      <c r="E20311" s="57"/>
      <c r="H20311" s="18"/>
    </row>
    <row r="20312">
      <c r="C20312" s="18"/>
      <c r="D20312" s="19"/>
      <c r="E20312" s="57"/>
      <c r="H20312" s="18"/>
    </row>
    <row r="20313">
      <c r="C20313" s="18"/>
      <c r="D20313" s="19"/>
      <c r="E20313" s="57"/>
      <c r="H20313" s="18"/>
    </row>
    <row r="20314">
      <c r="C20314" s="18"/>
      <c r="D20314" s="19"/>
      <c r="E20314" s="57"/>
      <c r="H20314" s="18"/>
    </row>
    <row r="20315">
      <c r="C20315" s="18"/>
      <c r="D20315" s="19"/>
      <c r="E20315" s="57"/>
      <c r="H20315" s="18"/>
    </row>
    <row r="20316">
      <c r="C20316" s="18"/>
      <c r="D20316" s="19"/>
      <c r="E20316" s="57"/>
      <c r="H20316" s="18"/>
    </row>
    <row r="20317">
      <c r="C20317" s="18"/>
      <c r="D20317" s="19"/>
      <c r="E20317" s="57"/>
      <c r="H20317" s="18"/>
    </row>
    <row r="20318">
      <c r="C20318" s="18"/>
      <c r="D20318" s="19"/>
      <c r="E20318" s="57"/>
      <c r="H20318" s="18"/>
    </row>
    <row r="20319">
      <c r="C20319" s="18"/>
      <c r="D20319" s="19"/>
      <c r="E20319" s="57"/>
      <c r="H20319" s="18"/>
    </row>
    <row r="20320">
      <c r="C20320" s="18"/>
      <c r="D20320" s="19"/>
      <c r="E20320" s="57"/>
      <c r="H20320" s="18"/>
    </row>
    <row r="20321">
      <c r="C20321" s="18"/>
      <c r="D20321" s="19"/>
      <c r="E20321" s="57"/>
      <c r="H20321" s="18"/>
    </row>
    <row r="20322">
      <c r="C20322" s="18"/>
      <c r="D20322" s="19"/>
      <c r="E20322" s="57"/>
      <c r="H20322" s="18"/>
    </row>
    <row r="20323">
      <c r="C20323" s="18"/>
      <c r="D20323" s="19"/>
      <c r="E20323" s="57"/>
      <c r="H20323" s="18"/>
    </row>
    <row r="20324">
      <c r="C20324" s="18"/>
      <c r="D20324" s="19"/>
      <c r="E20324" s="57"/>
      <c r="H20324" s="18"/>
    </row>
    <row r="20325">
      <c r="C20325" s="18"/>
      <c r="D20325" s="19"/>
      <c r="E20325" s="57"/>
      <c r="H20325" s="18"/>
    </row>
    <row r="20326">
      <c r="C20326" s="18"/>
      <c r="D20326" s="19"/>
      <c r="E20326" s="57"/>
      <c r="H20326" s="18"/>
    </row>
    <row r="20327">
      <c r="C20327" s="18"/>
      <c r="D20327" s="19"/>
      <c r="E20327" s="57"/>
      <c r="H20327" s="18"/>
    </row>
    <row r="20328">
      <c r="C20328" s="18"/>
      <c r="D20328" s="19"/>
      <c r="E20328" s="57"/>
      <c r="H20328" s="18"/>
    </row>
    <row r="20329">
      <c r="C20329" s="18"/>
      <c r="D20329" s="19"/>
      <c r="E20329" s="57"/>
      <c r="H20329" s="18"/>
    </row>
    <row r="20330">
      <c r="C20330" s="18"/>
      <c r="D20330" s="19"/>
      <c r="E20330" s="57"/>
      <c r="H20330" s="18"/>
    </row>
    <row r="20331">
      <c r="C20331" s="18"/>
      <c r="D20331" s="19"/>
      <c r="E20331" s="57"/>
      <c r="H20331" s="18"/>
    </row>
    <row r="20332">
      <c r="C20332" s="18"/>
      <c r="D20332" s="19"/>
      <c r="E20332" s="57"/>
      <c r="H20332" s="18"/>
    </row>
    <row r="20333">
      <c r="C20333" s="18"/>
      <c r="D20333" s="19"/>
      <c r="E20333" s="57"/>
      <c r="H20333" s="18"/>
    </row>
    <row r="20334">
      <c r="C20334" s="18"/>
      <c r="D20334" s="19"/>
      <c r="E20334" s="57"/>
      <c r="H20334" s="18"/>
    </row>
    <row r="20335">
      <c r="C20335" s="18"/>
      <c r="D20335" s="19"/>
      <c r="E20335" s="57"/>
      <c r="H20335" s="18"/>
    </row>
    <row r="20336">
      <c r="C20336" s="18"/>
      <c r="D20336" s="19"/>
      <c r="E20336" s="57"/>
      <c r="H20336" s="18"/>
    </row>
    <row r="20337">
      <c r="C20337" s="18"/>
      <c r="D20337" s="19"/>
      <c r="E20337" s="57"/>
      <c r="H20337" s="18"/>
    </row>
    <row r="20338">
      <c r="C20338" s="18"/>
      <c r="D20338" s="19"/>
      <c r="E20338" s="57"/>
      <c r="H20338" s="18"/>
    </row>
    <row r="20339">
      <c r="C20339" s="18"/>
      <c r="D20339" s="19"/>
      <c r="E20339" s="57"/>
      <c r="H20339" s="18"/>
    </row>
    <row r="20340">
      <c r="C20340" s="18"/>
      <c r="D20340" s="19"/>
      <c r="E20340" s="57"/>
      <c r="H20340" s="18"/>
    </row>
    <row r="20341">
      <c r="C20341" s="18"/>
      <c r="D20341" s="19"/>
      <c r="E20341" s="57"/>
      <c r="H20341" s="18"/>
    </row>
    <row r="20342">
      <c r="C20342" s="18"/>
      <c r="D20342" s="19"/>
      <c r="E20342" s="57"/>
      <c r="H20342" s="18"/>
    </row>
    <row r="20343">
      <c r="C20343" s="18"/>
      <c r="D20343" s="19"/>
      <c r="E20343" s="57"/>
      <c r="H20343" s="18"/>
    </row>
    <row r="20344">
      <c r="C20344" s="18"/>
      <c r="D20344" s="19"/>
      <c r="E20344" s="57"/>
      <c r="H20344" s="18"/>
    </row>
    <row r="20345">
      <c r="C20345" s="18"/>
      <c r="D20345" s="19"/>
      <c r="E20345" s="57"/>
      <c r="H20345" s="18"/>
    </row>
    <row r="20346">
      <c r="C20346" s="18"/>
      <c r="D20346" s="19"/>
      <c r="E20346" s="57"/>
      <c r="H20346" s="18"/>
    </row>
    <row r="20347">
      <c r="C20347" s="18"/>
      <c r="D20347" s="19"/>
      <c r="E20347" s="57"/>
      <c r="H20347" s="18"/>
    </row>
    <row r="20348">
      <c r="C20348" s="18"/>
      <c r="D20348" s="19"/>
      <c r="E20348" s="57"/>
      <c r="H20348" s="18"/>
    </row>
    <row r="20349">
      <c r="C20349" s="18"/>
      <c r="D20349" s="19"/>
      <c r="E20349" s="57"/>
      <c r="H20349" s="18"/>
    </row>
    <row r="20350">
      <c r="C20350" s="18"/>
      <c r="D20350" s="19"/>
      <c r="E20350" s="57"/>
      <c r="H20350" s="18"/>
    </row>
    <row r="20351">
      <c r="C20351" s="18"/>
      <c r="D20351" s="19"/>
      <c r="E20351" s="57"/>
      <c r="H20351" s="18"/>
    </row>
    <row r="20352">
      <c r="C20352" s="18"/>
      <c r="D20352" s="19"/>
      <c r="E20352" s="57"/>
      <c r="H20352" s="18"/>
    </row>
    <row r="20353">
      <c r="C20353" s="18"/>
      <c r="D20353" s="19"/>
      <c r="E20353" s="57"/>
      <c r="H20353" s="18"/>
    </row>
    <row r="20354">
      <c r="C20354" s="18"/>
      <c r="D20354" s="19"/>
      <c r="E20354" s="57"/>
      <c r="H20354" s="18"/>
    </row>
    <row r="20355">
      <c r="C20355" s="18"/>
      <c r="D20355" s="19"/>
      <c r="E20355" s="57"/>
      <c r="H20355" s="18"/>
    </row>
    <row r="20356">
      <c r="C20356" s="18"/>
      <c r="D20356" s="19"/>
      <c r="E20356" s="57"/>
      <c r="H20356" s="18"/>
    </row>
    <row r="20357">
      <c r="C20357" s="18"/>
      <c r="D20357" s="19"/>
      <c r="E20357" s="57"/>
      <c r="H20357" s="18"/>
    </row>
    <row r="20358">
      <c r="C20358" s="18"/>
      <c r="D20358" s="19"/>
      <c r="E20358" s="57"/>
      <c r="H20358" s="18"/>
    </row>
    <row r="20359">
      <c r="C20359" s="18"/>
      <c r="D20359" s="19"/>
      <c r="E20359" s="57"/>
      <c r="H20359" s="18"/>
    </row>
    <row r="20360">
      <c r="C20360" s="18"/>
      <c r="D20360" s="19"/>
      <c r="E20360" s="57"/>
      <c r="H20360" s="18"/>
    </row>
    <row r="20361">
      <c r="C20361" s="18"/>
      <c r="D20361" s="19"/>
      <c r="E20361" s="57"/>
      <c r="H20361" s="18"/>
    </row>
    <row r="20362">
      <c r="C20362" s="18"/>
      <c r="D20362" s="19"/>
      <c r="E20362" s="57"/>
      <c r="H20362" s="18"/>
    </row>
    <row r="20363">
      <c r="C20363" s="18"/>
      <c r="D20363" s="19"/>
      <c r="E20363" s="57"/>
      <c r="H20363" s="18"/>
    </row>
    <row r="20364">
      <c r="C20364" s="18"/>
      <c r="D20364" s="19"/>
      <c r="E20364" s="57"/>
      <c r="H20364" s="18"/>
    </row>
    <row r="20365">
      <c r="C20365" s="18"/>
      <c r="D20365" s="19"/>
      <c r="E20365" s="57"/>
      <c r="H20365" s="18"/>
    </row>
    <row r="20366">
      <c r="C20366" s="18"/>
      <c r="D20366" s="19"/>
      <c r="E20366" s="57"/>
      <c r="H20366" s="18"/>
    </row>
    <row r="20367">
      <c r="C20367" s="18"/>
      <c r="D20367" s="19"/>
      <c r="E20367" s="57"/>
      <c r="H20367" s="18"/>
    </row>
    <row r="20368">
      <c r="C20368" s="18"/>
      <c r="D20368" s="19"/>
      <c r="E20368" s="57"/>
      <c r="H20368" s="18"/>
    </row>
    <row r="20369">
      <c r="C20369" s="18"/>
      <c r="D20369" s="19"/>
      <c r="E20369" s="57"/>
      <c r="H20369" s="18"/>
    </row>
    <row r="20370">
      <c r="C20370" s="18"/>
      <c r="D20370" s="19"/>
      <c r="E20370" s="57"/>
      <c r="H20370" s="18"/>
    </row>
    <row r="20371">
      <c r="C20371" s="18"/>
      <c r="D20371" s="19"/>
      <c r="E20371" s="57"/>
      <c r="H20371" s="18"/>
    </row>
    <row r="20372">
      <c r="C20372" s="18"/>
      <c r="D20372" s="19"/>
      <c r="E20372" s="57"/>
      <c r="H20372" s="18"/>
    </row>
    <row r="20373">
      <c r="C20373" s="18"/>
      <c r="D20373" s="19"/>
      <c r="E20373" s="57"/>
      <c r="H20373" s="18"/>
    </row>
    <row r="20374">
      <c r="C20374" s="18"/>
      <c r="D20374" s="19"/>
      <c r="E20374" s="57"/>
      <c r="H20374" s="18"/>
    </row>
    <row r="20375">
      <c r="C20375" s="18"/>
      <c r="D20375" s="19"/>
      <c r="E20375" s="57"/>
      <c r="H20375" s="18"/>
    </row>
    <row r="20376">
      <c r="C20376" s="18"/>
      <c r="D20376" s="19"/>
      <c r="E20376" s="57"/>
      <c r="H20376" s="18"/>
    </row>
    <row r="20377">
      <c r="C20377" s="18"/>
      <c r="D20377" s="19"/>
      <c r="E20377" s="57"/>
      <c r="H20377" s="18"/>
    </row>
    <row r="20378">
      <c r="C20378" s="18"/>
      <c r="D20378" s="19"/>
      <c r="E20378" s="57"/>
      <c r="H20378" s="18"/>
    </row>
    <row r="20379">
      <c r="C20379" s="18"/>
      <c r="D20379" s="19"/>
      <c r="E20379" s="57"/>
      <c r="H20379" s="18"/>
    </row>
    <row r="20380">
      <c r="C20380" s="18"/>
      <c r="D20380" s="19"/>
      <c r="E20380" s="57"/>
      <c r="H20380" s="18"/>
    </row>
    <row r="20381">
      <c r="C20381" s="18"/>
      <c r="D20381" s="19"/>
      <c r="E20381" s="57"/>
      <c r="H20381" s="18"/>
    </row>
    <row r="20382">
      <c r="C20382" s="18"/>
      <c r="D20382" s="19"/>
      <c r="E20382" s="57"/>
      <c r="H20382" s="18"/>
    </row>
    <row r="20383">
      <c r="C20383" s="18"/>
      <c r="D20383" s="19"/>
      <c r="E20383" s="57"/>
      <c r="H20383" s="18"/>
    </row>
    <row r="20384">
      <c r="C20384" s="18"/>
      <c r="D20384" s="19"/>
      <c r="E20384" s="57"/>
      <c r="H20384" s="18"/>
    </row>
    <row r="20385">
      <c r="C20385" s="18"/>
      <c r="D20385" s="19"/>
      <c r="E20385" s="57"/>
      <c r="H20385" s="18"/>
    </row>
    <row r="20386">
      <c r="C20386" s="18"/>
      <c r="D20386" s="19"/>
      <c r="E20386" s="57"/>
      <c r="H20386" s="18"/>
    </row>
    <row r="20387">
      <c r="C20387" s="18"/>
      <c r="D20387" s="19"/>
      <c r="E20387" s="57"/>
      <c r="H20387" s="18"/>
    </row>
    <row r="20388">
      <c r="C20388" s="18"/>
      <c r="D20388" s="19"/>
      <c r="E20388" s="57"/>
      <c r="H20388" s="18"/>
    </row>
    <row r="20389">
      <c r="C20389" s="18"/>
      <c r="D20389" s="19"/>
      <c r="E20389" s="57"/>
      <c r="H20389" s="18"/>
    </row>
    <row r="20390">
      <c r="C20390" s="18"/>
      <c r="D20390" s="19"/>
      <c r="E20390" s="57"/>
      <c r="H20390" s="18"/>
    </row>
    <row r="20391">
      <c r="C20391" s="18"/>
      <c r="D20391" s="19"/>
      <c r="E20391" s="57"/>
      <c r="H20391" s="18"/>
    </row>
    <row r="20392">
      <c r="C20392" s="18"/>
      <c r="D20392" s="19"/>
      <c r="E20392" s="57"/>
      <c r="H20392" s="18"/>
    </row>
    <row r="20393">
      <c r="C20393" s="18"/>
      <c r="D20393" s="19"/>
      <c r="E20393" s="57"/>
      <c r="H20393" s="18"/>
    </row>
    <row r="20394">
      <c r="C20394" s="18"/>
      <c r="D20394" s="19"/>
      <c r="E20394" s="57"/>
      <c r="H20394" s="18"/>
    </row>
    <row r="20395">
      <c r="C20395" s="18"/>
      <c r="D20395" s="19"/>
      <c r="E20395" s="57"/>
      <c r="H20395" s="18"/>
    </row>
    <row r="20396">
      <c r="C20396" s="18"/>
      <c r="D20396" s="19"/>
      <c r="E20396" s="57"/>
      <c r="H20396" s="18"/>
    </row>
    <row r="20397">
      <c r="C20397" s="18"/>
      <c r="D20397" s="19"/>
      <c r="E20397" s="57"/>
      <c r="H20397" s="18"/>
    </row>
    <row r="20398">
      <c r="C20398" s="18"/>
      <c r="D20398" s="19"/>
      <c r="E20398" s="57"/>
      <c r="H20398" s="18"/>
    </row>
    <row r="20399">
      <c r="C20399" s="18"/>
      <c r="D20399" s="19"/>
      <c r="E20399" s="57"/>
      <c r="H20399" s="18"/>
    </row>
    <row r="20400">
      <c r="C20400" s="18"/>
      <c r="D20400" s="19"/>
      <c r="E20400" s="57"/>
      <c r="H20400" s="18"/>
    </row>
    <row r="20401">
      <c r="C20401" s="18"/>
      <c r="D20401" s="19"/>
      <c r="E20401" s="57"/>
      <c r="H20401" s="18"/>
    </row>
    <row r="20402">
      <c r="C20402" s="18"/>
      <c r="D20402" s="19"/>
      <c r="E20402" s="57"/>
      <c r="H20402" s="18"/>
    </row>
    <row r="20403">
      <c r="C20403" s="18"/>
      <c r="D20403" s="19"/>
      <c r="E20403" s="57"/>
      <c r="H20403" s="18"/>
    </row>
    <row r="20404">
      <c r="C20404" s="18"/>
      <c r="D20404" s="19"/>
      <c r="E20404" s="57"/>
      <c r="H20404" s="18"/>
    </row>
    <row r="20405">
      <c r="C20405" s="18"/>
      <c r="D20405" s="19"/>
      <c r="E20405" s="57"/>
      <c r="H20405" s="18"/>
    </row>
    <row r="20406">
      <c r="C20406" s="18"/>
      <c r="D20406" s="19"/>
      <c r="E20406" s="57"/>
      <c r="H20406" s="18"/>
    </row>
    <row r="20407">
      <c r="C20407" s="18"/>
      <c r="D20407" s="19"/>
      <c r="E20407" s="57"/>
      <c r="H20407" s="18"/>
    </row>
    <row r="20408">
      <c r="C20408" s="18"/>
      <c r="D20408" s="19"/>
      <c r="E20408" s="57"/>
      <c r="H20408" s="18"/>
    </row>
    <row r="20409">
      <c r="C20409" s="18"/>
      <c r="D20409" s="19"/>
      <c r="E20409" s="57"/>
      <c r="H20409" s="18"/>
    </row>
    <row r="20410">
      <c r="C20410" s="18"/>
      <c r="D20410" s="19"/>
      <c r="E20410" s="57"/>
      <c r="H20410" s="18"/>
    </row>
    <row r="20411">
      <c r="C20411" s="18"/>
      <c r="D20411" s="19"/>
      <c r="E20411" s="57"/>
      <c r="H20411" s="18"/>
    </row>
    <row r="20412">
      <c r="C20412" s="18"/>
      <c r="D20412" s="19"/>
      <c r="E20412" s="57"/>
      <c r="H20412" s="18"/>
    </row>
    <row r="20413">
      <c r="C20413" s="18"/>
      <c r="D20413" s="19"/>
      <c r="E20413" s="57"/>
      <c r="H20413" s="18"/>
    </row>
    <row r="20414">
      <c r="C20414" s="18"/>
      <c r="D20414" s="19"/>
      <c r="E20414" s="57"/>
      <c r="H20414" s="18"/>
    </row>
    <row r="20415">
      <c r="C20415" s="18"/>
      <c r="D20415" s="19"/>
      <c r="E20415" s="57"/>
      <c r="H20415" s="18"/>
    </row>
    <row r="20416">
      <c r="C20416" s="18"/>
      <c r="D20416" s="19"/>
      <c r="E20416" s="57"/>
      <c r="H20416" s="18"/>
    </row>
    <row r="20417">
      <c r="C20417" s="18"/>
      <c r="D20417" s="19"/>
      <c r="E20417" s="57"/>
      <c r="H20417" s="18"/>
    </row>
    <row r="20418">
      <c r="C20418" s="18"/>
      <c r="D20418" s="19"/>
      <c r="E20418" s="57"/>
      <c r="H20418" s="18"/>
    </row>
    <row r="20419">
      <c r="C20419" s="18"/>
      <c r="D20419" s="19"/>
      <c r="E20419" s="57"/>
      <c r="H20419" s="18"/>
    </row>
    <row r="20420">
      <c r="C20420" s="18"/>
      <c r="D20420" s="19"/>
      <c r="E20420" s="57"/>
      <c r="H20420" s="18"/>
    </row>
    <row r="20421">
      <c r="C20421" s="18"/>
      <c r="D20421" s="19"/>
      <c r="E20421" s="57"/>
      <c r="H20421" s="18"/>
    </row>
    <row r="20422">
      <c r="C20422" s="18"/>
      <c r="D20422" s="19"/>
      <c r="E20422" s="57"/>
      <c r="H20422" s="18"/>
    </row>
    <row r="20423">
      <c r="C20423" s="18"/>
      <c r="D20423" s="19"/>
      <c r="E20423" s="57"/>
      <c r="H20423" s="18"/>
    </row>
    <row r="20424">
      <c r="C20424" s="18"/>
      <c r="D20424" s="19"/>
      <c r="E20424" s="57"/>
      <c r="H20424" s="18"/>
    </row>
    <row r="20425">
      <c r="C20425" s="18"/>
      <c r="D20425" s="19"/>
      <c r="E20425" s="57"/>
      <c r="H20425" s="18"/>
    </row>
    <row r="20426">
      <c r="C20426" s="18"/>
      <c r="D20426" s="19"/>
      <c r="E20426" s="57"/>
      <c r="H20426" s="18"/>
    </row>
    <row r="20427">
      <c r="C20427" s="18"/>
      <c r="D20427" s="19"/>
      <c r="E20427" s="57"/>
      <c r="H20427" s="18"/>
    </row>
    <row r="20428">
      <c r="C20428" s="18"/>
      <c r="D20428" s="19"/>
      <c r="E20428" s="57"/>
      <c r="H20428" s="18"/>
    </row>
    <row r="20429">
      <c r="C20429" s="18"/>
      <c r="D20429" s="19"/>
      <c r="E20429" s="57"/>
      <c r="H20429" s="18"/>
    </row>
    <row r="20430">
      <c r="C20430" s="18"/>
      <c r="D20430" s="19"/>
      <c r="E20430" s="57"/>
      <c r="H20430" s="18"/>
    </row>
    <row r="20431">
      <c r="C20431" s="18"/>
      <c r="D20431" s="19"/>
      <c r="E20431" s="57"/>
      <c r="H20431" s="18"/>
    </row>
    <row r="20432">
      <c r="C20432" s="18"/>
      <c r="D20432" s="19"/>
      <c r="E20432" s="57"/>
      <c r="H20432" s="18"/>
    </row>
    <row r="20433">
      <c r="C20433" s="18"/>
      <c r="D20433" s="19"/>
      <c r="E20433" s="57"/>
      <c r="H20433" s="18"/>
    </row>
    <row r="20434">
      <c r="C20434" s="18"/>
      <c r="D20434" s="19"/>
      <c r="E20434" s="57"/>
      <c r="H20434" s="18"/>
    </row>
    <row r="20435">
      <c r="C20435" s="18"/>
      <c r="D20435" s="19"/>
      <c r="E20435" s="57"/>
      <c r="H20435" s="18"/>
    </row>
    <row r="20436">
      <c r="C20436" s="18"/>
      <c r="D20436" s="19"/>
      <c r="E20436" s="57"/>
      <c r="H20436" s="18"/>
    </row>
    <row r="20437">
      <c r="C20437" s="18"/>
      <c r="D20437" s="19"/>
      <c r="E20437" s="57"/>
      <c r="H20437" s="18"/>
    </row>
    <row r="20438">
      <c r="C20438" s="18"/>
      <c r="D20438" s="19"/>
      <c r="E20438" s="57"/>
      <c r="H20438" s="18"/>
    </row>
    <row r="20439">
      <c r="C20439" s="18"/>
      <c r="D20439" s="19"/>
      <c r="E20439" s="57"/>
      <c r="H20439" s="18"/>
    </row>
    <row r="20440">
      <c r="C20440" s="18"/>
      <c r="D20440" s="19"/>
      <c r="E20440" s="57"/>
      <c r="H20440" s="18"/>
    </row>
    <row r="20441">
      <c r="C20441" s="18"/>
      <c r="D20441" s="19"/>
      <c r="E20441" s="57"/>
      <c r="H20441" s="18"/>
    </row>
    <row r="20442">
      <c r="C20442" s="18"/>
      <c r="D20442" s="19"/>
      <c r="E20442" s="57"/>
      <c r="H20442" s="18"/>
    </row>
    <row r="20443">
      <c r="C20443" s="18"/>
      <c r="D20443" s="19"/>
      <c r="E20443" s="57"/>
      <c r="H20443" s="18"/>
    </row>
    <row r="20444">
      <c r="C20444" s="18"/>
      <c r="D20444" s="19"/>
      <c r="E20444" s="57"/>
      <c r="H20444" s="18"/>
    </row>
    <row r="20445">
      <c r="C20445" s="18"/>
      <c r="D20445" s="19"/>
      <c r="E20445" s="57"/>
      <c r="H20445" s="18"/>
    </row>
    <row r="20446">
      <c r="C20446" s="18"/>
      <c r="D20446" s="19"/>
      <c r="E20446" s="57"/>
      <c r="H20446" s="18"/>
    </row>
    <row r="20447">
      <c r="C20447" s="18"/>
      <c r="D20447" s="19"/>
      <c r="E20447" s="57"/>
      <c r="H20447" s="18"/>
    </row>
    <row r="20448">
      <c r="C20448" s="18"/>
      <c r="D20448" s="19"/>
      <c r="E20448" s="57"/>
      <c r="H20448" s="18"/>
    </row>
    <row r="20449">
      <c r="C20449" s="18"/>
      <c r="D20449" s="19"/>
      <c r="E20449" s="57"/>
      <c r="H20449" s="18"/>
    </row>
    <row r="20450">
      <c r="C20450" s="18"/>
      <c r="D20450" s="19"/>
      <c r="E20450" s="57"/>
      <c r="H20450" s="18"/>
    </row>
    <row r="20451">
      <c r="C20451" s="18"/>
      <c r="D20451" s="19"/>
      <c r="E20451" s="57"/>
      <c r="H20451" s="18"/>
    </row>
    <row r="20452">
      <c r="C20452" s="18"/>
      <c r="D20452" s="19"/>
      <c r="E20452" s="57"/>
      <c r="H20452" s="18"/>
    </row>
    <row r="20453">
      <c r="C20453" s="18"/>
      <c r="D20453" s="19"/>
      <c r="E20453" s="57"/>
      <c r="H20453" s="18"/>
    </row>
    <row r="20454">
      <c r="C20454" s="18"/>
      <c r="D20454" s="19"/>
      <c r="E20454" s="57"/>
      <c r="H20454" s="18"/>
    </row>
    <row r="20455">
      <c r="C20455" s="18"/>
      <c r="D20455" s="19"/>
      <c r="E20455" s="57"/>
      <c r="H20455" s="18"/>
    </row>
    <row r="20456">
      <c r="C20456" s="18"/>
      <c r="D20456" s="19"/>
      <c r="E20456" s="57"/>
      <c r="H20456" s="18"/>
    </row>
    <row r="20457">
      <c r="C20457" s="18"/>
      <c r="D20457" s="19"/>
      <c r="E20457" s="57"/>
      <c r="H20457" s="18"/>
    </row>
    <row r="20458">
      <c r="C20458" s="18"/>
      <c r="D20458" s="19"/>
      <c r="E20458" s="57"/>
      <c r="H20458" s="18"/>
    </row>
    <row r="20459">
      <c r="C20459" s="18"/>
      <c r="D20459" s="19"/>
      <c r="E20459" s="57"/>
      <c r="H20459" s="18"/>
    </row>
    <row r="20460">
      <c r="C20460" s="18"/>
      <c r="D20460" s="19"/>
      <c r="E20460" s="57"/>
      <c r="H20460" s="18"/>
    </row>
    <row r="20461">
      <c r="C20461" s="18"/>
      <c r="D20461" s="19"/>
      <c r="E20461" s="57"/>
      <c r="H20461" s="18"/>
    </row>
    <row r="20462">
      <c r="C20462" s="18"/>
      <c r="D20462" s="19"/>
      <c r="E20462" s="57"/>
      <c r="H20462" s="18"/>
    </row>
    <row r="20463">
      <c r="C20463" s="18"/>
      <c r="D20463" s="19"/>
      <c r="E20463" s="57"/>
      <c r="H20463" s="18"/>
    </row>
    <row r="20464">
      <c r="C20464" s="18"/>
      <c r="D20464" s="19"/>
      <c r="E20464" s="57"/>
      <c r="H20464" s="18"/>
    </row>
    <row r="20465">
      <c r="C20465" s="18"/>
      <c r="D20465" s="19"/>
      <c r="E20465" s="57"/>
      <c r="H20465" s="18"/>
    </row>
    <row r="20466">
      <c r="C20466" s="18"/>
      <c r="D20466" s="19"/>
      <c r="E20466" s="57"/>
      <c r="H20466" s="18"/>
    </row>
    <row r="20467">
      <c r="C20467" s="18"/>
      <c r="D20467" s="19"/>
      <c r="E20467" s="57"/>
      <c r="H20467" s="18"/>
    </row>
    <row r="20468">
      <c r="C20468" s="18"/>
      <c r="D20468" s="19"/>
      <c r="E20468" s="57"/>
      <c r="H20468" s="18"/>
    </row>
    <row r="20469">
      <c r="C20469" s="18"/>
      <c r="D20469" s="19"/>
      <c r="E20469" s="57"/>
      <c r="H20469" s="18"/>
    </row>
    <row r="20470">
      <c r="C20470" s="18"/>
      <c r="D20470" s="19"/>
      <c r="E20470" s="57"/>
      <c r="H20470" s="18"/>
    </row>
    <row r="20471">
      <c r="C20471" s="18"/>
      <c r="D20471" s="19"/>
      <c r="E20471" s="57"/>
      <c r="H20471" s="18"/>
    </row>
    <row r="20472">
      <c r="C20472" s="18"/>
      <c r="D20472" s="19"/>
      <c r="E20472" s="57"/>
      <c r="H20472" s="18"/>
    </row>
    <row r="20473">
      <c r="C20473" s="18"/>
      <c r="D20473" s="19"/>
      <c r="E20473" s="57"/>
      <c r="H20473" s="18"/>
    </row>
    <row r="20474">
      <c r="C20474" s="18"/>
      <c r="D20474" s="19"/>
      <c r="E20474" s="57"/>
      <c r="H20474" s="18"/>
    </row>
    <row r="20475">
      <c r="C20475" s="18"/>
      <c r="D20475" s="19"/>
      <c r="E20475" s="57"/>
      <c r="H20475" s="18"/>
    </row>
    <row r="20476">
      <c r="C20476" s="18"/>
      <c r="D20476" s="19"/>
      <c r="E20476" s="57"/>
      <c r="H20476" s="18"/>
    </row>
    <row r="20477">
      <c r="C20477" s="18"/>
      <c r="D20477" s="19"/>
      <c r="E20477" s="57"/>
      <c r="H20477" s="18"/>
    </row>
    <row r="20478">
      <c r="C20478" s="18"/>
      <c r="D20478" s="19"/>
      <c r="E20478" s="57"/>
      <c r="H20478" s="18"/>
    </row>
    <row r="20479">
      <c r="C20479" s="18"/>
      <c r="D20479" s="19"/>
      <c r="E20479" s="57"/>
      <c r="H20479" s="18"/>
    </row>
    <row r="20480">
      <c r="C20480" s="18"/>
      <c r="D20480" s="19"/>
      <c r="E20480" s="57"/>
      <c r="H20480" s="18"/>
    </row>
    <row r="20481">
      <c r="C20481" s="18"/>
      <c r="D20481" s="19"/>
      <c r="E20481" s="57"/>
      <c r="H20481" s="18"/>
    </row>
    <row r="20482">
      <c r="C20482" s="18"/>
      <c r="D20482" s="19"/>
      <c r="E20482" s="57"/>
      <c r="H20482" s="18"/>
    </row>
    <row r="20483">
      <c r="C20483" s="18"/>
      <c r="D20483" s="19"/>
      <c r="E20483" s="57"/>
      <c r="H20483" s="18"/>
    </row>
    <row r="20484">
      <c r="C20484" s="18"/>
      <c r="D20484" s="19"/>
      <c r="E20484" s="57"/>
      <c r="H20484" s="18"/>
    </row>
    <row r="20485">
      <c r="C20485" s="18"/>
      <c r="D20485" s="19"/>
      <c r="E20485" s="57"/>
      <c r="H20485" s="18"/>
    </row>
    <row r="20486">
      <c r="C20486" s="18"/>
      <c r="D20486" s="19"/>
      <c r="E20486" s="57"/>
      <c r="H20486" s="18"/>
    </row>
    <row r="20487">
      <c r="C20487" s="18"/>
      <c r="D20487" s="19"/>
      <c r="E20487" s="57"/>
      <c r="H20487" s="18"/>
    </row>
    <row r="20488">
      <c r="C20488" s="18"/>
      <c r="D20488" s="19"/>
      <c r="E20488" s="57"/>
      <c r="H20488" s="18"/>
    </row>
    <row r="20489">
      <c r="C20489" s="18"/>
      <c r="D20489" s="19"/>
      <c r="E20489" s="57"/>
      <c r="H20489" s="18"/>
    </row>
    <row r="20490">
      <c r="C20490" s="18"/>
      <c r="D20490" s="19"/>
      <c r="E20490" s="57"/>
      <c r="H20490" s="18"/>
    </row>
    <row r="20491">
      <c r="C20491" s="18"/>
      <c r="D20491" s="19"/>
      <c r="E20491" s="57"/>
      <c r="H20491" s="18"/>
    </row>
    <row r="20492">
      <c r="C20492" s="18"/>
      <c r="D20492" s="19"/>
      <c r="E20492" s="57"/>
      <c r="H20492" s="18"/>
    </row>
    <row r="20493">
      <c r="C20493" s="18"/>
      <c r="D20493" s="19"/>
      <c r="E20493" s="57"/>
      <c r="H20493" s="18"/>
    </row>
    <row r="20494">
      <c r="C20494" s="18"/>
      <c r="D20494" s="19"/>
      <c r="E20494" s="57"/>
      <c r="H20494" s="18"/>
    </row>
    <row r="20495">
      <c r="C20495" s="18"/>
      <c r="D20495" s="19"/>
      <c r="E20495" s="57"/>
      <c r="H20495" s="18"/>
    </row>
    <row r="20496">
      <c r="C20496" s="18"/>
      <c r="D20496" s="19"/>
      <c r="E20496" s="57"/>
      <c r="H20496" s="18"/>
    </row>
    <row r="20497">
      <c r="C20497" s="18"/>
      <c r="D20497" s="19"/>
      <c r="E20497" s="57"/>
      <c r="H20497" s="18"/>
    </row>
    <row r="20498">
      <c r="C20498" s="18"/>
      <c r="D20498" s="19"/>
      <c r="E20498" s="57"/>
      <c r="H20498" s="18"/>
    </row>
    <row r="20499">
      <c r="C20499" s="18"/>
      <c r="D20499" s="19"/>
      <c r="E20499" s="57"/>
      <c r="H20499" s="18"/>
    </row>
    <row r="20500">
      <c r="C20500" s="18"/>
      <c r="D20500" s="19"/>
      <c r="E20500" s="57"/>
      <c r="H20500" s="18"/>
    </row>
    <row r="20501">
      <c r="C20501" s="18"/>
      <c r="D20501" s="19"/>
      <c r="E20501" s="57"/>
      <c r="H20501" s="18"/>
    </row>
    <row r="20502">
      <c r="C20502" s="18"/>
      <c r="D20502" s="19"/>
      <c r="E20502" s="57"/>
      <c r="H20502" s="18"/>
    </row>
    <row r="20503">
      <c r="C20503" s="18"/>
      <c r="D20503" s="19"/>
      <c r="E20503" s="57"/>
      <c r="H20503" s="18"/>
    </row>
    <row r="20504">
      <c r="C20504" s="18"/>
      <c r="D20504" s="19"/>
      <c r="E20504" s="57"/>
      <c r="H20504" s="18"/>
    </row>
    <row r="20505">
      <c r="C20505" s="18"/>
      <c r="D20505" s="19"/>
      <c r="E20505" s="57"/>
      <c r="H20505" s="18"/>
    </row>
    <row r="20506">
      <c r="C20506" s="18"/>
      <c r="D20506" s="19"/>
      <c r="E20506" s="57"/>
      <c r="H20506" s="18"/>
    </row>
    <row r="20507">
      <c r="C20507" s="18"/>
      <c r="D20507" s="19"/>
      <c r="E20507" s="57"/>
      <c r="H20507" s="18"/>
    </row>
    <row r="20508">
      <c r="C20508" s="18"/>
      <c r="D20508" s="19"/>
      <c r="E20508" s="57"/>
      <c r="H20508" s="18"/>
    </row>
    <row r="20509">
      <c r="C20509" s="18"/>
      <c r="D20509" s="19"/>
      <c r="E20509" s="57"/>
      <c r="H20509" s="18"/>
    </row>
    <row r="20510">
      <c r="C20510" s="18"/>
      <c r="D20510" s="19"/>
      <c r="E20510" s="57"/>
      <c r="H20510" s="18"/>
    </row>
    <row r="20511">
      <c r="C20511" s="18"/>
      <c r="D20511" s="19"/>
      <c r="E20511" s="57"/>
      <c r="H20511" s="18"/>
    </row>
    <row r="20512">
      <c r="C20512" s="18"/>
      <c r="D20512" s="19"/>
      <c r="E20512" s="57"/>
      <c r="H20512" s="18"/>
    </row>
    <row r="20513">
      <c r="C20513" s="18"/>
      <c r="D20513" s="19"/>
      <c r="E20513" s="57"/>
      <c r="H20513" s="18"/>
    </row>
    <row r="20514">
      <c r="C20514" s="18"/>
      <c r="D20514" s="19"/>
      <c r="E20514" s="57"/>
      <c r="H20514" s="18"/>
    </row>
    <row r="20515">
      <c r="C20515" s="18"/>
      <c r="D20515" s="19"/>
      <c r="E20515" s="57"/>
      <c r="H20515" s="18"/>
    </row>
    <row r="20516">
      <c r="C20516" s="18"/>
      <c r="D20516" s="19"/>
      <c r="E20516" s="57"/>
      <c r="H20516" s="18"/>
    </row>
    <row r="20517">
      <c r="C20517" s="18"/>
      <c r="D20517" s="19"/>
      <c r="E20517" s="57"/>
      <c r="H20517" s="18"/>
    </row>
    <row r="20518">
      <c r="C20518" s="18"/>
      <c r="D20518" s="19"/>
      <c r="E20518" s="57"/>
      <c r="H20518" s="18"/>
    </row>
    <row r="20519">
      <c r="C20519" s="18"/>
      <c r="D20519" s="19"/>
      <c r="E20519" s="57"/>
      <c r="H20519" s="18"/>
    </row>
    <row r="20520">
      <c r="C20520" s="18"/>
      <c r="D20520" s="19"/>
      <c r="E20520" s="57"/>
      <c r="H20520" s="18"/>
    </row>
    <row r="20521">
      <c r="C20521" s="18"/>
      <c r="D20521" s="19"/>
      <c r="E20521" s="57"/>
      <c r="H20521" s="18"/>
    </row>
    <row r="20522">
      <c r="C20522" s="18"/>
      <c r="D20522" s="19"/>
      <c r="E20522" s="57"/>
      <c r="H20522" s="18"/>
    </row>
    <row r="20523">
      <c r="C20523" s="18"/>
      <c r="D20523" s="19"/>
      <c r="E20523" s="57"/>
      <c r="H20523" s="18"/>
    </row>
    <row r="20524">
      <c r="C20524" s="18"/>
      <c r="D20524" s="19"/>
      <c r="E20524" s="57"/>
      <c r="H20524" s="18"/>
    </row>
    <row r="20525">
      <c r="C20525" s="18"/>
      <c r="D20525" s="19"/>
      <c r="E20525" s="57"/>
      <c r="H20525" s="18"/>
    </row>
    <row r="20526">
      <c r="C20526" s="18"/>
      <c r="D20526" s="19"/>
      <c r="E20526" s="57"/>
      <c r="H20526" s="18"/>
    </row>
    <row r="20527">
      <c r="C20527" s="18"/>
      <c r="D20527" s="19"/>
      <c r="E20527" s="57"/>
      <c r="H20527" s="18"/>
    </row>
    <row r="20528">
      <c r="C20528" s="18"/>
      <c r="D20528" s="19"/>
      <c r="E20528" s="57"/>
      <c r="H20528" s="18"/>
    </row>
    <row r="20529">
      <c r="C20529" s="18"/>
      <c r="D20529" s="19"/>
      <c r="E20529" s="57"/>
      <c r="H20529" s="18"/>
    </row>
    <row r="20530">
      <c r="C20530" s="18"/>
      <c r="D20530" s="19"/>
      <c r="E20530" s="57"/>
      <c r="H20530" s="18"/>
    </row>
    <row r="20531">
      <c r="C20531" s="18"/>
      <c r="D20531" s="19"/>
      <c r="E20531" s="57"/>
      <c r="H20531" s="18"/>
    </row>
    <row r="20532">
      <c r="C20532" s="18"/>
      <c r="D20532" s="19"/>
      <c r="E20532" s="57"/>
      <c r="H20532" s="18"/>
    </row>
    <row r="20533">
      <c r="C20533" s="18"/>
      <c r="D20533" s="19"/>
      <c r="E20533" s="57"/>
      <c r="H20533" s="18"/>
    </row>
    <row r="20534">
      <c r="C20534" s="18"/>
      <c r="D20534" s="19"/>
      <c r="E20534" s="57"/>
      <c r="H20534" s="18"/>
    </row>
    <row r="20535">
      <c r="C20535" s="18"/>
      <c r="D20535" s="19"/>
      <c r="E20535" s="57"/>
      <c r="H20535" s="18"/>
    </row>
    <row r="20536">
      <c r="C20536" s="18"/>
      <c r="D20536" s="19"/>
      <c r="E20536" s="57"/>
      <c r="H20536" s="18"/>
    </row>
    <row r="20537">
      <c r="C20537" s="18"/>
      <c r="D20537" s="19"/>
      <c r="E20537" s="57"/>
      <c r="H20537" s="18"/>
    </row>
    <row r="20538">
      <c r="C20538" s="18"/>
      <c r="D20538" s="19"/>
      <c r="E20538" s="57"/>
      <c r="H20538" s="18"/>
    </row>
    <row r="20539">
      <c r="C20539" s="18"/>
      <c r="D20539" s="19"/>
      <c r="E20539" s="57"/>
      <c r="H20539" s="18"/>
    </row>
    <row r="20540">
      <c r="C20540" s="18"/>
      <c r="D20540" s="19"/>
      <c r="E20540" s="57"/>
      <c r="H20540" s="18"/>
    </row>
    <row r="20541">
      <c r="C20541" s="18"/>
      <c r="D20541" s="19"/>
      <c r="E20541" s="57"/>
      <c r="H20541" s="18"/>
    </row>
    <row r="20542">
      <c r="C20542" s="18"/>
      <c r="D20542" s="19"/>
      <c r="E20542" s="57"/>
      <c r="H20542" s="18"/>
    </row>
    <row r="20543">
      <c r="C20543" s="18"/>
      <c r="D20543" s="19"/>
      <c r="E20543" s="57"/>
      <c r="H20543" s="18"/>
    </row>
    <row r="20544">
      <c r="C20544" s="18"/>
      <c r="D20544" s="19"/>
      <c r="E20544" s="57"/>
      <c r="H20544" s="18"/>
    </row>
    <row r="20545">
      <c r="C20545" s="18"/>
      <c r="D20545" s="19"/>
      <c r="E20545" s="57"/>
      <c r="H20545" s="18"/>
    </row>
    <row r="20546">
      <c r="C20546" s="18"/>
      <c r="D20546" s="19"/>
      <c r="E20546" s="57"/>
      <c r="H20546" s="18"/>
    </row>
    <row r="20547">
      <c r="C20547" s="18"/>
      <c r="D20547" s="19"/>
      <c r="E20547" s="57"/>
      <c r="H20547" s="18"/>
    </row>
    <row r="20548">
      <c r="C20548" s="18"/>
      <c r="D20548" s="19"/>
      <c r="E20548" s="57"/>
      <c r="H20548" s="18"/>
    </row>
    <row r="20549">
      <c r="C20549" s="18"/>
      <c r="D20549" s="19"/>
      <c r="E20549" s="57"/>
      <c r="H20549" s="18"/>
    </row>
    <row r="20550">
      <c r="C20550" s="18"/>
      <c r="D20550" s="19"/>
      <c r="E20550" s="57"/>
      <c r="H20550" s="18"/>
    </row>
    <row r="20551">
      <c r="C20551" s="18"/>
      <c r="D20551" s="19"/>
      <c r="E20551" s="57"/>
      <c r="H20551" s="18"/>
    </row>
    <row r="20552">
      <c r="C20552" s="18"/>
      <c r="D20552" s="19"/>
      <c r="E20552" s="57"/>
      <c r="H20552" s="18"/>
    </row>
    <row r="20553">
      <c r="C20553" s="18"/>
      <c r="D20553" s="19"/>
      <c r="E20553" s="57"/>
      <c r="H20553" s="18"/>
    </row>
    <row r="20554">
      <c r="C20554" s="18"/>
      <c r="D20554" s="19"/>
      <c r="E20554" s="57"/>
      <c r="H20554" s="18"/>
    </row>
    <row r="20555">
      <c r="C20555" s="18"/>
      <c r="D20555" s="19"/>
      <c r="E20555" s="57"/>
      <c r="H20555" s="18"/>
    </row>
    <row r="20556">
      <c r="C20556" s="18"/>
      <c r="D20556" s="19"/>
      <c r="E20556" s="57"/>
      <c r="H20556" s="18"/>
    </row>
    <row r="20557">
      <c r="C20557" s="18"/>
      <c r="D20557" s="19"/>
      <c r="E20557" s="57"/>
      <c r="H20557" s="18"/>
    </row>
    <row r="20558">
      <c r="C20558" s="18"/>
      <c r="D20558" s="19"/>
      <c r="E20558" s="57"/>
      <c r="H20558" s="18"/>
    </row>
    <row r="20559">
      <c r="C20559" s="18"/>
      <c r="D20559" s="19"/>
      <c r="E20559" s="57"/>
      <c r="H20559" s="18"/>
    </row>
    <row r="20560">
      <c r="C20560" s="18"/>
      <c r="D20560" s="19"/>
      <c r="E20560" s="57"/>
      <c r="H20560" s="18"/>
    </row>
    <row r="20561">
      <c r="C20561" s="18"/>
      <c r="D20561" s="19"/>
      <c r="E20561" s="57"/>
      <c r="H20561" s="18"/>
    </row>
    <row r="20562">
      <c r="C20562" s="18"/>
      <c r="D20562" s="19"/>
      <c r="E20562" s="57"/>
      <c r="H20562" s="18"/>
    </row>
    <row r="20563">
      <c r="C20563" s="18"/>
      <c r="D20563" s="19"/>
      <c r="E20563" s="57"/>
      <c r="H20563" s="18"/>
    </row>
    <row r="20564">
      <c r="C20564" s="18"/>
      <c r="D20564" s="19"/>
      <c r="E20564" s="57"/>
      <c r="H20564" s="18"/>
    </row>
    <row r="20565">
      <c r="C20565" s="18"/>
      <c r="D20565" s="19"/>
      <c r="E20565" s="57"/>
      <c r="H20565" s="18"/>
    </row>
    <row r="20566">
      <c r="C20566" s="18"/>
      <c r="D20566" s="19"/>
      <c r="E20566" s="57"/>
      <c r="H20566" s="18"/>
    </row>
    <row r="20567">
      <c r="C20567" s="18"/>
      <c r="D20567" s="19"/>
      <c r="E20567" s="57"/>
      <c r="H20567" s="18"/>
    </row>
    <row r="20568">
      <c r="C20568" s="18"/>
      <c r="D20568" s="19"/>
      <c r="E20568" s="57"/>
      <c r="H20568" s="18"/>
    </row>
    <row r="20569">
      <c r="C20569" s="18"/>
      <c r="D20569" s="19"/>
      <c r="E20569" s="57"/>
      <c r="H20569" s="18"/>
    </row>
    <row r="20570">
      <c r="C20570" s="18"/>
      <c r="D20570" s="19"/>
      <c r="E20570" s="57"/>
      <c r="H20570" s="18"/>
    </row>
    <row r="20571">
      <c r="C20571" s="18"/>
      <c r="D20571" s="19"/>
      <c r="E20571" s="57"/>
      <c r="H20571" s="18"/>
    </row>
    <row r="20572">
      <c r="C20572" s="18"/>
      <c r="D20572" s="19"/>
      <c r="E20572" s="57"/>
      <c r="H20572" s="18"/>
    </row>
    <row r="20573">
      <c r="C20573" s="18"/>
      <c r="D20573" s="19"/>
      <c r="E20573" s="57"/>
      <c r="H20573" s="18"/>
    </row>
    <row r="20574">
      <c r="C20574" s="18"/>
      <c r="D20574" s="19"/>
      <c r="E20574" s="57"/>
      <c r="H20574" s="18"/>
    </row>
    <row r="20575">
      <c r="C20575" s="18"/>
      <c r="D20575" s="19"/>
      <c r="E20575" s="57"/>
      <c r="H20575" s="18"/>
    </row>
    <row r="20576">
      <c r="C20576" s="18"/>
      <c r="D20576" s="19"/>
      <c r="E20576" s="57"/>
      <c r="H20576" s="18"/>
    </row>
    <row r="20577">
      <c r="C20577" s="18"/>
      <c r="D20577" s="19"/>
      <c r="E20577" s="57"/>
      <c r="H20577" s="18"/>
    </row>
    <row r="20578">
      <c r="C20578" s="18"/>
      <c r="D20578" s="19"/>
      <c r="E20578" s="57"/>
      <c r="H20578" s="18"/>
    </row>
    <row r="20579">
      <c r="C20579" s="18"/>
      <c r="D20579" s="19"/>
      <c r="E20579" s="57"/>
      <c r="H20579" s="18"/>
    </row>
    <row r="20580">
      <c r="C20580" s="18"/>
      <c r="D20580" s="19"/>
      <c r="E20580" s="57"/>
      <c r="H20580" s="18"/>
    </row>
    <row r="20581">
      <c r="C20581" s="18"/>
      <c r="D20581" s="19"/>
      <c r="E20581" s="57"/>
      <c r="H20581" s="18"/>
    </row>
    <row r="20582">
      <c r="C20582" s="18"/>
      <c r="D20582" s="19"/>
      <c r="E20582" s="57"/>
      <c r="H20582" s="18"/>
    </row>
    <row r="20583">
      <c r="C20583" s="18"/>
      <c r="D20583" s="19"/>
      <c r="E20583" s="57"/>
      <c r="H20583" s="18"/>
    </row>
    <row r="20584">
      <c r="C20584" s="18"/>
      <c r="D20584" s="19"/>
      <c r="E20584" s="57"/>
      <c r="H20584" s="18"/>
    </row>
    <row r="20585">
      <c r="C20585" s="18"/>
      <c r="D20585" s="19"/>
      <c r="E20585" s="57"/>
      <c r="H20585" s="18"/>
    </row>
    <row r="20586">
      <c r="C20586" s="18"/>
      <c r="D20586" s="19"/>
      <c r="E20586" s="57"/>
      <c r="H20586" s="18"/>
    </row>
    <row r="20587">
      <c r="C20587" s="18"/>
      <c r="D20587" s="19"/>
      <c r="E20587" s="57"/>
      <c r="H20587" s="18"/>
    </row>
    <row r="20588">
      <c r="C20588" s="18"/>
      <c r="D20588" s="19"/>
      <c r="E20588" s="57"/>
      <c r="H20588" s="18"/>
    </row>
    <row r="20589">
      <c r="C20589" s="18"/>
      <c r="D20589" s="19"/>
      <c r="E20589" s="57"/>
      <c r="H20589" s="18"/>
    </row>
    <row r="20590">
      <c r="C20590" s="18"/>
      <c r="D20590" s="19"/>
      <c r="E20590" s="57"/>
      <c r="H20590" s="18"/>
    </row>
    <row r="20591">
      <c r="C20591" s="18"/>
      <c r="D20591" s="19"/>
      <c r="E20591" s="57"/>
      <c r="H20591" s="18"/>
    </row>
    <row r="20592">
      <c r="C20592" s="18"/>
      <c r="D20592" s="19"/>
      <c r="E20592" s="57"/>
      <c r="H20592" s="18"/>
    </row>
    <row r="20593">
      <c r="C20593" s="18"/>
      <c r="D20593" s="19"/>
      <c r="E20593" s="57"/>
      <c r="H20593" s="18"/>
    </row>
    <row r="20594">
      <c r="C20594" s="18"/>
      <c r="D20594" s="19"/>
      <c r="E20594" s="57"/>
      <c r="H20594" s="18"/>
    </row>
    <row r="20595">
      <c r="C20595" s="18"/>
      <c r="D20595" s="19"/>
      <c r="E20595" s="57"/>
      <c r="H20595" s="18"/>
    </row>
    <row r="20596">
      <c r="C20596" s="18"/>
      <c r="D20596" s="19"/>
      <c r="E20596" s="57"/>
      <c r="H20596" s="18"/>
    </row>
    <row r="20597">
      <c r="C20597" s="18"/>
      <c r="D20597" s="19"/>
      <c r="E20597" s="57"/>
      <c r="H20597" s="18"/>
    </row>
    <row r="20598">
      <c r="C20598" s="18"/>
      <c r="D20598" s="19"/>
      <c r="E20598" s="57"/>
      <c r="H20598" s="18"/>
    </row>
    <row r="20599">
      <c r="C20599" s="18"/>
      <c r="D20599" s="19"/>
      <c r="E20599" s="57"/>
      <c r="H20599" s="18"/>
    </row>
    <row r="20600">
      <c r="C20600" s="18"/>
      <c r="D20600" s="19"/>
      <c r="E20600" s="57"/>
      <c r="H20600" s="18"/>
    </row>
    <row r="20601">
      <c r="C20601" s="18"/>
      <c r="D20601" s="19"/>
      <c r="E20601" s="57"/>
      <c r="H20601" s="18"/>
    </row>
    <row r="20602">
      <c r="C20602" s="18"/>
      <c r="D20602" s="19"/>
      <c r="E20602" s="57"/>
      <c r="H20602" s="18"/>
    </row>
    <row r="20603">
      <c r="C20603" s="18"/>
      <c r="D20603" s="19"/>
      <c r="E20603" s="57"/>
      <c r="H20603" s="18"/>
    </row>
    <row r="20604">
      <c r="C20604" s="18"/>
      <c r="D20604" s="19"/>
      <c r="E20604" s="57"/>
      <c r="H20604" s="18"/>
    </row>
    <row r="20605">
      <c r="C20605" s="18"/>
      <c r="D20605" s="19"/>
      <c r="E20605" s="57"/>
      <c r="H20605" s="18"/>
    </row>
    <row r="20606">
      <c r="C20606" s="18"/>
      <c r="D20606" s="19"/>
      <c r="E20606" s="57"/>
      <c r="H20606" s="18"/>
    </row>
    <row r="20607">
      <c r="C20607" s="18"/>
      <c r="D20607" s="19"/>
      <c r="E20607" s="57"/>
      <c r="H20607" s="18"/>
    </row>
    <row r="20608">
      <c r="C20608" s="18"/>
      <c r="D20608" s="19"/>
      <c r="E20608" s="57"/>
      <c r="H20608" s="18"/>
    </row>
    <row r="20609">
      <c r="C20609" s="18"/>
      <c r="D20609" s="19"/>
      <c r="E20609" s="57"/>
      <c r="H20609" s="18"/>
    </row>
    <row r="20610">
      <c r="C20610" s="18"/>
      <c r="D20610" s="19"/>
      <c r="E20610" s="57"/>
      <c r="H20610" s="18"/>
    </row>
    <row r="20611">
      <c r="C20611" s="18"/>
      <c r="D20611" s="19"/>
      <c r="E20611" s="57"/>
      <c r="H20611" s="18"/>
    </row>
    <row r="20612">
      <c r="C20612" s="18"/>
      <c r="D20612" s="19"/>
      <c r="E20612" s="57"/>
      <c r="H20612" s="18"/>
    </row>
    <row r="20613">
      <c r="C20613" s="18"/>
      <c r="D20613" s="19"/>
      <c r="E20613" s="57"/>
      <c r="H20613" s="18"/>
    </row>
    <row r="20614">
      <c r="C20614" s="18"/>
      <c r="D20614" s="19"/>
      <c r="E20614" s="57"/>
      <c r="H20614" s="18"/>
    </row>
    <row r="20615">
      <c r="C20615" s="18"/>
      <c r="D20615" s="19"/>
      <c r="E20615" s="57"/>
      <c r="H20615" s="18"/>
    </row>
    <row r="20616">
      <c r="C20616" s="18"/>
      <c r="D20616" s="19"/>
      <c r="E20616" s="57"/>
      <c r="H20616" s="18"/>
    </row>
    <row r="20617">
      <c r="C20617" s="18"/>
      <c r="D20617" s="19"/>
      <c r="E20617" s="57"/>
      <c r="H20617" s="18"/>
    </row>
    <row r="20618">
      <c r="C20618" s="18"/>
      <c r="D20618" s="19"/>
      <c r="E20618" s="57"/>
      <c r="H20618" s="18"/>
    </row>
    <row r="20619">
      <c r="C20619" s="18"/>
      <c r="D20619" s="19"/>
      <c r="E20619" s="57"/>
      <c r="H20619" s="18"/>
    </row>
    <row r="20620">
      <c r="C20620" s="18"/>
      <c r="D20620" s="19"/>
      <c r="E20620" s="57"/>
      <c r="H20620" s="18"/>
    </row>
    <row r="20621">
      <c r="C20621" s="18"/>
      <c r="D20621" s="19"/>
      <c r="E20621" s="57"/>
      <c r="H20621" s="18"/>
    </row>
    <row r="20622">
      <c r="C20622" s="18"/>
      <c r="D20622" s="19"/>
      <c r="E20622" s="57"/>
      <c r="H20622" s="18"/>
    </row>
    <row r="20623">
      <c r="C20623" s="18"/>
      <c r="D20623" s="19"/>
      <c r="E20623" s="57"/>
      <c r="H20623" s="18"/>
    </row>
    <row r="20624">
      <c r="C20624" s="18"/>
      <c r="D20624" s="19"/>
      <c r="E20624" s="57"/>
      <c r="H20624" s="18"/>
    </row>
    <row r="20625">
      <c r="C20625" s="18"/>
      <c r="D20625" s="19"/>
      <c r="E20625" s="57"/>
      <c r="H20625" s="18"/>
    </row>
    <row r="20626">
      <c r="C20626" s="18"/>
      <c r="D20626" s="19"/>
      <c r="E20626" s="57"/>
      <c r="H20626" s="18"/>
    </row>
    <row r="20627">
      <c r="C20627" s="18"/>
      <c r="D20627" s="19"/>
      <c r="E20627" s="57"/>
      <c r="H20627" s="18"/>
    </row>
    <row r="20628">
      <c r="C20628" s="18"/>
      <c r="D20628" s="19"/>
      <c r="E20628" s="57"/>
      <c r="H20628" s="18"/>
    </row>
    <row r="20629">
      <c r="C20629" s="18"/>
      <c r="D20629" s="19"/>
      <c r="E20629" s="57"/>
      <c r="H20629" s="18"/>
    </row>
    <row r="20630">
      <c r="C20630" s="18"/>
      <c r="D20630" s="19"/>
      <c r="E20630" s="57"/>
      <c r="H20630" s="18"/>
    </row>
    <row r="20631">
      <c r="C20631" s="18"/>
      <c r="D20631" s="19"/>
      <c r="E20631" s="57"/>
      <c r="H20631" s="18"/>
    </row>
    <row r="20632">
      <c r="C20632" s="18"/>
      <c r="D20632" s="19"/>
      <c r="E20632" s="57"/>
      <c r="H20632" s="18"/>
    </row>
    <row r="20633">
      <c r="C20633" s="18"/>
      <c r="D20633" s="19"/>
      <c r="E20633" s="57"/>
      <c r="H20633" s="18"/>
    </row>
    <row r="20634">
      <c r="C20634" s="18"/>
      <c r="D20634" s="19"/>
      <c r="E20634" s="57"/>
      <c r="H20634" s="18"/>
    </row>
    <row r="20635">
      <c r="C20635" s="18"/>
      <c r="D20635" s="19"/>
      <c r="E20635" s="57"/>
      <c r="H20635" s="18"/>
    </row>
    <row r="20636">
      <c r="C20636" s="18"/>
      <c r="D20636" s="19"/>
      <c r="E20636" s="57"/>
      <c r="H20636" s="18"/>
    </row>
    <row r="20637">
      <c r="C20637" s="18"/>
      <c r="D20637" s="19"/>
      <c r="E20637" s="57"/>
      <c r="H20637" s="18"/>
    </row>
    <row r="20638">
      <c r="C20638" s="18"/>
      <c r="D20638" s="19"/>
      <c r="E20638" s="57"/>
      <c r="H20638" s="18"/>
    </row>
    <row r="20639">
      <c r="C20639" s="18"/>
      <c r="D20639" s="19"/>
      <c r="E20639" s="57"/>
      <c r="H20639" s="18"/>
    </row>
    <row r="20640">
      <c r="C20640" s="18"/>
      <c r="D20640" s="19"/>
      <c r="E20640" s="57"/>
      <c r="H20640" s="18"/>
    </row>
    <row r="20641">
      <c r="C20641" s="18"/>
      <c r="D20641" s="19"/>
      <c r="E20641" s="57"/>
      <c r="H20641" s="18"/>
    </row>
    <row r="20642">
      <c r="C20642" s="18"/>
      <c r="D20642" s="19"/>
      <c r="E20642" s="57"/>
      <c r="H20642" s="18"/>
    </row>
    <row r="20643">
      <c r="C20643" s="18"/>
      <c r="D20643" s="19"/>
      <c r="E20643" s="57"/>
      <c r="H20643" s="18"/>
    </row>
    <row r="20644">
      <c r="C20644" s="18"/>
      <c r="D20644" s="19"/>
      <c r="E20644" s="57"/>
      <c r="H20644" s="18"/>
    </row>
    <row r="20645">
      <c r="C20645" s="18"/>
      <c r="D20645" s="19"/>
      <c r="E20645" s="57"/>
      <c r="H20645" s="18"/>
    </row>
    <row r="20646">
      <c r="C20646" s="18"/>
      <c r="D20646" s="19"/>
      <c r="E20646" s="57"/>
      <c r="H20646" s="18"/>
    </row>
    <row r="20647">
      <c r="C20647" s="18"/>
      <c r="D20647" s="19"/>
      <c r="E20647" s="57"/>
      <c r="H20647" s="18"/>
    </row>
    <row r="20648">
      <c r="C20648" s="18"/>
      <c r="D20648" s="19"/>
      <c r="E20648" s="57"/>
      <c r="H20648" s="18"/>
    </row>
    <row r="20649">
      <c r="C20649" s="18"/>
      <c r="D20649" s="19"/>
      <c r="E20649" s="57"/>
      <c r="H20649" s="18"/>
    </row>
    <row r="20650">
      <c r="C20650" s="18"/>
      <c r="D20650" s="19"/>
      <c r="E20650" s="57"/>
      <c r="H20650" s="18"/>
    </row>
    <row r="20651">
      <c r="C20651" s="18"/>
      <c r="D20651" s="19"/>
      <c r="E20651" s="57"/>
      <c r="H20651" s="18"/>
    </row>
    <row r="20652">
      <c r="C20652" s="18"/>
      <c r="D20652" s="19"/>
      <c r="E20652" s="57"/>
      <c r="H20652" s="18"/>
    </row>
    <row r="20653">
      <c r="C20653" s="18"/>
      <c r="D20653" s="19"/>
      <c r="E20653" s="57"/>
      <c r="H20653" s="18"/>
    </row>
    <row r="20654">
      <c r="C20654" s="18"/>
      <c r="D20654" s="19"/>
      <c r="E20654" s="57"/>
      <c r="H20654" s="18"/>
    </row>
    <row r="20655">
      <c r="C20655" s="18"/>
      <c r="D20655" s="19"/>
      <c r="E20655" s="57"/>
      <c r="H20655" s="18"/>
    </row>
    <row r="20656">
      <c r="C20656" s="18"/>
      <c r="D20656" s="19"/>
      <c r="E20656" s="57"/>
      <c r="H20656" s="18"/>
    </row>
    <row r="20657">
      <c r="C20657" s="18"/>
      <c r="D20657" s="19"/>
      <c r="E20657" s="57"/>
      <c r="H20657" s="18"/>
    </row>
    <row r="20658">
      <c r="C20658" s="18"/>
      <c r="D20658" s="19"/>
      <c r="E20658" s="57"/>
      <c r="H20658" s="18"/>
    </row>
    <row r="20659">
      <c r="C20659" s="18"/>
      <c r="D20659" s="19"/>
      <c r="E20659" s="57"/>
      <c r="H20659" s="18"/>
    </row>
    <row r="20660">
      <c r="C20660" s="18"/>
      <c r="D20660" s="19"/>
      <c r="E20660" s="57"/>
      <c r="H20660" s="18"/>
    </row>
    <row r="20661">
      <c r="C20661" s="18"/>
      <c r="D20661" s="19"/>
      <c r="E20661" s="57"/>
      <c r="H20661" s="18"/>
    </row>
    <row r="20662">
      <c r="C20662" s="18"/>
      <c r="D20662" s="19"/>
      <c r="E20662" s="57"/>
      <c r="H20662" s="18"/>
    </row>
    <row r="20663">
      <c r="C20663" s="18"/>
      <c r="D20663" s="19"/>
      <c r="E20663" s="57"/>
      <c r="H20663" s="18"/>
    </row>
    <row r="20664">
      <c r="C20664" s="18"/>
      <c r="D20664" s="19"/>
      <c r="E20664" s="57"/>
      <c r="H20664" s="18"/>
    </row>
    <row r="20665">
      <c r="C20665" s="18"/>
      <c r="D20665" s="19"/>
      <c r="E20665" s="57"/>
      <c r="H20665" s="18"/>
    </row>
    <row r="20666">
      <c r="C20666" s="18"/>
      <c r="D20666" s="19"/>
      <c r="E20666" s="57"/>
      <c r="H20666" s="18"/>
    </row>
    <row r="20667">
      <c r="C20667" s="18"/>
      <c r="D20667" s="19"/>
      <c r="E20667" s="57"/>
      <c r="H20667" s="18"/>
    </row>
    <row r="20668">
      <c r="C20668" s="18"/>
      <c r="D20668" s="19"/>
      <c r="E20668" s="57"/>
      <c r="H20668" s="18"/>
    </row>
    <row r="20669">
      <c r="C20669" s="18"/>
      <c r="D20669" s="19"/>
      <c r="E20669" s="57"/>
      <c r="H20669" s="18"/>
    </row>
    <row r="20670">
      <c r="C20670" s="18"/>
      <c r="D20670" s="19"/>
      <c r="E20670" s="57"/>
      <c r="H20670" s="18"/>
    </row>
    <row r="20671">
      <c r="C20671" s="18"/>
      <c r="D20671" s="19"/>
      <c r="E20671" s="57"/>
      <c r="H20671" s="18"/>
    </row>
    <row r="20672">
      <c r="C20672" s="18"/>
      <c r="D20672" s="19"/>
      <c r="E20672" s="57"/>
      <c r="H20672" s="18"/>
    </row>
    <row r="20673">
      <c r="C20673" s="18"/>
      <c r="D20673" s="19"/>
      <c r="E20673" s="57"/>
      <c r="H20673" s="18"/>
    </row>
    <row r="20674">
      <c r="C20674" s="18"/>
      <c r="D20674" s="19"/>
      <c r="E20674" s="57"/>
      <c r="H20674" s="18"/>
    </row>
    <row r="20675">
      <c r="C20675" s="18"/>
      <c r="D20675" s="19"/>
      <c r="E20675" s="57"/>
      <c r="H20675" s="18"/>
    </row>
    <row r="20676">
      <c r="C20676" s="18"/>
      <c r="D20676" s="19"/>
      <c r="E20676" s="57"/>
      <c r="H20676" s="18"/>
    </row>
    <row r="20677">
      <c r="C20677" s="18"/>
      <c r="D20677" s="19"/>
      <c r="E20677" s="57"/>
      <c r="H20677" s="18"/>
    </row>
    <row r="20678">
      <c r="C20678" s="18"/>
      <c r="D20678" s="19"/>
      <c r="E20678" s="57"/>
      <c r="H20678" s="18"/>
    </row>
    <row r="20679">
      <c r="C20679" s="18"/>
      <c r="D20679" s="19"/>
      <c r="E20679" s="57"/>
      <c r="H20679" s="18"/>
    </row>
    <row r="20680">
      <c r="C20680" s="18"/>
      <c r="D20680" s="19"/>
      <c r="E20680" s="57"/>
      <c r="H20680" s="18"/>
    </row>
    <row r="20681">
      <c r="C20681" s="18"/>
      <c r="D20681" s="19"/>
      <c r="E20681" s="57"/>
      <c r="H20681" s="18"/>
    </row>
    <row r="20682">
      <c r="C20682" s="18"/>
      <c r="D20682" s="19"/>
      <c r="E20682" s="57"/>
      <c r="H20682" s="18"/>
    </row>
    <row r="20683">
      <c r="C20683" s="18"/>
      <c r="D20683" s="19"/>
      <c r="E20683" s="57"/>
      <c r="H20683" s="18"/>
    </row>
    <row r="20684">
      <c r="C20684" s="18"/>
      <c r="D20684" s="19"/>
      <c r="E20684" s="57"/>
      <c r="H20684" s="18"/>
    </row>
    <row r="20685">
      <c r="C20685" s="18"/>
      <c r="D20685" s="19"/>
      <c r="E20685" s="57"/>
      <c r="H20685" s="18"/>
    </row>
    <row r="20686">
      <c r="C20686" s="18"/>
      <c r="D20686" s="19"/>
      <c r="E20686" s="57"/>
      <c r="H20686" s="18"/>
    </row>
    <row r="20687">
      <c r="C20687" s="18"/>
      <c r="D20687" s="19"/>
      <c r="E20687" s="57"/>
      <c r="H20687" s="18"/>
    </row>
    <row r="20688">
      <c r="C20688" s="18"/>
      <c r="D20688" s="19"/>
      <c r="E20688" s="57"/>
      <c r="H20688" s="18"/>
    </row>
    <row r="20689">
      <c r="C20689" s="18"/>
      <c r="D20689" s="19"/>
      <c r="E20689" s="57"/>
      <c r="H20689" s="18"/>
    </row>
    <row r="20690">
      <c r="C20690" s="18"/>
      <c r="D20690" s="19"/>
      <c r="E20690" s="57"/>
      <c r="H20690" s="18"/>
    </row>
    <row r="20691">
      <c r="C20691" s="18"/>
      <c r="D20691" s="19"/>
      <c r="E20691" s="57"/>
      <c r="H20691" s="18"/>
    </row>
    <row r="20692">
      <c r="C20692" s="18"/>
      <c r="D20692" s="19"/>
      <c r="E20692" s="57"/>
      <c r="H20692" s="18"/>
    </row>
    <row r="20693">
      <c r="C20693" s="18"/>
      <c r="D20693" s="19"/>
      <c r="E20693" s="57"/>
      <c r="H20693" s="18"/>
    </row>
    <row r="20694">
      <c r="C20694" s="18"/>
      <c r="D20694" s="19"/>
      <c r="E20694" s="57"/>
      <c r="H20694" s="18"/>
    </row>
    <row r="20695">
      <c r="C20695" s="18"/>
      <c r="D20695" s="19"/>
      <c r="E20695" s="57"/>
      <c r="H20695" s="18"/>
    </row>
    <row r="20696">
      <c r="C20696" s="18"/>
      <c r="D20696" s="19"/>
      <c r="E20696" s="57"/>
      <c r="H20696" s="18"/>
    </row>
    <row r="20697">
      <c r="C20697" s="18"/>
      <c r="D20697" s="19"/>
      <c r="E20697" s="57"/>
      <c r="H20697" s="18"/>
    </row>
    <row r="20698">
      <c r="C20698" s="18"/>
      <c r="D20698" s="19"/>
      <c r="E20698" s="57"/>
      <c r="H20698" s="18"/>
    </row>
    <row r="20699">
      <c r="C20699" s="18"/>
      <c r="D20699" s="19"/>
      <c r="E20699" s="57"/>
      <c r="H20699" s="18"/>
    </row>
    <row r="20700">
      <c r="C20700" s="18"/>
      <c r="D20700" s="19"/>
      <c r="E20700" s="57"/>
      <c r="H20700" s="18"/>
    </row>
    <row r="20701">
      <c r="C20701" s="18"/>
      <c r="D20701" s="19"/>
      <c r="E20701" s="57"/>
      <c r="H20701" s="18"/>
    </row>
    <row r="20702">
      <c r="C20702" s="18"/>
      <c r="D20702" s="19"/>
      <c r="E20702" s="57"/>
      <c r="H20702" s="18"/>
    </row>
    <row r="20703">
      <c r="C20703" s="18"/>
      <c r="D20703" s="19"/>
      <c r="E20703" s="57"/>
      <c r="H20703" s="18"/>
    </row>
    <row r="20704">
      <c r="C20704" s="18"/>
      <c r="D20704" s="19"/>
      <c r="E20704" s="57"/>
      <c r="H20704" s="18"/>
    </row>
    <row r="20705">
      <c r="C20705" s="18"/>
      <c r="D20705" s="19"/>
      <c r="E20705" s="57"/>
      <c r="H20705" s="18"/>
    </row>
    <row r="20706">
      <c r="C20706" s="18"/>
      <c r="D20706" s="19"/>
      <c r="E20706" s="57"/>
      <c r="H20706" s="18"/>
    </row>
    <row r="20707">
      <c r="C20707" s="18"/>
      <c r="D20707" s="19"/>
      <c r="E20707" s="57"/>
      <c r="H20707" s="18"/>
    </row>
    <row r="20708">
      <c r="C20708" s="18"/>
      <c r="D20708" s="19"/>
      <c r="E20708" s="57"/>
      <c r="H20708" s="18"/>
    </row>
    <row r="20709">
      <c r="C20709" s="18"/>
      <c r="D20709" s="19"/>
      <c r="E20709" s="57"/>
      <c r="H20709" s="18"/>
    </row>
    <row r="20710">
      <c r="C20710" s="18"/>
      <c r="D20710" s="19"/>
      <c r="E20710" s="57"/>
      <c r="H20710" s="18"/>
    </row>
    <row r="20711">
      <c r="C20711" s="18"/>
      <c r="D20711" s="19"/>
      <c r="E20711" s="57"/>
      <c r="H20711" s="18"/>
    </row>
    <row r="20712">
      <c r="C20712" s="18"/>
      <c r="D20712" s="19"/>
      <c r="E20712" s="57"/>
      <c r="H20712" s="18"/>
    </row>
    <row r="20713">
      <c r="C20713" s="18"/>
      <c r="D20713" s="19"/>
      <c r="E20713" s="57"/>
      <c r="H20713" s="18"/>
    </row>
    <row r="20714">
      <c r="C20714" s="18"/>
      <c r="D20714" s="19"/>
      <c r="E20714" s="57"/>
      <c r="H20714" s="18"/>
    </row>
    <row r="20715">
      <c r="C20715" s="18"/>
      <c r="D20715" s="19"/>
      <c r="E20715" s="57"/>
      <c r="H20715" s="18"/>
    </row>
    <row r="20716">
      <c r="C20716" s="18"/>
      <c r="D20716" s="19"/>
      <c r="E20716" s="57"/>
      <c r="H20716" s="18"/>
    </row>
    <row r="20717">
      <c r="C20717" s="18"/>
      <c r="D20717" s="19"/>
      <c r="E20717" s="57"/>
      <c r="H20717" s="18"/>
    </row>
    <row r="20718">
      <c r="C20718" s="18"/>
      <c r="D20718" s="19"/>
      <c r="E20718" s="57"/>
      <c r="H20718" s="18"/>
    </row>
    <row r="20719">
      <c r="C20719" s="18"/>
      <c r="D20719" s="19"/>
      <c r="E20719" s="57"/>
      <c r="H20719" s="18"/>
    </row>
    <row r="20720">
      <c r="C20720" s="18"/>
      <c r="D20720" s="19"/>
      <c r="E20720" s="57"/>
      <c r="H20720" s="18"/>
    </row>
    <row r="20721">
      <c r="C20721" s="18"/>
      <c r="D20721" s="19"/>
      <c r="E20721" s="57"/>
      <c r="H20721" s="18"/>
    </row>
    <row r="20722">
      <c r="C20722" s="18"/>
      <c r="D20722" s="19"/>
      <c r="E20722" s="57"/>
      <c r="H20722" s="18"/>
    </row>
    <row r="20723">
      <c r="C20723" s="18"/>
      <c r="D20723" s="19"/>
      <c r="E20723" s="57"/>
      <c r="H20723" s="18"/>
    </row>
    <row r="20724">
      <c r="C20724" s="18"/>
      <c r="D20724" s="19"/>
      <c r="E20724" s="57"/>
      <c r="H20724" s="18"/>
    </row>
    <row r="20725">
      <c r="C20725" s="18"/>
      <c r="D20725" s="19"/>
      <c r="E20725" s="57"/>
      <c r="H20725" s="18"/>
    </row>
    <row r="20726">
      <c r="C20726" s="18"/>
      <c r="D20726" s="19"/>
      <c r="E20726" s="57"/>
      <c r="H20726" s="18"/>
    </row>
    <row r="20727">
      <c r="C20727" s="18"/>
      <c r="D20727" s="19"/>
      <c r="E20727" s="57"/>
      <c r="H20727" s="18"/>
    </row>
    <row r="20728">
      <c r="C20728" s="18"/>
      <c r="D20728" s="19"/>
      <c r="E20728" s="57"/>
      <c r="H20728" s="18"/>
    </row>
    <row r="20729">
      <c r="C20729" s="18"/>
      <c r="D20729" s="19"/>
      <c r="E20729" s="57"/>
      <c r="H20729" s="18"/>
    </row>
    <row r="20730">
      <c r="C20730" s="18"/>
      <c r="D20730" s="19"/>
      <c r="E20730" s="57"/>
      <c r="H20730" s="18"/>
    </row>
    <row r="20731">
      <c r="C20731" s="18"/>
      <c r="D20731" s="19"/>
      <c r="E20731" s="57"/>
      <c r="H20731" s="18"/>
    </row>
    <row r="20732">
      <c r="C20732" s="18"/>
      <c r="D20732" s="19"/>
      <c r="E20732" s="57"/>
      <c r="H20732" s="18"/>
    </row>
    <row r="20733">
      <c r="C20733" s="18"/>
      <c r="D20733" s="19"/>
      <c r="E20733" s="57"/>
      <c r="H20733" s="18"/>
    </row>
    <row r="20734">
      <c r="C20734" s="18"/>
      <c r="D20734" s="19"/>
      <c r="E20734" s="57"/>
      <c r="H20734" s="18"/>
    </row>
    <row r="20735">
      <c r="C20735" s="18"/>
      <c r="D20735" s="19"/>
      <c r="E20735" s="57"/>
      <c r="H20735" s="18"/>
    </row>
    <row r="20736">
      <c r="C20736" s="18"/>
      <c r="D20736" s="19"/>
      <c r="E20736" s="57"/>
      <c r="H20736" s="18"/>
    </row>
    <row r="20737">
      <c r="C20737" s="18"/>
      <c r="D20737" s="19"/>
      <c r="E20737" s="57"/>
      <c r="H20737" s="18"/>
    </row>
    <row r="20738">
      <c r="C20738" s="18"/>
      <c r="D20738" s="19"/>
      <c r="E20738" s="57"/>
      <c r="H20738" s="18"/>
    </row>
    <row r="20739">
      <c r="C20739" s="18"/>
      <c r="D20739" s="19"/>
      <c r="E20739" s="57"/>
      <c r="H20739" s="18"/>
    </row>
    <row r="20740">
      <c r="C20740" s="18"/>
      <c r="D20740" s="19"/>
      <c r="E20740" s="57"/>
      <c r="H20740" s="18"/>
    </row>
    <row r="20741">
      <c r="C20741" s="18"/>
      <c r="D20741" s="19"/>
      <c r="E20741" s="57"/>
      <c r="H20741" s="18"/>
    </row>
    <row r="20742">
      <c r="C20742" s="18"/>
      <c r="D20742" s="19"/>
      <c r="E20742" s="57"/>
      <c r="H20742" s="18"/>
    </row>
    <row r="20743">
      <c r="C20743" s="18"/>
      <c r="D20743" s="19"/>
      <c r="E20743" s="57"/>
      <c r="H20743" s="18"/>
    </row>
    <row r="20744">
      <c r="C20744" s="18"/>
      <c r="D20744" s="19"/>
      <c r="E20744" s="57"/>
      <c r="H20744" s="18"/>
    </row>
    <row r="20745">
      <c r="C20745" s="18"/>
      <c r="D20745" s="19"/>
      <c r="E20745" s="57"/>
      <c r="H20745" s="18"/>
    </row>
    <row r="20746">
      <c r="C20746" s="18"/>
      <c r="D20746" s="19"/>
      <c r="E20746" s="57"/>
      <c r="H20746" s="18"/>
    </row>
    <row r="20747">
      <c r="C20747" s="18"/>
      <c r="D20747" s="19"/>
      <c r="E20747" s="57"/>
      <c r="H20747" s="18"/>
    </row>
    <row r="20748">
      <c r="C20748" s="18"/>
      <c r="D20748" s="19"/>
      <c r="E20748" s="57"/>
      <c r="H20748" s="18"/>
    </row>
    <row r="20749">
      <c r="C20749" s="18"/>
      <c r="D20749" s="19"/>
      <c r="E20749" s="57"/>
      <c r="H20749" s="18"/>
    </row>
    <row r="20750">
      <c r="C20750" s="18"/>
      <c r="D20750" s="19"/>
      <c r="E20750" s="57"/>
      <c r="H20750" s="18"/>
    </row>
    <row r="20751">
      <c r="C20751" s="18"/>
      <c r="D20751" s="19"/>
      <c r="E20751" s="57"/>
      <c r="H20751" s="18"/>
    </row>
    <row r="20752">
      <c r="C20752" s="18"/>
      <c r="D20752" s="19"/>
      <c r="E20752" s="57"/>
      <c r="H20752" s="18"/>
    </row>
    <row r="20753">
      <c r="C20753" s="18"/>
      <c r="D20753" s="19"/>
      <c r="E20753" s="57"/>
      <c r="H20753" s="18"/>
    </row>
    <row r="20754">
      <c r="C20754" s="18"/>
      <c r="D20754" s="19"/>
      <c r="E20754" s="57"/>
      <c r="H20754" s="18"/>
    </row>
    <row r="20755">
      <c r="C20755" s="18"/>
      <c r="D20755" s="19"/>
      <c r="E20755" s="57"/>
      <c r="H20755" s="18"/>
    </row>
    <row r="20756">
      <c r="C20756" s="18"/>
      <c r="D20756" s="19"/>
      <c r="E20756" s="57"/>
      <c r="H20756" s="18"/>
    </row>
    <row r="20757">
      <c r="C20757" s="18"/>
      <c r="D20757" s="19"/>
      <c r="E20757" s="57"/>
      <c r="H20757" s="18"/>
    </row>
    <row r="20758">
      <c r="C20758" s="18"/>
      <c r="D20758" s="19"/>
      <c r="E20758" s="57"/>
      <c r="H20758" s="18"/>
    </row>
    <row r="20759">
      <c r="C20759" s="18"/>
      <c r="D20759" s="19"/>
      <c r="E20759" s="57"/>
      <c r="H20759" s="18"/>
    </row>
    <row r="20760">
      <c r="C20760" s="18"/>
      <c r="D20760" s="19"/>
      <c r="E20760" s="57"/>
      <c r="H20760" s="18"/>
    </row>
    <row r="20761">
      <c r="C20761" s="18"/>
      <c r="D20761" s="19"/>
      <c r="E20761" s="57"/>
      <c r="H20761" s="18"/>
    </row>
    <row r="20762">
      <c r="C20762" s="18"/>
      <c r="D20762" s="19"/>
      <c r="E20762" s="57"/>
      <c r="H20762" s="18"/>
    </row>
    <row r="20763">
      <c r="C20763" s="18"/>
      <c r="D20763" s="19"/>
      <c r="E20763" s="57"/>
      <c r="H20763" s="18"/>
    </row>
    <row r="20764">
      <c r="C20764" s="18"/>
      <c r="D20764" s="19"/>
      <c r="E20764" s="57"/>
      <c r="H20764" s="18"/>
    </row>
    <row r="20765">
      <c r="C20765" s="18"/>
      <c r="D20765" s="19"/>
      <c r="E20765" s="57"/>
      <c r="H20765" s="18"/>
    </row>
    <row r="20766">
      <c r="C20766" s="18"/>
      <c r="D20766" s="19"/>
      <c r="E20766" s="57"/>
      <c r="H20766" s="18"/>
    </row>
    <row r="20767">
      <c r="C20767" s="18"/>
      <c r="D20767" s="19"/>
      <c r="E20767" s="57"/>
      <c r="H20767" s="18"/>
    </row>
    <row r="20768">
      <c r="C20768" s="18"/>
      <c r="D20768" s="19"/>
      <c r="E20768" s="57"/>
      <c r="H20768" s="18"/>
    </row>
    <row r="20769">
      <c r="C20769" s="18"/>
      <c r="D20769" s="19"/>
      <c r="E20769" s="57"/>
      <c r="H20769" s="18"/>
    </row>
    <row r="20770">
      <c r="C20770" s="18"/>
      <c r="D20770" s="19"/>
      <c r="E20770" s="57"/>
      <c r="H20770" s="18"/>
    </row>
    <row r="20771">
      <c r="C20771" s="18"/>
      <c r="D20771" s="19"/>
      <c r="E20771" s="57"/>
      <c r="H20771" s="18"/>
    </row>
    <row r="20772">
      <c r="C20772" s="18"/>
      <c r="D20772" s="19"/>
      <c r="E20772" s="57"/>
      <c r="H20772" s="18"/>
    </row>
    <row r="20773">
      <c r="C20773" s="18"/>
      <c r="D20773" s="19"/>
      <c r="E20773" s="57"/>
      <c r="H20773" s="18"/>
    </row>
    <row r="20774">
      <c r="C20774" s="18"/>
      <c r="D20774" s="19"/>
      <c r="E20774" s="57"/>
      <c r="H20774" s="18"/>
    </row>
    <row r="20775">
      <c r="C20775" s="18"/>
      <c r="D20775" s="19"/>
      <c r="E20775" s="57"/>
      <c r="H20775" s="18"/>
    </row>
    <row r="20776">
      <c r="C20776" s="18"/>
      <c r="D20776" s="19"/>
      <c r="E20776" s="57"/>
      <c r="H20776" s="18"/>
    </row>
    <row r="20777">
      <c r="C20777" s="18"/>
      <c r="D20777" s="19"/>
      <c r="E20777" s="57"/>
      <c r="H20777" s="18"/>
    </row>
    <row r="20778">
      <c r="C20778" s="18"/>
      <c r="D20778" s="19"/>
      <c r="E20778" s="57"/>
      <c r="H20778" s="18"/>
    </row>
    <row r="20779">
      <c r="C20779" s="18"/>
      <c r="D20779" s="19"/>
      <c r="E20779" s="57"/>
      <c r="H20779" s="18"/>
    </row>
    <row r="20780">
      <c r="C20780" s="18"/>
      <c r="D20780" s="19"/>
      <c r="E20780" s="57"/>
      <c r="H20780" s="18"/>
    </row>
    <row r="20781">
      <c r="C20781" s="18"/>
      <c r="D20781" s="19"/>
      <c r="E20781" s="57"/>
      <c r="H20781" s="18"/>
    </row>
    <row r="20782">
      <c r="C20782" s="18"/>
      <c r="D20782" s="19"/>
      <c r="E20782" s="57"/>
      <c r="H20782" s="18"/>
    </row>
    <row r="20783">
      <c r="C20783" s="18"/>
      <c r="D20783" s="19"/>
      <c r="E20783" s="57"/>
      <c r="H20783" s="18"/>
    </row>
    <row r="20784">
      <c r="C20784" s="18"/>
      <c r="D20784" s="19"/>
      <c r="E20784" s="57"/>
      <c r="H20784" s="18"/>
    </row>
    <row r="20785">
      <c r="C20785" s="18"/>
      <c r="D20785" s="19"/>
      <c r="E20785" s="57"/>
      <c r="H20785" s="18"/>
    </row>
    <row r="20786">
      <c r="C20786" s="18"/>
      <c r="D20786" s="19"/>
      <c r="E20786" s="57"/>
      <c r="H20786" s="18"/>
    </row>
    <row r="20787">
      <c r="C20787" s="18"/>
      <c r="D20787" s="19"/>
      <c r="E20787" s="57"/>
      <c r="H20787" s="18"/>
    </row>
    <row r="20788">
      <c r="C20788" s="18"/>
      <c r="D20788" s="19"/>
      <c r="E20788" s="57"/>
      <c r="H20788" s="18"/>
    </row>
    <row r="20789">
      <c r="C20789" s="18"/>
      <c r="D20789" s="19"/>
      <c r="E20789" s="57"/>
      <c r="H20789" s="18"/>
    </row>
    <row r="20790">
      <c r="C20790" s="18"/>
      <c r="D20790" s="19"/>
      <c r="E20790" s="57"/>
      <c r="H20790" s="18"/>
    </row>
    <row r="20791">
      <c r="C20791" s="18"/>
      <c r="D20791" s="19"/>
      <c r="E20791" s="57"/>
      <c r="H20791" s="18"/>
    </row>
    <row r="20792">
      <c r="C20792" s="18"/>
      <c r="D20792" s="19"/>
      <c r="E20792" s="57"/>
      <c r="H20792" s="18"/>
    </row>
    <row r="20793">
      <c r="C20793" s="18"/>
      <c r="D20793" s="19"/>
      <c r="E20793" s="57"/>
      <c r="H20793" s="18"/>
    </row>
    <row r="20794">
      <c r="C20794" s="18"/>
      <c r="D20794" s="19"/>
      <c r="E20794" s="57"/>
      <c r="H20794" s="18"/>
    </row>
    <row r="20795">
      <c r="C20795" s="18"/>
      <c r="D20795" s="19"/>
      <c r="E20795" s="57"/>
      <c r="H20795" s="18"/>
    </row>
    <row r="20796">
      <c r="C20796" s="18"/>
      <c r="D20796" s="19"/>
      <c r="E20796" s="57"/>
      <c r="H20796" s="18"/>
    </row>
    <row r="20797">
      <c r="C20797" s="18"/>
      <c r="D20797" s="19"/>
      <c r="E20797" s="57"/>
      <c r="H20797" s="18"/>
    </row>
    <row r="20798">
      <c r="C20798" s="18"/>
      <c r="D20798" s="19"/>
      <c r="E20798" s="57"/>
      <c r="H20798" s="18"/>
    </row>
    <row r="20799">
      <c r="C20799" s="18"/>
      <c r="D20799" s="19"/>
      <c r="E20799" s="57"/>
      <c r="H20799" s="18"/>
    </row>
    <row r="20800">
      <c r="C20800" s="18"/>
      <c r="D20800" s="19"/>
      <c r="E20800" s="57"/>
      <c r="H20800" s="18"/>
    </row>
    <row r="20801">
      <c r="C20801" s="18"/>
      <c r="D20801" s="19"/>
      <c r="E20801" s="57"/>
      <c r="H20801" s="18"/>
    </row>
    <row r="20802">
      <c r="C20802" s="18"/>
      <c r="D20802" s="19"/>
      <c r="E20802" s="57"/>
      <c r="H20802" s="18"/>
    </row>
    <row r="20803">
      <c r="C20803" s="18"/>
      <c r="D20803" s="19"/>
      <c r="E20803" s="57"/>
      <c r="H20803" s="18"/>
    </row>
    <row r="20804">
      <c r="C20804" s="18"/>
      <c r="D20804" s="19"/>
      <c r="E20804" s="57"/>
      <c r="H20804" s="18"/>
    </row>
    <row r="20805">
      <c r="C20805" s="18"/>
      <c r="D20805" s="19"/>
      <c r="E20805" s="57"/>
      <c r="H20805" s="18"/>
    </row>
    <row r="20806">
      <c r="C20806" s="18"/>
      <c r="D20806" s="19"/>
      <c r="E20806" s="57"/>
      <c r="H20806" s="18"/>
    </row>
    <row r="20807">
      <c r="C20807" s="18"/>
      <c r="D20807" s="19"/>
      <c r="E20807" s="57"/>
      <c r="H20807" s="18"/>
    </row>
    <row r="20808">
      <c r="C20808" s="18"/>
      <c r="D20808" s="19"/>
      <c r="E20808" s="57"/>
      <c r="H20808" s="18"/>
    </row>
    <row r="20809">
      <c r="C20809" s="18"/>
      <c r="D20809" s="19"/>
      <c r="E20809" s="57"/>
      <c r="H20809" s="18"/>
    </row>
    <row r="20810">
      <c r="C20810" s="18"/>
      <c r="D20810" s="19"/>
      <c r="E20810" s="57"/>
      <c r="H20810" s="18"/>
    </row>
    <row r="20811">
      <c r="C20811" s="18"/>
      <c r="D20811" s="19"/>
      <c r="E20811" s="57"/>
      <c r="H20811" s="18"/>
    </row>
    <row r="20812">
      <c r="C20812" s="18"/>
      <c r="D20812" s="19"/>
      <c r="E20812" s="57"/>
      <c r="H20812" s="18"/>
    </row>
    <row r="20813">
      <c r="C20813" s="18"/>
      <c r="D20813" s="19"/>
      <c r="E20813" s="57"/>
      <c r="H20813" s="18"/>
    </row>
    <row r="20814">
      <c r="C20814" s="18"/>
      <c r="D20814" s="19"/>
      <c r="E20814" s="57"/>
      <c r="H20814" s="18"/>
    </row>
    <row r="20815">
      <c r="C20815" s="18"/>
      <c r="D20815" s="19"/>
      <c r="E20815" s="57"/>
      <c r="H20815" s="18"/>
    </row>
    <row r="20816">
      <c r="C20816" s="18"/>
      <c r="D20816" s="19"/>
      <c r="E20816" s="57"/>
      <c r="H20816" s="18"/>
    </row>
    <row r="20817">
      <c r="C20817" s="18"/>
      <c r="D20817" s="19"/>
      <c r="E20817" s="57"/>
      <c r="H20817" s="18"/>
    </row>
    <row r="20818">
      <c r="C20818" s="18"/>
      <c r="D20818" s="19"/>
      <c r="E20818" s="57"/>
      <c r="H20818" s="18"/>
    </row>
    <row r="20819">
      <c r="C20819" s="18"/>
      <c r="D20819" s="19"/>
      <c r="E20819" s="57"/>
      <c r="H20819" s="18"/>
    </row>
    <row r="20820">
      <c r="C20820" s="18"/>
      <c r="D20820" s="19"/>
      <c r="E20820" s="57"/>
      <c r="H20820" s="18"/>
    </row>
    <row r="20821">
      <c r="C20821" s="18"/>
      <c r="D20821" s="19"/>
      <c r="E20821" s="57"/>
      <c r="H20821" s="18"/>
    </row>
    <row r="20822">
      <c r="C20822" s="18"/>
      <c r="D20822" s="19"/>
      <c r="E20822" s="57"/>
      <c r="H20822" s="18"/>
    </row>
    <row r="20823">
      <c r="C20823" s="18"/>
      <c r="D20823" s="19"/>
      <c r="E20823" s="57"/>
      <c r="H20823" s="18"/>
    </row>
    <row r="20824">
      <c r="C20824" s="18"/>
      <c r="D20824" s="19"/>
      <c r="E20824" s="57"/>
      <c r="H20824" s="18"/>
    </row>
    <row r="20825">
      <c r="C20825" s="18"/>
      <c r="D20825" s="19"/>
      <c r="E20825" s="57"/>
      <c r="H20825" s="18"/>
    </row>
    <row r="20826">
      <c r="C20826" s="18"/>
      <c r="D20826" s="19"/>
      <c r="E20826" s="57"/>
      <c r="H20826" s="18"/>
    </row>
    <row r="20827">
      <c r="C20827" s="18"/>
      <c r="D20827" s="19"/>
      <c r="E20827" s="57"/>
      <c r="H20827" s="18"/>
    </row>
    <row r="20828">
      <c r="C20828" s="18"/>
      <c r="D20828" s="19"/>
      <c r="E20828" s="57"/>
      <c r="H20828" s="18"/>
    </row>
    <row r="20829">
      <c r="C20829" s="18"/>
      <c r="D20829" s="19"/>
      <c r="E20829" s="57"/>
      <c r="H20829" s="18"/>
    </row>
    <row r="20830">
      <c r="C20830" s="18"/>
      <c r="D20830" s="19"/>
      <c r="E20830" s="57"/>
      <c r="H20830" s="18"/>
    </row>
    <row r="20831">
      <c r="C20831" s="18"/>
      <c r="D20831" s="19"/>
      <c r="E20831" s="57"/>
      <c r="H20831" s="18"/>
    </row>
    <row r="20832">
      <c r="C20832" s="18"/>
      <c r="D20832" s="19"/>
      <c r="E20832" s="57"/>
      <c r="H20832" s="18"/>
    </row>
    <row r="20833">
      <c r="C20833" s="18"/>
      <c r="D20833" s="19"/>
      <c r="E20833" s="57"/>
      <c r="H20833" s="18"/>
    </row>
    <row r="20834">
      <c r="C20834" s="18"/>
      <c r="D20834" s="19"/>
      <c r="E20834" s="57"/>
      <c r="H20834" s="18"/>
    </row>
    <row r="20835">
      <c r="C20835" s="18"/>
      <c r="D20835" s="19"/>
      <c r="E20835" s="57"/>
      <c r="H20835" s="18"/>
    </row>
    <row r="20836">
      <c r="C20836" s="18"/>
      <c r="D20836" s="19"/>
      <c r="E20836" s="57"/>
      <c r="H20836" s="18"/>
    </row>
    <row r="20837">
      <c r="C20837" s="18"/>
      <c r="D20837" s="19"/>
      <c r="E20837" s="57"/>
      <c r="H20837" s="18"/>
    </row>
    <row r="20838">
      <c r="C20838" s="18"/>
      <c r="D20838" s="19"/>
      <c r="E20838" s="57"/>
      <c r="H20838" s="18"/>
    </row>
    <row r="20839">
      <c r="C20839" s="18"/>
      <c r="D20839" s="19"/>
      <c r="E20839" s="57"/>
      <c r="H20839" s="18"/>
    </row>
    <row r="20840">
      <c r="C20840" s="18"/>
      <c r="D20840" s="19"/>
      <c r="E20840" s="57"/>
      <c r="H20840" s="18"/>
    </row>
    <row r="20841">
      <c r="C20841" s="18"/>
      <c r="D20841" s="19"/>
      <c r="E20841" s="57"/>
      <c r="H20841" s="18"/>
    </row>
    <row r="20842">
      <c r="C20842" s="18"/>
      <c r="D20842" s="19"/>
      <c r="E20842" s="57"/>
      <c r="H20842" s="18"/>
    </row>
    <row r="20843">
      <c r="C20843" s="18"/>
      <c r="D20843" s="19"/>
      <c r="E20843" s="57"/>
      <c r="H20843" s="18"/>
    </row>
    <row r="20844">
      <c r="C20844" s="18"/>
      <c r="D20844" s="19"/>
      <c r="E20844" s="57"/>
      <c r="H20844" s="18"/>
    </row>
    <row r="20845">
      <c r="C20845" s="18"/>
      <c r="D20845" s="19"/>
      <c r="E20845" s="57"/>
      <c r="H20845" s="18"/>
    </row>
    <row r="20846">
      <c r="C20846" s="18"/>
      <c r="D20846" s="19"/>
      <c r="E20846" s="57"/>
      <c r="H20846" s="18"/>
    </row>
    <row r="20847">
      <c r="C20847" s="18"/>
      <c r="D20847" s="19"/>
      <c r="E20847" s="57"/>
      <c r="H20847" s="18"/>
    </row>
    <row r="20848">
      <c r="C20848" s="18"/>
      <c r="D20848" s="19"/>
      <c r="E20848" s="57"/>
      <c r="H20848" s="18"/>
    </row>
    <row r="20849">
      <c r="C20849" s="18"/>
      <c r="D20849" s="19"/>
      <c r="E20849" s="57"/>
      <c r="H20849" s="18"/>
    </row>
    <row r="20850">
      <c r="C20850" s="18"/>
      <c r="D20850" s="19"/>
      <c r="E20850" s="57"/>
      <c r="H20850" s="18"/>
    </row>
    <row r="20851">
      <c r="C20851" s="18"/>
      <c r="D20851" s="19"/>
      <c r="E20851" s="57"/>
      <c r="H20851" s="18"/>
    </row>
    <row r="20852">
      <c r="C20852" s="18"/>
      <c r="D20852" s="19"/>
      <c r="E20852" s="57"/>
      <c r="H20852" s="18"/>
    </row>
    <row r="20853">
      <c r="C20853" s="18"/>
      <c r="D20853" s="19"/>
      <c r="E20853" s="57"/>
      <c r="H20853" s="18"/>
    </row>
    <row r="20854">
      <c r="C20854" s="18"/>
      <c r="D20854" s="19"/>
      <c r="E20854" s="57"/>
      <c r="H20854" s="18"/>
    </row>
    <row r="20855">
      <c r="C20855" s="18"/>
      <c r="D20855" s="19"/>
      <c r="E20855" s="57"/>
      <c r="H20855" s="18"/>
    </row>
    <row r="20856">
      <c r="C20856" s="18"/>
      <c r="D20856" s="19"/>
      <c r="E20856" s="57"/>
      <c r="H20856" s="18"/>
    </row>
    <row r="20857">
      <c r="C20857" s="18"/>
      <c r="D20857" s="19"/>
      <c r="E20857" s="57"/>
      <c r="H20857" s="18"/>
    </row>
    <row r="20858">
      <c r="C20858" s="18"/>
      <c r="D20858" s="19"/>
      <c r="E20858" s="57"/>
      <c r="H20858" s="18"/>
    </row>
    <row r="20859">
      <c r="C20859" s="18"/>
      <c r="D20859" s="19"/>
      <c r="E20859" s="57"/>
      <c r="H20859" s="18"/>
    </row>
    <row r="20860">
      <c r="C20860" s="18"/>
      <c r="D20860" s="19"/>
      <c r="E20860" s="57"/>
      <c r="H20860" s="18"/>
    </row>
    <row r="20861">
      <c r="C20861" s="18"/>
      <c r="D20861" s="19"/>
      <c r="E20861" s="57"/>
      <c r="H20861" s="18"/>
    </row>
    <row r="20862">
      <c r="C20862" s="18"/>
      <c r="D20862" s="19"/>
      <c r="E20862" s="57"/>
      <c r="H20862" s="18"/>
    </row>
    <row r="20863">
      <c r="C20863" s="18"/>
      <c r="D20863" s="19"/>
      <c r="E20863" s="57"/>
      <c r="H20863" s="18"/>
    </row>
    <row r="20864">
      <c r="C20864" s="18"/>
      <c r="D20864" s="19"/>
      <c r="E20864" s="57"/>
      <c r="H20864" s="18"/>
    </row>
    <row r="20865">
      <c r="C20865" s="18"/>
      <c r="D20865" s="19"/>
      <c r="E20865" s="57"/>
      <c r="H20865" s="18"/>
    </row>
    <row r="20866">
      <c r="C20866" s="18"/>
      <c r="D20866" s="19"/>
      <c r="E20866" s="57"/>
      <c r="H20866" s="18"/>
    </row>
    <row r="20867">
      <c r="C20867" s="18"/>
      <c r="D20867" s="19"/>
      <c r="E20867" s="57"/>
      <c r="H20867" s="18"/>
    </row>
    <row r="20868">
      <c r="C20868" s="18"/>
      <c r="D20868" s="19"/>
      <c r="E20868" s="57"/>
      <c r="H20868" s="18"/>
    </row>
    <row r="20869">
      <c r="C20869" s="18"/>
      <c r="D20869" s="19"/>
      <c r="E20869" s="57"/>
      <c r="H20869" s="18"/>
    </row>
    <row r="20870">
      <c r="C20870" s="18"/>
      <c r="D20870" s="19"/>
      <c r="E20870" s="57"/>
      <c r="H20870" s="18"/>
    </row>
    <row r="20871">
      <c r="C20871" s="18"/>
      <c r="D20871" s="19"/>
      <c r="E20871" s="57"/>
      <c r="H20871" s="18"/>
    </row>
    <row r="20872">
      <c r="C20872" s="18"/>
      <c r="D20872" s="19"/>
      <c r="E20872" s="57"/>
      <c r="H20872" s="18"/>
    </row>
    <row r="20873">
      <c r="C20873" s="18"/>
      <c r="D20873" s="19"/>
      <c r="E20873" s="57"/>
      <c r="H20873" s="18"/>
    </row>
    <row r="20874">
      <c r="C20874" s="18"/>
      <c r="D20874" s="19"/>
      <c r="E20874" s="57"/>
      <c r="H20874" s="18"/>
    </row>
    <row r="20875">
      <c r="C20875" s="18"/>
      <c r="D20875" s="19"/>
      <c r="E20875" s="57"/>
      <c r="H20875" s="18"/>
    </row>
    <row r="20876">
      <c r="C20876" s="18"/>
      <c r="D20876" s="19"/>
      <c r="E20876" s="57"/>
      <c r="H20876" s="18"/>
    </row>
    <row r="20877">
      <c r="C20877" s="18"/>
      <c r="D20877" s="19"/>
      <c r="E20877" s="57"/>
      <c r="H20877" s="18"/>
    </row>
    <row r="20878">
      <c r="C20878" s="18"/>
      <c r="D20878" s="19"/>
      <c r="E20878" s="57"/>
      <c r="H20878" s="18"/>
    </row>
    <row r="20879">
      <c r="C20879" s="18"/>
      <c r="D20879" s="19"/>
      <c r="E20879" s="57"/>
      <c r="H20879" s="18"/>
    </row>
    <row r="20880">
      <c r="C20880" s="18"/>
      <c r="D20880" s="19"/>
      <c r="E20880" s="57"/>
      <c r="H20880" s="18"/>
    </row>
    <row r="20881">
      <c r="C20881" s="18"/>
      <c r="D20881" s="19"/>
      <c r="E20881" s="57"/>
      <c r="H20881" s="18"/>
    </row>
    <row r="20882">
      <c r="C20882" s="18"/>
      <c r="D20882" s="19"/>
      <c r="E20882" s="57"/>
      <c r="H20882" s="18"/>
    </row>
    <row r="20883">
      <c r="C20883" s="18"/>
      <c r="D20883" s="19"/>
      <c r="E20883" s="57"/>
      <c r="H20883" s="18"/>
    </row>
    <row r="20884">
      <c r="C20884" s="18"/>
      <c r="D20884" s="19"/>
      <c r="E20884" s="57"/>
      <c r="H20884" s="18"/>
    </row>
    <row r="20885">
      <c r="C20885" s="18"/>
      <c r="D20885" s="19"/>
      <c r="E20885" s="57"/>
      <c r="H20885" s="18"/>
    </row>
    <row r="20886">
      <c r="C20886" s="18"/>
      <c r="D20886" s="19"/>
      <c r="E20886" s="57"/>
      <c r="H20886" s="18"/>
    </row>
    <row r="20887">
      <c r="C20887" s="18"/>
      <c r="D20887" s="19"/>
      <c r="E20887" s="57"/>
      <c r="H20887" s="18"/>
    </row>
    <row r="20888">
      <c r="C20888" s="18"/>
      <c r="D20888" s="19"/>
      <c r="E20888" s="57"/>
      <c r="H20888" s="18"/>
    </row>
    <row r="20889">
      <c r="C20889" s="18"/>
      <c r="D20889" s="19"/>
      <c r="E20889" s="57"/>
      <c r="H20889" s="18"/>
    </row>
    <row r="20890">
      <c r="C20890" s="18"/>
      <c r="D20890" s="19"/>
      <c r="E20890" s="57"/>
      <c r="H20890" s="18"/>
    </row>
    <row r="20891">
      <c r="C20891" s="18"/>
      <c r="D20891" s="19"/>
      <c r="E20891" s="57"/>
      <c r="H20891" s="18"/>
    </row>
    <row r="20892">
      <c r="C20892" s="18"/>
      <c r="D20892" s="19"/>
      <c r="E20892" s="57"/>
      <c r="H20892" s="18"/>
    </row>
    <row r="20893">
      <c r="C20893" s="18"/>
      <c r="D20893" s="19"/>
      <c r="E20893" s="57"/>
      <c r="H20893" s="18"/>
    </row>
    <row r="20894">
      <c r="C20894" s="18"/>
      <c r="D20894" s="19"/>
      <c r="E20894" s="57"/>
      <c r="H20894" s="18"/>
    </row>
    <row r="20895">
      <c r="C20895" s="18"/>
      <c r="D20895" s="19"/>
      <c r="E20895" s="57"/>
      <c r="H20895" s="18"/>
    </row>
    <row r="20896">
      <c r="C20896" s="18"/>
      <c r="D20896" s="19"/>
      <c r="E20896" s="57"/>
      <c r="H20896" s="18"/>
    </row>
    <row r="20897">
      <c r="C20897" s="18"/>
      <c r="D20897" s="19"/>
      <c r="E20897" s="57"/>
      <c r="H20897" s="18"/>
    </row>
    <row r="20898">
      <c r="C20898" s="18"/>
      <c r="D20898" s="19"/>
      <c r="E20898" s="57"/>
      <c r="H20898" s="18"/>
    </row>
    <row r="20899">
      <c r="C20899" s="18"/>
      <c r="D20899" s="19"/>
      <c r="E20899" s="57"/>
      <c r="H20899" s="18"/>
    </row>
    <row r="20900">
      <c r="C20900" s="18"/>
      <c r="D20900" s="19"/>
      <c r="E20900" s="57"/>
      <c r="H20900" s="18"/>
    </row>
    <row r="20901">
      <c r="C20901" s="18"/>
      <c r="D20901" s="19"/>
      <c r="E20901" s="57"/>
      <c r="H20901" s="18"/>
    </row>
    <row r="20902">
      <c r="C20902" s="18"/>
      <c r="D20902" s="19"/>
      <c r="E20902" s="57"/>
      <c r="H20902" s="18"/>
    </row>
    <row r="20903">
      <c r="C20903" s="18"/>
      <c r="D20903" s="19"/>
      <c r="E20903" s="57"/>
      <c r="H20903" s="18"/>
    </row>
    <row r="20904">
      <c r="C20904" s="18"/>
      <c r="D20904" s="19"/>
      <c r="E20904" s="57"/>
      <c r="H20904" s="18"/>
    </row>
    <row r="20905">
      <c r="C20905" s="18"/>
      <c r="D20905" s="19"/>
      <c r="E20905" s="57"/>
      <c r="H20905" s="18"/>
    </row>
    <row r="20906">
      <c r="C20906" s="18"/>
      <c r="D20906" s="19"/>
      <c r="E20906" s="57"/>
      <c r="H20906" s="18"/>
    </row>
    <row r="20907">
      <c r="C20907" s="18"/>
      <c r="D20907" s="19"/>
      <c r="E20907" s="57"/>
      <c r="H20907" s="18"/>
    </row>
    <row r="20908">
      <c r="C20908" s="18"/>
      <c r="D20908" s="19"/>
      <c r="E20908" s="57"/>
      <c r="H20908" s="18"/>
    </row>
    <row r="20909">
      <c r="C20909" s="18"/>
      <c r="D20909" s="19"/>
      <c r="E20909" s="57"/>
      <c r="H20909" s="18"/>
    </row>
    <row r="20910">
      <c r="C20910" s="18"/>
      <c r="D20910" s="19"/>
      <c r="E20910" s="57"/>
      <c r="H20910" s="18"/>
    </row>
    <row r="20911">
      <c r="C20911" s="18"/>
      <c r="D20911" s="19"/>
      <c r="E20911" s="57"/>
      <c r="H20911" s="18"/>
    </row>
    <row r="20912">
      <c r="C20912" s="18"/>
      <c r="D20912" s="19"/>
      <c r="E20912" s="57"/>
      <c r="H20912" s="18"/>
    </row>
    <row r="20913">
      <c r="C20913" s="18"/>
      <c r="D20913" s="19"/>
      <c r="E20913" s="57"/>
      <c r="H20913" s="18"/>
    </row>
    <row r="20914">
      <c r="C20914" s="18"/>
      <c r="D20914" s="19"/>
      <c r="E20914" s="57"/>
      <c r="H20914" s="18"/>
    </row>
    <row r="20915">
      <c r="C20915" s="18"/>
      <c r="D20915" s="19"/>
      <c r="E20915" s="57"/>
      <c r="H20915" s="18"/>
    </row>
    <row r="20916">
      <c r="C20916" s="18"/>
      <c r="D20916" s="19"/>
      <c r="E20916" s="57"/>
      <c r="H20916" s="18"/>
    </row>
    <row r="20917">
      <c r="C20917" s="18"/>
      <c r="D20917" s="19"/>
      <c r="E20917" s="57"/>
      <c r="H20917" s="18"/>
    </row>
    <row r="20918">
      <c r="C20918" s="18"/>
      <c r="D20918" s="19"/>
      <c r="E20918" s="57"/>
      <c r="H20918" s="18"/>
    </row>
    <row r="20919">
      <c r="C20919" s="18"/>
      <c r="D20919" s="19"/>
      <c r="E20919" s="57"/>
      <c r="H20919" s="18"/>
    </row>
    <row r="20920">
      <c r="C20920" s="18"/>
      <c r="D20920" s="19"/>
      <c r="E20920" s="57"/>
      <c r="H20920" s="18"/>
    </row>
    <row r="20921">
      <c r="C20921" s="18"/>
      <c r="D20921" s="19"/>
      <c r="E20921" s="57"/>
      <c r="H20921" s="18"/>
    </row>
    <row r="20922">
      <c r="C20922" s="18"/>
      <c r="D20922" s="19"/>
      <c r="E20922" s="57"/>
      <c r="H20922" s="18"/>
    </row>
    <row r="20923">
      <c r="C20923" s="18"/>
      <c r="D20923" s="19"/>
      <c r="E20923" s="57"/>
      <c r="H20923" s="18"/>
    </row>
    <row r="20924">
      <c r="C20924" s="18"/>
      <c r="D20924" s="19"/>
      <c r="E20924" s="57"/>
      <c r="H20924" s="18"/>
    </row>
    <row r="20925">
      <c r="C20925" s="18"/>
      <c r="D20925" s="19"/>
      <c r="E20925" s="57"/>
      <c r="H20925" s="18"/>
    </row>
    <row r="20926">
      <c r="C20926" s="18"/>
      <c r="D20926" s="19"/>
      <c r="E20926" s="57"/>
      <c r="H20926" s="18"/>
    </row>
    <row r="20927">
      <c r="C20927" s="18"/>
      <c r="D20927" s="19"/>
      <c r="E20927" s="57"/>
      <c r="H20927" s="18"/>
    </row>
    <row r="20928">
      <c r="C20928" s="18"/>
      <c r="D20928" s="19"/>
      <c r="E20928" s="57"/>
      <c r="H20928" s="18"/>
    </row>
    <row r="20929">
      <c r="C20929" s="18"/>
      <c r="D20929" s="19"/>
      <c r="E20929" s="57"/>
      <c r="H20929" s="18"/>
    </row>
    <row r="20930">
      <c r="C20930" s="18"/>
      <c r="D20930" s="19"/>
      <c r="E20930" s="57"/>
      <c r="H20930" s="18"/>
    </row>
    <row r="20931">
      <c r="C20931" s="18"/>
      <c r="D20931" s="19"/>
      <c r="E20931" s="57"/>
      <c r="H20931" s="18"/>
    </row>
    <row r="20932">
      <c r="C20932" s="18"/>
      <c r="D20932" s="19"/>
      <c r="E20932" s="57"/>
      <c r="H20932" s="18"/>
    </row>
    <row r="20933">
      <c r="C20933" s="18"/>
      <c r="D20933" s="19"/>
      <c r="E20933" s="57"/>
      <c r="H20933" s="18"/>
    </row>
    <row r="20934">
      <c r="C20934" s="18"/>
      <c r="D20934" s="19"/>
      <c r="E20934" s="57"/>
      <c r="H20934" s="18"/>
    </row>
    <row r="20935">
      <c r="C20935" s="18"/>
      <c r="D20935" s="19"/>
      <c r="E20935" s="57"/>
      <c r="H20935" s="18"/>
    </row>
    <row r="20936">
      <c r="C20936" s="18"/>
      <c r="D20936" s="19"/>
      <c r="E20936" s="57"/>
      <c r="H20936" s="18"/>
    </row>
    <row r="20937">
      <c r="C20937" s="18"/>
      <c r="D20937" s="19"/>
      <c r="E20937" s="57"/>
      <c r="H20937" s="18"/>
    </row>
    <row r="20938">
      <c r="C20938" s="18"/>
      <c r="D20938" s="19"/>
      <c r="E20938" s="57"/>
      <c r="H20938" s="18"/>
    </row>
    <row r="20939">
      <c r="C20939" s="18"/>
      <c r="D20939" s="19"/>
      <c r="E20939" s="57"/>
      <c r="H20939" s="18"/>
    </row>
    <row r="20940">
      <c r="C20940" s="18"/>
      <c r="D20940" s="19"/>
      <c r="E20940" s="57"/>
      <c r="H20940" s="18"/>
    </row>
    <row r="20941">
      <c r="C20941" s="18"/>
      <c r="D20941" s="19"/>
      <c r="E20941" s="57"/>
      <c r="H20941" s="18"/>
    </row>
    <row r="20942">
      <c r="C20942" s="18"/>
      <c r="D20942" s="19"/>
      <c r="E20942" s="57"/>
      <c r="H20942" s="18"/>
    </row>
    <row r="20943">
      <c r="C20943" s="18"/>
      <c r="D20943" s="19"/>
      <c r="E20943" s="57"/>
      <c r="H20943" s="18"/>
    </row>
    <row r="20944">
      <c r="C20944" s="18"/>
      <c r="D20944" s="19"/>
      <c r="E20944" s="57"/>
      <c r="H20944" s="18"/>
    </row>
    <row r="20945">
      <c r="C20945" s="18"/>
      <c r="D20945" s="19"/>
      <c r="E20945" s="57"/>
      <c r="H20945" s="18"/>
    </row>
    <row r="20946">
      <c r="C20946" s="18"/>
      <c r="D20946" s="19"/>
      <c r="E20946" s="57"/>
      <c r="H20946" s="18"/>
    </row>
    <row r="20947">
      <c r="C20947" s="18"/>
      <c r="D20947" s="19"/>
      <c r="E20947" s="57"/>
      <c r="H20947" s="18"/>
    </row>
    <row r="20948">
      <c r="C20948" s="18"/>
      <c r="D20948" s="19"/>
      <c r="E20948" s="57"/>
      <c r="H20948" s="18"/>
    </row>
    <row r="20949">
      <c r="C20949" s="18"/>
      <c r="D20949" s="19"/>
      <c r="E20949" s="57"/>
      <c r="H20949" s="18"/>
    </row>
    <row r="20950">
      <c r="C20950" s="18"/>
      <c r="D20950" s="19"/>
      <c r="E20950" s="57"/>
      <c r="H20950" s="18"/>
    </row>
    <row r="20951">
      <c r="C20951" s="18"/>
      <c r="D20951" s="19"/>
      <c r="E20951" s="57"/>
      <c r="H20951" s="18"/>
    </row>
    <row r="20952">
      <c r="C20952" s="18"/>
      <c r="D20952" s="19"/>
      <c r="E20952" s="57"/>
      <c r="H20952" s="18"/>
    </row>
    <row r="20953">
      <c r="C20953" s="18"/>
      <c r="D20953" s="19"/>
      <c r="E20953" s="57"/>
      <c r="H20953" s="18"/>
    </row>
    <row r="20954">
      <c r="C20954" s="18"/>
      <c r="D20954" s="19"/>
      <c r="E20954" s="57"/>
      <c r="H20954" s="18"/>
    </row>
    <row r="20955">
      <c r="C20955" s="18"/>
      <c r="D20955" s="19"/>
      <c r="E20955" s="57"/>
      <c r="H20955" s="18"/>
    </row>
    <row r="20956">
      <c r="C20956" s="18"/>
      <c r="D20956" s="19"/>
      <c r="E20956" s="57"/>
      <c r="H20956" s="18"/>
    </row>
    <row r="20957">
      <c r="C20957" s="18"/>
      <c r="D20957" s="19"/>
      <c r="E20957" s="57"/>
      <c r="H20957" s="18"/>
    </row>
    <row r="20958">
      <c r="C20958" s="18"/>
      <c r="D20958" s="19"/>
      <c r="E20958" s="57"/>
      <c r="H20958" s="18"/>
    </row>
    <row r="20959">
      <c r="C20959" s="18"/>
      <c r="D20959" s="19"/>
      <c r="E20959" s="57"/>
      <c r="H20959" s="18"/>
    </row>
    <row r="20960">
      <c r="C20960" s="18"/>
      <c r="D20960" s="19"/>
      <c r="E20960" s="57"/>
      <c r="H20960" s="18"/>
    </row>
    <row r="20961">
      <c r="C20961" s="18"/>
      <c r="D20961" s="19"/>
      <c r="E20961" s="57"/>
      <c r="H20961" s="18"/>
    </row>
    <row r="20962">
      <c r="C20962" s="18"/>
      <c r="D20962" s="19"/>
      <c r="E20962" s="57"/>
      <c r="H20962" s="18"/>
    </row>
    <row r="20963">
      <c r="C20963" s="18"/>
      <c r="D20963" s="19"/>
      <c r="E20963" s="57"/>
      <c r="H20963" s="18"/>
    </row>
    <row r="20964">
      <c r="C20964" s="18"/>
      <c r="D20964" s="19"/>
      <c r="E20964" s="57"/>
      <c r="H20964" s="18"/>
    </row>
    <row r="20965">
      <c r="C20965" s="18"/>
      <c r="D20965" s="19"/>
      <c r="E20965" s="57"/>
      <c r="H20965" s="18"/>
    </row>
    <row r="20966">
      <c r="C20966" s="18"/>
      <c r="D20966" s="19"/>
      <c r="E20966" s="57"/>
      <c r="H20966" s="18"/>
    </row>
    <row r="20967">
      <c r="C20967" s="18"/>
      <c r="D20967" s="19"/>
      <c r="E20967" s="57"/>
      <c r="H20967" s="18"/>
    </row>
    <row r="20968">
      <c r="C20968" s="18"/>
      <c r="D20968" s="19"/>
      <c r="E20968" s="57"/>
      <c r="H20968" s="18"/>
    </row>
    <row r="20969">
      <c r="C20969" s="18"/>
      <c r="D20969" s="19"/>
      <c r="E20969" s="57"/>
      <c r="H20969" s="18"/>
    </row>
    <row r="20970">
      <c r="C20970" s="18"/>
      <c r="D20970" s="19"/>
      <c r="E20970" s="57"/>
      <c r="H20970" s="18"/>
    </row>
    <row r="20971">
      <c r="C20971" s="18"/>
      <c r="D20971" s="19"/>
      <c r="E20971" s="57"/>
      <c r="H20971" s="18"/>
    </row>
    <row r="20972">
      <c r="C20972" s="18"/>
      <c r="D20972" s="19"/>
      <c r="E20972" s="57"/>
      <c r="H20972" s="18"/>
    </row>
    <row r="20973">
      <c r="C20973" s="18"/>
      <c r="D20973" s="19"/>
      <c r="E20973" s="57"/>
      <c r="H20973" s="18"/>
    </row>
    <row r="20974">
      <c r="C20974" s="18"/>
      <c r="D20974" s="19"/>
      <c r="E20974" s="57"/>
      <c r="H20974" s="18"/>
    </row>
    <row r="20975">
      <c r="C20975" s="18"/>
      <c r="D20975" s="19"/>
      <c r="E20975" s="57"/>
      <c r="H20975" s="18"/>
    </row>
    <row r="20976">
      <c r="C20976" s="18"/>
      <c r="D20976" s="19"/>
      <c r="E20976" s="57"/>
      <c r="H20976" s="18"/>
    </row>
    <row r="20977">
      <c r="C20977" s="18"/>
      <c r="D20977" s="19"/>
      <c r="E20977" s="57"/>
      <c r="H20977" s="18"/>
    </row>
    <row r="20978">
      <c r="C20978" s="18"/>
      <c r="D20978" s="19"/>
      <c r="E20978" s="57"/>
      <c r="H20978" s="18"/>
    </row>
    <row r="20979">
      <c r="C20979" s="18"/>
      <c r="D20979" s="19"/>
      <c r="E20979" s="57"/>
      <c r="H20979" s="18"/>
    </row>
    <row r="20980">
      <c r="C20980" s="18"/>
      <c r="D20980" s="19"/>
      <c r="E20980" s="57"/>
      <c r="H20980" s="18"/>
    </row>
    <row r="20981">
      <c r="C20981" s="18"/>
      <c r="D20981" s="19"/>
      <c r="E20981" s="57"/>
      <c r="H20981" s="18"/>
    </row>
    <row r="20982">
      <c r="C20982" s="18"/>
      <c r="D20982" s="19"/>
      <c r="E20982" s="57"/>
      <c r="H20982" s="18"/>
    </row>
    <row r="20983">
      <c r="C20983" s="18"/>
      <c r="D20983" s="19"/>
      <c r="E20983" s="57"/>
      <c r="H20983" s="18"/>
    </row>
    <row r="20984">
      <c r="C20984" s="18"/>
      <c r="D20984" s="19"/>
      <c r="E20984" s="57"/>
      <c r="H20984" s="18"/>
    </row>
    <row r="20985">
      <c r="C20985" s="18"/>
      <c r="D20985" s="19"/>
      <c r="E20985" s="57"/>
      <c r="H20985" s="18"/>
    </row>
    <row r="20986">
      <c r="C20986" s="18"/>
      <c r="D20986" s="19"/>
      <c r="E20986" s="57"/>
      <c r="H20986" s="18"/>
    </row>
    <row r="20987">
      <c r="C20987" s="18"/>
      <c r="D20987" s="19"/>
      <c r="E20987" s="57"/>
      <c r="H20987" s="18"/>
    </row>
    <row r="20988">
      <c r="C20988" s="18"/>
      <c r="D20988" s="19"/>
      <c r="E20988" s="57"/>
      <c r="H20988" s="18"/>
    </row>
    <row r="20989">
      <c r="C20989" s="18"/>
      <c r="D20989" s="19"/>
      <c r="E20989" s="57"/>
      <c r="H20989" s="18"/>
    </row>
    <row r="20990">
      <c r="C20990" s="18"/>
      <c r="D20990" s="19"/>
      <c r="E20990" s="57"/>
      <c r="H20990" s="18"/>
    </row>
    <row r="20991">
      <c r="C20991" s="18"/>
      <c r="D20991" s="19"/>
      <c r="E20991" s="57"/>
      <c r="H20991" s="18"/>
    </row>
    <row r="20992">
      <c r="C20992" s="18"/>
      <c r="D20992" s="19"/>
      <c r="E20992" s="57"/>
      <c r="H20992" s="18"/>
    </row>
    <row r="20993">
      <c r="C20993" s="18"/>
      <c r="D20993" s="19"/>
      <c r="E20993" s="57"/>
      <c r="H20993" s="18"/>
    </row>
    <row r="20994">
      <c r="C20994" s="18"/>
      <c r="D20994" s="19"/>
      <c r="E20994" s="57"/>
      <c r="H20994" s="18"/>
    </row>
    <row r="20995">
      <c r="C20995" s="18"/>
      <c r="D20995" s="19"/>
      <c r="E20995" s="57"/>
      <c r="H20995" s="18"/>
    </row>
    <row r="20996">
      <c r="C20996" s="18"/>
      <c r="D20996" s="19"/>
      <c r="E20996" s="57"/>
      <c r="H20996" s="18"/>
    </row>
    <row r="20997">
      <c r="C20997" s="18"/>
      <c r="D20997" s="19"/>
      <c r="E20997" s="57"/>
      <c r="H20997" s="18"/>
    </row>
    <row r="20998">
      <c r="C20998" s="18"/>
      <c r="D20998" s="19"/>
      <c r="E20998" s="57"/>
      <c r="H20998" s="18"/>
    </row>
    <row r="20999">
      <c r="C20999" s="18"/>
      <c r="D20999" s="19"/>
      <c r="E20999" s="57"/>
      <c r="H20999" s="18"/>
    </row>
    <row r="21000">
      <c r="C21000" s="18"/>
      <c r="D21000" s="19"/>
      <c r="E21000" s="57"/>
      <c r="H21000" s="18"/>
    </row>
    <row r="21001">
      <c r="C21001" s="18"/>
      <c r="D21001" s="19"/>
      <c r="E21001" s="57"/>
      <c r="H21001" s="18"/>
    </row>
    <row r="21002">
      <c r="C21002" s="18"/>
      <c r="D21002" s="19"/>
      <c r="E21002" s="57"/>
      <c r="H21002" s="18"/>
    </row>
    <row r="21003">
      <c r="C21003" s="18"/>
      <c r="D21003" s="19"/>
      <c r="E21003" s="57"/>
      <c r="H21003" s="18"/>
    </row>
    <row r="21004">
      <c r="C21004" s="18"/>
      <c r="D21004" s="19"/>
      <c r="E21004" s="57"/>
      <c r="H21004" s="18"/>
    </row>
    <row r="21005">
      <c r="C21005" s="18"/>
      <c r="D21005" s="19"/>
      <c r="E21005" s="57"/>
      <c r="H21005" s="18"/>
    </row>
    <row r="21006">
      <c r="C21006" s="18"/>
      <c r="D21006" s="19"/>
      <c r="E21006" s="57"/>
      <c r="H21006" s="18"/>
    </row>
    <row r="21007">
      <c r="C21007" s="18"/>
      <c r="D21007" s="19"/>
      <c r="E21007" s="57"/>
      <c r="H21007" s="18"/>
    </row>
    <row r="21008">
      <c r="C21008" s="18"/>
      <c r="D21008" s="19"/>
      <c r="E21008" s="57"/>
      <c r="H21008" s="18"/>
    </row>
    <row r="21009">
      <c r="C21009" s="18"/>
      <c r="D21009" s="19"/>
      <c r="E21009" s="57"/>
      <c r="H21009" s="18"/>
    </row>
    <row r="21010">
      <c r="C21010" s="18"/>
      <c r="D21010" s="19"/>
      <c r="E21010" s="57"/>
      <c r="H21010" s="18"/>
    </row>
    <row r="21011">
      <c r="C21011" s="18"/>
      <c r="D21011" s="19"/>
      <c r="E21011" s="57"/>
      <c r="H21011" s="18"/>
    </row>
    <row r="21012">
      <c r="C21012" s="18"/>
      <c r="D21012" s="19"/>
      <c r="E21012" s="57"/>
      <c r="H21012" s="18"/>
    </row>
    <row r="21013">
      <c r="C21013" s="18"/>
      <c r="D21013" s="19"/>
      <c r="E21013" s="57"/>
      <c r="H21013" s="18"/>
    </row>
    <row r="21014">
      <c r="C21014" s="18"/>
      <c r="D21014" s="19"/>
      <c r="E21014" s="57"/>
      <c r="H21014" s="18"/>
    </row>
    <row r="21015">
      <c r="C21015" s="18"/>
      <c r="D21015" s="19"/>
      <c r="E21015" s="57"/>
      <c r="H21015" s="18"/>
    </row>
    <row r="21016">
      <c r="C21016" s="18"/>
      <c r="D21016" s="19"/>
      <c r="E21016" s="57"/>
      <c r="H21016" s="18"/>
    </row>
    <row r="21017">
      <c r="C21017" s="18"/>
      <c r="D21017" s="19"/>
      <c r="E21017" s="57"/>
      <c r="H21017" s="18"/>
    </row>
    <row r="21018">
      <c r="C21018" s="18"/>
      <c r="D21018" s="19"/>
      <c r="E21018" s="57"/>
      <c r="H21018" s="18"/>
    </row>
    <row r="21019">
      <c r="C21019" s="18"/>
      <c r="D21019" s="19"/>
      <c r="E21019" s="57"/>
      <c r="H21019" s="18"/>
    </row>
    <row r="21020">
      <c r="C21020" s="18"/>
      <c r="D21020" s="19"/>
      <c r="E21020" s="57"/>
      <c r="H21020" s="18"/>
    </row>
    <row r="21021">
      <c r="C21021" s="18"/>
      <c r="D21021" s="19"/>
      <c r="E21021" s="57"/>
      <c r="H21021" s="18"/>
    </row>
    <row r="21022">
      <c r="C21022" s="18"/>
      <c r="D21022" s="19"/>
      <c r="E21022" s="57"/>
      <c r="H21022" s="18"/>
    </row>
    <row r="21023">
      <c r="C21023" s="18"/>
      <c r="D21023" s="19"/>
      <c r="E21023" s="57"/>
      <c r="H21023" s="18"/>
    </row>
    <row r="21024">
      <c r="C21024" s="18"/>
      <c r="D21024" s="19"/>
      <c r="E21024" s="57"/>
      <c r="H21024" s="18"/>
    </row>
    <row r="21025">
      <c r="C21025" s="18"/>
      <c r="D21025" s="19"/>
      <c r="E21025" s="57"/>
      <c r="H21025" s="18"/>
    </row>
    <row r="21026">
      <c r="C21026" s="18"/>
      <c r="D21026" s="19"/>
      <c r="E21026" s="57"/>
      <c r="H21026" s="18"/>
    </row>
    <row r="21027">
      <c r="C21027" s="18"/>
      <c r="D21027" s="19"/>
      <c r="E21027" s="57"/>
      <c r="H21027" s="18"/>
    </row>
    <row r="21028">
      <c r="C21028" s="18"/>
      <c r="D21028" s="19"/>
      <c r="E21028" s="57"/>
      <c r="H21028" s="18"/>
    </row>
    <row r="21029">
      <c r="C21029" s="18"/>
      <c r="D21029" s="19"/>
      <c r="E21029" s="57"/>
      <c r="H21029" s="18"/>
    </row>
    <row r="21030">
      <c r="C21030" s="18"/>
      <c r="D21030" s="19"/>
      <c r="E21030" s="57"/>
      <c r="H21030" s="18"/>
    </row>
    <row r="21031">
      <c r="C21031" s="18"/>
      <c r="D21031" s="19"/>
      <c r="E21031" s="57"/>
      <c r="H21031" s="18"/>
    </row>
    <row r="21032">
      <c r="C21032" s="18"/>
      <c r="D21032" s="19"/>
      <c r="E21032" s="57"/>
      <c r="H21032" s="18"/>
    </row>
    <row r="21033">
      <c r="C21033" s="18"/>
      <c r="D21033" s="19"/>
      <c r="E21033" s="57"/>
      <c r="H21033" s="18"/>
    </row>
    <row r="21034">
      <c r="C21034" s="18"/>
      <c r="D21034" s="19"/>
      <c r="E21034" s="57"/>
      <c r="H21034" s="18"/>
    </row>
    <row r="21035">
      <c r="C21035" s="18"/>
      <c r="D21035" s="19"/>
      <c r="E21035" s="57"/>
      <c r="H21035" s="18"/>
    </row>
    <row r="21036">
      <c r="C21036" s="18"/>
      <c r="D21036" s="19"/>
      <c r="E21036" s="57"/>
      <c r="H21036" s="18"/>
    </row>
    <row r="21037">
      <c r="C21037" s="18"/>
      <c r="D21037" s="19"/>
      <c r="E21037" s="57"/>
      <c r="H21037" s="18"/>
    </row>
    <row r="21038">
      <c r="C21038" s="18"/>
      <c r="D21038" s="19"/>
      <c r="E21038" s="57"/>
      <c r="H21038" s="18"/>
    </row>
    <row r="21039">
      <c r="C21039" s="18"/>
      <c r="D21039" s="19"/>
      <c r="E21039" s="57"/>
      <c r="H21039" s="18"/>
    </row>
    <row r="21040">
      <c r="C21040" s="18"/>
      <c r="D21040" s="19"/>
      <c r="E21040" s="57"/>
      <c r="H21040" s="18"/>
    </row>
    <row r="21041">
      <c r="C21041" s="18"/>
      <c r="D21041" s="19"/>
      <c r="E21041" s="57"/>
      <c r="H21041" s="18"/>
    </row>
    <row r="21042">
      <c r="C21042" s="18"/>
      <c r="D21042" s="19"/>
      <c r="E21042" s="57"/>
      <c r="H21042" s="18"/>
    </row>
    <row r="21043">
      <c r="C21043" s="18"/>
      <c r="D21043" s="19"/>
      <c r="E21043" s="57"/>
      <c r="H21043" s="18"/>
    </row>
    <row r="21044">
      <c r="C21044" s="18"/>
      <c r="D21044" s="19"/>
      <c r="E21044" s="57"/>
      <c r="H21044" s="18"/>
    </row>
    <row r="21045">
      <c r="C21045" s="18"/>
      <c r="D21045" s="19"/>
      <c r="E21045" s="57"/>
      <c r="H21045" s="18"/>
    </row>
    <row r="21046">
      <c r="C21046" s="18"/>
      <c r="D21046" s="19"/>
      <c r="E21046" s="57"/>
      <c r="H21046" s="18"/>
    </row>
    <row r="21047">
      <c r="C21047" s="18"/>
      <c r="D21047" s="19"/>
      <c r="E21047" s="57"/>
      <c r="H21047" s="18"/>
    </row>
    <row r="21048">
      <c r="C21048" s="18"/>
      <c r="D21048" s="19"/>
      <c r="E21048" s="57"/>
      <c r="H21048" s="18"/>
    </row>
    <row r="21049">
      <c r="C21049" s="18"/>
      <c r="D21049" s="19"/>
      <c r="E21049" s="57"/>
      <c r="H21049" s="18"/>
    </row>
    <row r="21050">
      <c r="C21050" s="18"/>
      <c r="D21050" s="19"/>
      <c r="E21050" s="57"/>
      <c r="H21050" s="18"/>
    </row>
    <row r="21051">
      <c r="C21051" s="18"/>
      <c r="D21051" s="19"/>
      <c r="E21051" s="57"/>
      <c r="H21051" s="18"/>
    </row>
    <row r="21052">
      <c r="C21052" s="18"/>
      <c r="D21052" s="19"/>
      <c r="E21052" s="57"/>
      <c r="H21052" s="18"/>
    </row>
    <row r="21053">
      <c r="C21053" s="18"/>
      <c r="D21053" s="19"/>
      <c r="E21053" s="57"/>
      <c r="H21053" s="18"/>
    </row>
    <row r="21054">
      <c r="C21054" s="18"/>
      <c r="D21054" s="19"/>
      <c r="E21054" s="57"/>
      <c r="H21054" s="18"/>
    </row>
    <row r="21055">
      <c r="C21055" s="18"/>
      <c r="D21055" s="19"/>
      <c r="E21055" s="57"/>
      <c r="H21055" s="18"/>
    </row>
    <row r="21056">
      <c r="C21056" s="18"/>
      <c r="D21056" s="19"/>
      <c r="E21056" s="57"/>
      <c r="H21056" s="18"/>
    </row>
    <row r="21057">
      <c r="C21057" s="18"/>
      <c r="D21057" s="19"/>
      <c r="E21057" s="57"/>
      <c r="H21057" s="18"/>
    </row>
    <row r="21058">
      <c r="C21058" s="18"/>
      <c r="D21058" s="19"/>
      <c r="E21058" s="57"/>
      <c r="H21058" s="18"/>
    </row>
    <row r="21059">
      <c r="C21059" s="18"/>
      <c r="D21059" s="19"/>
      <c r="E21059" s="57"/>
      <c r="H21059" s="18"/>
    </row>
    <row r="21060">
      <c r="C21060" s="18"/>
      <c r="D21060" s="19"/>
      <c r="E21060" s="57"/>
      <c r="H21060" s="18"/>
    </row>
    <row r="21061">
      <c r="C21061" s="18"/>
      <c r="D21061" s="19"/>
      <c r="E21061" s="57"/>
      <c r="H21061" s="18"/>
    </row>
    <row r="21062">
      <c r="C21062" s="18"/>
      <c r="D21062" s="19"/>
      <c r="E21062" s="57"/>
      <c r="H21062" s="18"/>
    </row>
    <row r="21063">
      <c r="C21063" s="18"/>
      <c r="D21063" s="19"/>
      <c r="E21063" s="57"/>
      <c r="H21063" s="18"/>
    </row>
    <row r="21064">
      <c r="C21064" s="18"/>
      <c r="D21064" s="19"/>
      <c r="E21064" s="57"/>
      <c r="H21064" s="18"/>
    </row>
    <row r="21065">
      <c r="C21065" s="18"/>
      <c r="D21065" s="19"/>
      <c r="E21065" s="57"/>
      <c r="H21065" s="18"/>
    </row>
    <row r="21066">
      <c r="C21066" s="18"/>
      <c r="D21066" s="19"/>
      <c r="E21066" s="57"/>
      <c r="H21066" s="18"/>
    </row>
    <row r="21067">
      <c r="C21067" s="18"/>
      <c r="D21067" s="19"/>
      <c r="E21067" s="57"/>
      <c r="H21067" s="18"/>
    </row>
    <row r="21068">
      <c r="C21068" s="18"/>
      <c r="D21068" s="19"/>
      <c r="E21068" s="57"/>
      <c r="H21068" s="18"/>
    </row>
    <row r="21069">
      <c r="C21069" s="18"/>
      <c r="D21069" s="19"/>
      <c r="E21069" s="57"/>
      <c r="H21069" s="18"/>
    </row>
    <row r="21070">
      <c r="C21070" s="18"/>
      <c r="D21070" s="19"/>
      <c r="E21070" s="57"/>
      <c r="H21070" s="18"/>
    </row>
    <row r="21071">
      <c r="C21071" s="18"/>
      <c r="D21071" s="19"/>
      <c r="E21071" s="57"/>
      <c r="H21071" s="18"/>
    </row>
    <row r="21072">
      <c r="C21072" s="18"/>
      <c r="D21072" s="19"/>
      <c r="E21072" s="57"/>
      <c r="H21072" s="18"/>
    </row>
    <row r="21073">
      <c r="C21073" s="18"/>
      <c r="D21073" s="19"/>
      <c r="E21073" s="57"/>
      <c r="H21073" s="18"/>
    </row>
    <row r="21074">
      <c r="C21074" s="18"/>
      <c r="D21074" s="19"/>
      <c r="E21074" s="57"/>
      <c r="H21074" s="18"/>
    </row>
    <row r="21075">
      <c r="C21075" s="18"/>
      <c r="D21075" s="19"/>
      <c r="E21075" s="57"/>
      <c r="H21075" s="18"/>
    </row>
    <row r="21076">
      <c r="C21076" s="18"/>
      <c r="D21076" s="19"/>
      <c r="E21076" s="57"/>
      <c r="H21076" s="18"/>
    </row>
    <row r="21077">
      <c r="C21077" s="18"/>
      <c r="D21077" s="19"/>
      <c r="E21077" s="57"/>
      <c r="H21077" s="18"/>
    </row>
    <row r="21078">
      <c r="C21078" s="18"/>
      <c r="D21078" s="19"/>
      <c r="E21078" s="57"/>
      <c r="H21078" s="18"/>
    </row>
    <row r="21079">
      <c r="C21079" s="18"/>
      <c r="D21079" s="19"/>
      <c r="E21079" s="57"/>
      <c r="H21079" s="18"/>
    </row>
    <row r="21080">
      <c r="C21080" s="18"/>
      <c r="D21080" s="19"/>
      <c r="E21080" s="57"/>
      <c r="H21080" s="18"/>
    </row>
    <row r="21081">
      <c r="C21081" s="18"/>
      <c r="D21081" s="19"/>
      <c r="E21081" s="57"/>
      <c r="H21081" s="18"/>
    </row>
    <row r="21082">
      <c r="C21082" s="18"/>
      <c r="D21082" s="19"/>
      <c r="E21082" s="57"/>
      <c r="H21082" s="18"/>
    </row>
    <row r="21083">
      <c r="C21083" s="18"/>
      <c r="D21083" s="19"/>
      <c r="E21083" s="57"/>
      <c r="H21083" s="18"/>
    </row>
    <row r="21084">
      <c r="C21084" s="18"/>
      <c r="D21084" s="19"/>
      <c r="E21084" s="57"/>
      <c r="H21084" s="18"/>
    </row>
    <row r="21085">
      <c r="C21085" s="18"/>
      <c r="D21085" s="19"/>
      <c r="E21085" s="57"/>
      <c r="H21085" s="18"/>
    </row>
    <row r="21086">
      <c r="C21086" s="18"/>
      <c r="D21086" s="19"/>
      <c r="E21086" s="57"/>
      <c r="H21086" s="18"/>
    </row>
    <row r="21087">
      <c r="C21087" s="18"/>
      <c r="D21087" s="19"/>
      <c r="E21087" s="57"/>
      <c r="H21087" s="18"/>
    </row>
    <row r="21088">
      <c r="C21088" s="18"/>
      <c r="D21088" s="19"/>
      <c r="E21088" s="57"/>
      <c r="H21088" s="18"/>
    </row>
    <row r="21089">
      <c r="C21089" s="18"/>
      <c r="D21089" s="19"/>
      <c r="E21089" s="57"/>
      <c r="H21089" s="18"/>
    </row>
    <row r="21090">
      <c r="C21090" s="18"/>
      <c r="D21090" s="19"/>
      <c r="E21090" s="57"/>
      <c r="H21090" s="18"/>
    </row>
    <row r="21091">
      <c r="C21091" s="18"/>
      <c r="D21091" s="19"/>
      <c r="E21091" s="57"/>
      <c r="H21091" s="18"/>
    </row>
    <row r="21092">
      <c r="C21092" s="18"/>
      <c r="D21092" s="19"/>
      <c r="E21092" s="57"/>
      <c r="H21092" s="18"/>
    </row>
    <row r="21093">
      <c r="C21093" s="18"/>
      <c r="D21093" s="19"/>
      <c r="E21093" s="57"/>
      <c r="H21093" s="18"/>
    </row>
    <row r="21094">
      <c r="C21094" s="18"/>
      <c r="D21094" s="19"/>
      <c r="E21094" s="57"/>
      <c r="H21094" s="18"/>
    </row>
    <row r="21095">
      <c r="C21095" s="18"/>
      <c r="D21095" s="19"/>
      <c r="E21095" s="57"/>
      <c r="H21095" s="18"/>
    </row>
    <row r="21096">
      <c r="C21096" s="18"/>
      <c r="D21096" s="19"/>
      <c r="E21096" s="57"/>
      <c r="H21096" s="18"/>
    </row>
    <row r="21097">
      <c r="C21097" s="18"/>
      <c r="D21097" s="19"/>
      <c r="E21097" s="57"/>
      <c r="H21097" s="18"/>
    </row>
    <row r="21098">
      <c r="C21098" s="18"/>
      <c r="D21098" s="19"/>
      <c r="E21098" s="57"/>
      <c r="H21098" s="18"/>
    </row>
    <row r="21099">
      <c r="C21099" s="18"/>
      <c r="D21099" s="19"/>
      <c r="E21099" s="57"/>
      <c r="H21099" s="18"/>
    </row>
    <row r="21100">
      <c r="C21100" s="18"/>
      <c r="D21100" s="19"/>
      <c r="E21100" s="57"/>
      <c r="H21100" s="18"/>
    </row>
    <row r="21101">
      <c r="C21101" s="18"/>
      <c r="D21101" s="19"/>
      <c r="E21101" s="57"/>
      <c r="H21101" s="18"/>
    </row>
    <row r="21102">
      <c r="C21102" s="18"/>
      <c r="D21102" s="19"/>
      <c r="E21102" s="57"/>
      <c r="H21102" s="18"/>
    </row>
    <row r="21103">
      <c r="C21103" s="18"/>
      <c r="D21103" s="19"/>
      <c r="E21103" s="57"/>
      <c r="H21103" s="18"/>
    </row>
    <row r="21104">
      <c r="C21104" s="18"/>
      <c r="D21104" s="19"/>
      <c r="E21104" s="57"/>
      <c r="H21104" s="18"/>
    </row>
    <row r="21105">
      <c r="C21105" s="18"/>
      <c r="D21105" s="19"/>
      <c r="E21105" s="57"/>
      <c r="H21105" s="18"/>
    </row>
    <row r="21106">
      <c r="C21106" s="18"/>
      <c r="D21106" s="19"/>
      <c r="E21106" s="57"/>
      <c r="H21106" s="18"/>
    </row>
    <row r="21107">
      <c r="C21107" s="18"/>
      <c r="D21107" s="19"/>
      <c r="E21107" s="57"/>
      <c r="H21107" s="18"/>
    </row>
    <row r="21108">
      <c r="C21108" s="18"/>
      <c r="D21108" s="19"/>
      <c r="E21108" s="57"/>
      <c r="H21108" s="18"/>
    </row>
    <row r="21109">
      <c r="C21109" s="18"/>
      <c r="D21109" s="19"/>
      <c r="E21109" s="57"/>
      <c r="H21109" s="18"/>
    </row>
    <row r="21110">
      <c r="C21110" s="18"/>
      <c r="D21110" s="19"/>
      <c r="E21110" s="57"/>
      <c r="H21110" s="18"/>
    </row>
    <row r="21111">
      <c r="C21111" s="18"/>
      <c r="D21111" s="19"/>
      <c r="E21111" s="57"/>
      <c r="H21111" s="18"/>
    </row>
    <row r="21112">
      <c r="C21112" s="18"/>
      <c r="D21112" s="19"/>
      <c r="E21112" s="57"/>
      <c r="H21112" s="18"/>
    </row>
    <row r="21113">
      <c r="C21113" s="18"/>
      <c r="D21113" s="19"/>
      <c r="E21113" s="57"/>
      <c r="H21113" s="18"/>
    </row>
    <row r="21114">
      <c r="C21114" s="18"/>
      <c r="D21114" s="19"/>
      <c r="E21114" s="57"/>
      <c r="H21114" s="18"/>
    </row>
    <row r="21115">
      <c r="C21115" s="18"/>
      <c r="D21115" s="19"/>
      <c r="E21115" s="57"/>
      <c r="H21115" s="18"/>
    </row>
    <row r="21116">
      <c r="C21116" s="18"/>
      <c r="D21116" s="19"/>
      <c r="E21116" s="57"/>
      <c r="H21116" s="18"/>
    </row>
    <row r="21117">
      <c r="C21117" s="18"/>
      <c r="D21117" s="19"/>
      <c r="E21117" s="57"/>
      <c r="H21117" s="18"/>
    </row>
    <row r="21118">
      <c r="C21118" s="18"/>
      <c r="D21118" s="19"/>
      <c r="E21118" s="57"/>
      <c r="H21118" s="18"/>
    </row>
    <row r="21119">
      <c r="C21119" s="18"/>
      <c r="D21119" s="19"/>
      <c r="E21119" s="57"/>
      <c r="H21119" s="18"/>
    </row>
    <row r="21120">
      <c r="C21120" s="18"/>
      <c r="D21120" s="19"/>
      <c r="E21120" s="57"/>
      <c r="H21120" s="18"/>
    </row>
    <row r="21121">
      <c r="C21121" s="18"/>
      <c r="D21121" s="19"/>
      <c r="E21121" s="57"/>
      <c r="H21121" s="18"/>
    </row>
    <row r="21122">
      <c r="C21122" s="18"/>
      <c r="D21122" s="19"/>
      <c r="E21122" s="57"/>
      <c r="H21122" s="18"/>
    </row>
    <row r="21123">
      <c r="C21123" s="18"/>
      <c r="D21123" s="19"/>
      <c r="E21123" s="57"/>
      <c r="H21123" s="18"/>
    </row>
    <row r="21124">
      <c r="C21124" s="18"/>
      <c r="D21124" s="19"/>
      <c r="E21124" s="57"/>
      <c r="H21124" s="18"/>
    </row>
    <row r="21125">
      <c r="C21125" s="18"/>
      <c r="D21125" s="19"/>
      <c r="E21125" s="57"/>
      <c r="H21125" s="18"/>
    </row>
    <row r="21126">
      <c r="C21126" s="18"/>
      <c r="D21126" s="19"/>
      <c r="E21126" s="57"/>
      <c r="H21126" s="18"/>
    </row>
    <row r="21127">
      <c r="C21127" s="18"/>
      <c r="D21127" s="19"/>
      <c r="E21127" s="57"/>
      <c r="H21127" s="18"/>
    </row>
    <row r="21128">
      <c r="C21128" s="18"/>
      <c r="D21128" s="19"/>
      <c r="E21128" s="57"/>
      <c r="H21128" s="18"/>
    </row>
    <row r="21129">
      <c r="C21129" s="18"/>
      <c r="D21129" s="19"/>
      <c r="E21129" s="57"/>
      <c r="H21129" s="18"/>
    </row>
    <row r="21130">
      <c r="C21130" s="18"/>
      <c r="D21130" s="19"/>
      <c r="E21130" s="57"/>
      <c r="H21130" s="18"/>
    </row>
    <row r="21131">
      <c r="C21131" s="18"/>
      <c r="D21131" s="19"/>
      <c r="E21131" s="57"/>
      <c r="H21131" s="18"/>
    </row>
    <row r="21132">
      <c r="C21132" s="18"/>
      <c r="D21132" s="19"/>
      <c r="E21132" s="57"/>
      <c r="H21132" s="18"/>
    </row>
    <row r="21133">
      <c r="C21133" s="18"/>
      <c r="D21133" s="19"/>
      <c r="E21133" s="57"/>
      <c r="H21133" s="18"/>
    </row>
    <row r="21134">
      <c r="C21134" s="18"/>
      <c r="D21134" s="19"/>
      <c r="E21134" s="57"/>
      <c r="H21134" s="18"/>
    </row>
    <row r="21135">
      <c r="C21135" s="18"/>
      <c r="D21135" s="19"/>
      <c r="E21135" s="57"/>
      <c r="H21135" s="18"/>
    </row>
    <row r="21136">
      <c r="C21136" s="18"/>
      <c r="D21136" s="19"/>
      <c r="E21136" s="57"/>
      <c r="H21136" s="18"/>
    </row>
    <row r="21137">
      <c r="C21137" s="18"/>
      <c r="D21137" s="19"/>
      <c r="E21137" s="57"/>
      <c r="H21137" s="18"/>
    </row>
    <row r="21138">
      <c r="C21138" s="18"/>
      <c r="D21138" s="19"/>
      <c r="E21138" s="57"/>
      <c r="H21138" s="18"/>
    </row>
    <row r="21139">
      <c r="C21139" s="18"/>
      <c r="D21139" s="19"/>
      <c r="E21139" s="57"/>
      <c r="H21139" s="18"/>
    </row>
    <row r="21140">
      <c r="C21140" s="18"/>
      <c r="D21140" s="19"/>
      <c r="E21140" s="57"/>
      <c r="H21140" s="18"/>
    </row>
    <row r="21141">
      <c r="C21141" s="18"/>
      <c r="D21141" s="19"/>
      <c r="E21141" s="57"/>
      <c r="H21141" s="18"/>
    </row>
    <row r="21142">
      <c r="C21142" s="18"/>
      <c r="D21142" s="19"/>
      <c r="E21142" s="57"/>
      <c r="H21142" s="18"/>
    </row>
    <row r="21143">
      <c r="C21143" s="18"/>
      <c r="D21143" s="19"/>
      <c r="E21143" s="57"/>
      <c r="H21143" s="18"/>
    </row>
    <row r="21144">
      <c r="C21144" s="18"/>
      <c r="D21144" s="19"/>
      <c r="E21144" s="57"/>
      <c r="H21144" s="18"/>
    </row>
    <row r="21145">
      <c r="C21145" s="18"/>
      <c r="D21145" s="19"/>
      <c r="E21145" s="57"/>
      <c r="H21145" s="18"/>
    </row>
    <row r="21146">
      <c r="C21146" s="18"/>
      <c r="D21146" s="19"/>
      <c r="E21146" s="57"/>
      <c r="H21146" s="18"/>
    </row>
    <row r="21147">
      <c r="C21147" s="18"/>
      <c r="D21147" s="19"/>
      <c r="E21147" s="57"/>
      <c r="H21147" s="18"/>
    </row>
    <row r="21148">
      <c r="C21148" s="18"/>
      <c r="D21148" s="19"/>
      <c r="E21148" s="57"/>
      <c r="H21148" s="18"/>
    </row>
    <row r="21149">
      <c r="C21149" s="18"/>
      <c r="D21149" s="19"/>
      <c r="E21149" s="57"/>
      <c r="H21149" s="18"/>
    </row>
    <row r="21150">
      <c r="C21150" s="18"/>
      <c r="D21150" s="19"/>
      <c r="E21150" s="57"/>
      <c r="H21150" s="18"/>
    </row>
    <row r="21151">
      <c r="C21151" s="18"/>
      <c r="D21151" s="19"/>
      <c r="E21151" s="57"/>
      <c r="H21151" s="18"/>
    </row>
    <row r="21152">
      <c r="C21152" s="18"/>
      <c r="D21152" s="19"/>
      <c r="E21152" s="57"/>
      <c r="H21152" s="18"/>
    </row>
    <row r="21153">
      <c r="C21153" s="18"/>
      <c r="D21153" s="19"/>
      <c r="E21153" s="57"/>
      <c r="H21153" s="18"/>
    </row>
    <row r="21154">
      <c r="C21154" s="18"/>
      <c r="D21154" s="19"/>
      <c r="E21154" s="57"/>
      <c r="H21154" s="18"/>
    </row>
    <row r="21155">
      <c r="C21155" s="18"/>
      <c r="D21155" s="19"/>
      <c r="E21155" s="57"/>
      <c r="H21155" s="18"/>
    </row>
    <row r="21156">
      <c r="C21156" s="18"/>
      <c r="D21156" s="19"/>
      <c r="E21156" s="57"/>
      <c r="H21156" s="18"/>
    </row>
    <row r="21157">
      <c r="C21157" s="18"/>
      <c r="D21157" s="19"/>
      <c r="E21157" s="57"/>
      <c r="H21157" s="18"/>
    </row>
    <row r="21158">
      <c r="C21158" s="18"/>
      <c r="D21158" s="19"/>
      <c r="E21158" s="57"/>
      <c r="H21158" s="18"/>
    </row>
    <row r="21159">
      <c r="C21159" s="18"/>
      <c r="D21159" s="19"/>
      <c r="E21159" s="57"/>
      <c r="H21159" s="18"/>
    </row>
    <row r="21160">
      <c r="C21160" s="18"/>
      <c r="D21160" s="19"/>
      <c r="E21160" s="57"/>
      <c r="H21160" s="18"/>
    </row>
    <row r="21161">
      <c r="C21161" s="18"/>
      <c r="D21161" s="19"/>
      <c r="E21161" s="57"/>
      <c r="H21161" s="18"/>
    </row>
    <row r="21162">
      <c r="C21162" s="18"/>
      <c r="D21162" s="19"/>
      <c r="E21162" s="57"/>
      <c r="H21162" s="18"/>
    </row>
    <row r="21163">
      <c r="C21163" s="18"/>
      <c r="D21163" s="19"/>
      <c r="E21163" s="57"/>
      <c r="H21163" s="18"/>
    </row>
    <row r="21164">
      <c r="C21164" s="18"/>
      <c r="D21164" s="19"/>
      <c r="E21164" s="57"/>
      <c r="H21164" s="18"/>
    </row>
    <row r="21165">
      <c r="C21165" s="18"/>
      <c r="D21165" s="19"/>
      <c r="E21165" s="57"/>
      <c r="H21165" s="18"/>
    </row>
    <row r="21166">
      <c r="C21166" s="18"/>
      <c r="D21166" s="19"/>
      <c r="E21166" s="57"/>
      <c r="H21166" s="18"/>
    </row>
    <row r="21167">
      <c r="C21167" s="18"/>
      <c r="D21167" s="19"/>
      <c r="E21167" s="57"/>
      <c r="H21167" s="18"/>
    </row>
    <row r="21168">
      <c r="C21168" s="18"/>
      <c r="D21168" s="19"/>
      <c r="E21168" s="57"/>
      <c r="H21168" s="18"/>
    </row>
    <row r="21169">
      <c r="C21169" s="18"/>
      <c r="D21169" s="19"/>
      <c r="E21169" s="57"/>
      <c r="H21169" s="18"/>
    </row>
    <row r="21170">
      <c r="C21170" s="18"/>
      <c r="D21170" s="19"/>
      <c r="E21170" s="57"/>
      <c r="H21170" s="18"/>
    </row>
    <row r="21171">
      <c r="C21171" s="18"/>
      <c r="D21171" s="19"/>
      <c r="E21171" s="57"/>
      <c r="H21171" s="18"/>
    </row>
    <row r="21172">
      <c r="C21172" s="18"/>
      <c r="D21172" s="19"/>
      <c r="E21172" s="57"/>
      <c r="H21172" s="18"/>
    </row>
    <row r="21173">
      <c r="C21173" s="18"/>
      <c r="D21173" s="19"/>
      <c r="E21173" s="57"/>
      <c r="H21173" s="18"/>
    </row>
    <row r="21174">
      <c r="C21174" s="18"/>
      <c r="D21174" s="19"/>
      <c r="E21174" s="57"/>
      <c r="H21174" s="18"/>
    </row>
    <row r="21175">
      <c r="C21175" s="18"/>
      <c r="D21175" s="19"/>
      <c r="E21175" s="57"/>
      <c r="H21175" s="18"/>
    </row>
    <row r="21176">
      <c r="C21176" s="18"/>
      <c r="D21176" s="19"/>
      <c r="E21176" s="57"/>
      <c r="H21176" s="18"/>
    </row>
    <row r="21177">
      <c r="C21177" s="18"/>
      <c r="D21177" s="19"/>
      <c r="E21177" s="57"/>
      <c r="H21177" s="18"/>
    </row>
    <row r="21178">
      <c r="C21178" s="18"/>
      <c r="D21178" s="19"/>
      <c r="E21178" s="57"/>
      <c r="H21178" s="18"/>
    </row>
    <row r="21179">
      <c r="C21179" s="18"/>
      <c r="D21179" s="19"/>
      <c r="E21179" s="57"/>
      <c r="H21179" s="18"/>
    </row>
    <row r="21180">
      <c r="C21180" s="18"/>
      <c r="D21180" s="19"/>
      <c r="E21180" s="57"/>
      <c r="H21180" s="18"/>
    </row>
    <row r="21181">
      <c r="C21181" s="18"/>
      <c r="D21181" s="19"/>
      <c r="E21181" s="57"/>
      <c r="H21181" s="18"/>
    </row>
    <row r="21182">
      <c r="C21182" s="18"/>
      <c r="D21182" s="19"/>
      <c r="E21182" s="57"/>
      <c r="H21182" s="18"/>
    </row>
    <row r="21183">
      <c r="C21183" s="18"/>
      <c r="D21183" s="19"/>
      <c r="E21183" s="57"/>
      <c r="H21183" s="18"/>
    </row>
    <row r="21184">
      <c r="C21184" s="18"/>
      <c r="D21184" s="19"/>
      <c r="E21184" s="57"/>
      <c r="H21184" s="18"/>
    </row>
    <row r="21185">
      <c r="C21185" s="18"/>
      <c r="D21185" s="19"/>
      <c r="E21185" s="57"/>
      <c r="H21185" s="18"/>
    </row>
    <row r="21186">
      <c r="C21186" s="18"/>
      <c r="D21186" s="19"/>
      <c r="E21186" s="57"/>
      <c r="H21186" s="18"/>
    </row>
    <row r="21187">
      <c r="C21187" s="18"/>
      <c r="D21187" s="19"/>
      <c r="E21187" s="57"/>
      <c r="H21187" s="18"/>
    </row>
    <row r="21188">
      <c r="C21188" s="18"/>
      <c r="D21188" s="19"/>
      <c r="E21188" s="57"/>
      <c r="H21188" s="18"/>
    </row>
    <row r="21189">
      <c r="C21189" s="18"/>
      <c r="D21189" s="19"/>
      <c r="E21189" s="57"/>
      <c r="H21189" s="18"/>
    </row>
    <row r="21190">
      <c r="C21190" s="18"/>
      <c r="D21190" s="19"/>
      <c r="E21190" s="57"/>
      <c r="H21190" s="18"/>
    </row>
    <row r="21191">
      <c r="C21191" s="18"/>
      <c r="D21191" s="19"/>
      <c r="E21191" s="57"/>
      <c r="H21191" s="18"/>
    </row>
    <row r="21192">
      <c r="C21192" s="18"/>
      <c r="D21192" s="19"/>
      <c r="E21192" s="57"/>
      <c r="H21192" s="18"/>
    </row>
    <row r="21193">
      <c r="C21193" s="18"/>
      <c r="D21193" s="19"/>
      <c r="E21193" s="57"/>
      <c r="H21193" s="18"/>
    </row>
    <row r="21194">
      <c r="C21194" s="18"/>
      <c r="D21194" s="19"/>
      <c r="E21194" s="57"/>
      <c r="H21194" s="18"/>
    </row>
    <row r="21195">
      <c r="C21195" s="18"/>
      <c r="D21195" s="19"/>
      <c r="E21195" s="57"/>
      <c r="H21195" s="18"/>
    </row>
    <row r="21196">
      <c r="C21196" s="18"/>
      <c r="D21196" s="19"/>
      <c r="E21196" s="57"/>
      <c r="H21196" s="18"/>
    </row>
    <row r="21197">
      <c r="C21197" s="18"/>
      <c r="D21197" s="19"/>
      <c r="E21197" s="57"/>
      <c r="H21197" s="18"/>
    </row>
    <row r="21198">
      <c r="C21198" s="18"/>
      <c r="D21198" s="19"/>
      <c r="E21198" s="57"/>
      <c r="H21198" s="18"/>
    </row>
    <row r="21199">
      <c r="C21199" s="18"/>
      <c r="D21199" s="19"/>
      <c r="E21199" s="57"/>
      <c r="H21199" s="18"/>
    </row>
    <row r="21200">
      <c r="C21200" s="18"/>
      <c r="D21200" s="19"/>
      <c r="E21200" s="57"/>
      <c r="H21200" s="18"/>
    </row>
    <row r="21201">
      <c r="C21201" s="18"/>
      <c r="D21201" s="19"/>
      <c r="E21201" s="57"/>
      <c r="H21201" s="18"/>
    </row>
    <row r="21202">
      <c r="C21202" s="18"/>
      <c r="D21202" s="19"/>
      <c r="E21202" s="57"/>
      <c r="H21202" s="18"/>
    </row>
    <row r="21203">
      <c r="C21203" s="18"/>
      <c r="D21203" s="19"/>
      <c r="E21203" s="57"/>
      <c r="H21203" s="18"/>
    </row>
    <row r="21204">
      <c r="C21204" s="18"/>
      <c r="D21204" s="19"/>
      <c r="E21204" s="57"/>
      <c r="H21204" s="18"/>
    </row>
    <row r="21205">
      <c r="C21205" s="18"/>
      <c r="D21205" s="19"/>
      <c r="E21205" s="57"/>
      <c r="H21205" s="18"/>
    </row>
    <row r="21206">
      <c r="C21206" s="18"/>
      <c r="D21206" s="19"/>
      <c r="E21206" s="57"/>
      <c r="H21206" s="18"/>
    </row>
    <row r="21207">
      <c r="C21207" s="18"/>
      <c r="D21207" s="19"/>
      <c r="E21207" s="57"/>
      <c r="H21207" s="18"/>
    </row>
    <row r="21208">
      <c r="C21208" s="18"/>
      <c r="D21208" s="19"/>
      <c r="E21208" s="57"/>
      <c r="H21208" s="18"/>
    </row>
    <row r="21209">
      <c r="C21209" s="18"/>
      <c r="D21209" s="19"/>
      <c r="E21209" s="57"/>
      <c r="H21209" s="18"/>
    </row>
    <row r="21210">
      <c r="C21210" s="18"/>
      <c r="D21210" s="19"/>
      <c r="E21210" s="57"/>
      <c r="H21210" s="18"/>
    </row>
    <row r="21211">
      <c r="C21211" s="18"/>
      <c r="D21211" s="19"/>
      <c r="E21211" s="57"/>
      <c r="H21211" s="18"/>
    </row>
    <row r="21212">
      <c r="C21212" s="18"/>
      <c r="D21212" s="19"/>
      <c r="E21212" s="57"/>
      <c r="H21212" s="18"/>
    </row>
    <row r="21213">
      <c r="C21213" s="18"/>
      <c r="D21213" s="19"/>
      <c r="E21213" s="57"/>
      <c r="H21213" s="18"/>
    </row>
    <row r="21214">
      <c r="C21214" s="18"/>
      <c r="D21214" s="19"/>
      <c r="E21214" s="57"/>
      <c r="H21214" s="18"/>
    </row>
    <row r="21215">
      <c r="C21215" s="18"/>
      <c r="D21215" s="19"/>
      <c r="E21215" s="57"/>
      <c r="H21215" s="18"/>
    </row>
    <row r="21216">
      <c r="C21216" s="18"/>
      <c r="D21216" s="19"/>
      <c r="E21216" s="57"/>
      <c r="H21216" s="18"/>
    </row>
    <row r="21217">
      <c r="C21217" s="18"/>
      <c r="D21217" s="19"/>
      <c r="E21217" s="57"/>
      <c r="H21217" s="18"/>
    </row>
    <row r="21218">
      <c r="C21218" s="18"/>
      <c r="D21218" s="19"/>
      <c r="E21218" s="57"/>
      <c r="H21218" s="18"/>
    </row>
    <row r="21219">
      <c r="C21219" s="18"/>
      <c r="D21219" s="19"/>
      <c r="E21219" s="57"/>
      <c r="H21219" s="18"/>
    </row>
    <row r="21220">
      <c r="C21220" s="18"/>
      <c r="D21220" s="19"/>
      <c r="E21220" s="57"/>
      <c r="H21220" s="18"/>
    </row>
    <row r="21221">
      <c r="C21221" s="18"/>
      <c r="D21221" s="19"/>
      <c r="E21221" s="57"/>
      <c r="H21221" s="18"/>
    </row>
    <row r="21222">
      <c r="C21222" s="18"/>
      <c r="D21222" s="19"/>
      <c r="E21222" s="57"/>
      <c r="H21222" s="18"/>
    </row>
    <row r="21223">
      <c r="C21223" s="18"/>
      <c r="D21223" s="19"/>
      <c r="E21223" s="57"/>
      <c r="H21223" s="18"/>
    </row>
    <row r="21224">
      <c r="C21224" s="18"/>
      <c r="D21224" s="19"/>
      <c r="E21224" s="57"/>
      <c r="H21224" s="18"/>
    </row>
    <row r="21225">
      <c r="C21225" s="18"/>
      <c r="D21225" s="19"/>
      <c r="E21225" s="57"/>
      <c r="H21225" s="18"/>
    </row>
    <row r="21226">
      <c r="C21226" s="18"/>
      <c r="D21226" s="19"/>
      <c r="E21226" s="57"/>
      <c r="H21226" s="18"/>
    </row>
    <row r="21227">
      <c r="C21227" s="18"/>
      <c r="D21227" s="19"/>
      <c r="E21227" s="57"/>
      <c r="H21227" s="18"/>
    </row>
    <row r="21228">
      <c r="C21228" s="18"/>
      <c r="D21228" s="19"/>
      <c r="E21228" s="57"/>
      <c r="H21228" s="18"/>
    </row>
    <row r="21229">
      <c r="C21229" s="18"/>
      <c r="D21229" s="19"/>
      <c r="E21229" s="57"/>
      <c r="H21229" s="18"/>
    </row>
    <row r="21230">
      <c r="C21230" s="18"/>
      <c r="D21230" s="19"/>
      <c r="E21230" s="57"/>
      <c r="H21230" s="18"/>
    </row>
    <row r="21231">
      <c r="C21231" s="18"/>
      <c r="D21231" s="19"/>
      <c r="E21231" s="57"/>
      <c r="H21231" s="18"/>
    </row>
    <row r="21232">
      <c r="C21232" s="18"/>
      <c r="D21232" s="19"/>
      <c r="E21232" s="57"/>
      <c r="H21232" s="18"/>
    </row>
    <row r="21233">
      <c r="C21233" s="18"/>
      <c r="D21233" s="19"/>
      <c r="E21233" s="57"/>
      <c r="H21233" s="18"/>
    </row>
    <row r="21234">
      <c r="C21234" s="18"/>
      <c r="D21234" s="19"/>
      <c r="E21234" s="57"/>
      <c r="H21234" s="18"/>
    </row>
    <row r="21235">
      <c r="C21235" s="18"/>
      <c r="D21235" s="19"/>
      <c r="E21235" s="57"/>
      <c r="H21235" s="18"/>
    </row>
    <row r="21236">
      <c r="C21236" s="18"/>
      <c r="D21236" s="19"/>
      <c r="E21236" s="57"/>
      <c r="H21236" s="18"/>
    </row>
    <row r="21237">
      <c r="C21237" s="18"/>
      <c r="D21237" s="19"/>
      <c r="E21237" s="57"/>
      <c r="H21237" s="18"/>
    </row>
    <row r="21238">
      <c r="C21238" s="18"/>
      <c r="D21238" s="19"/>
      <c r="E21238" s="57"/>
      <c r="H21238" s="18"/>
    </row>
    <row r="21239">
      <c r="C21239" s="18"/>
      <c r="D21239" s="19"/>
      <c r="E21239" s="57"/>
      <c r="H21239" s="18"/>
    </row>
    <row r="21240">
      <c r="C21240" s="18"/>
      <c r="D21240" s="19"/>
      <c r="E21240" s="57"/>
      <c r="H21240" s="18"/>
    </row>
    <row r="21241">
      <c r="C21241" s="18"/>
      <c r="D21241" s="19"/>
      <c r="E21241" s="57"/>
      <c r="H21241" s="18"/>
    </row>
    <row r="21242">
      <c r="C21242" s="18"/>
      <c r="D21242" s="19"/>
      <c r="E21242" s="57"/>
      <c r="H21242" s="18"/>
    </row>
    <row r="21243">
      <c r="C21243" s="18"/>
      <c r="D21243" s="19"/>
      <c r="E21243" s="57"/>
      <c r="H21243" s="18"/>
    </row>
    <row r="21244">
      <c r="C21244" s="18"/>
      <c r="D21244" s="19"/>
      <c r="E21244" s="57"/>
      <c r="H21244" s="18"/>
    </row>
    <row r="21245">
      <c r="C21245" s="18"/>
      <c r="D21245" s="19"/>
      <c r="E21245" s="57"/>
      <c r="H21245" s="18"/>
    </row>
    <row r="21246">
      <c r="C21246" s="18"/>
      <c r="D21246" s="19"/>
      <c r="E21246" s="57"/>
      <c r="H21246" s="18"/>
    </row>
    <row r="21247">
      <c r="C21247" s="18"/>
      <c r="D21247" s="19"/>
      <c r="E21247" s="57"/>
      <c r="H21247" s="18"/>
    </row>
    <row r="21248">
      <c r="C21248" s="18"/>
      <c r="D21248" s="19"/>
      <c r="E21248" s="57"/>
      <c r="H21248" s="18"/>
    </row>
    <row r="21249">
      <c r="C21249" s="18"/>
      <c r="D21249" s="19"/>
      <c r="E21249" s="57"/>
      <c r="H21249" s="18"/>
    </row>
    <row r="21250">
      <c r="C21250" s="18"/>
      <c r="D21250" s="19"/>
      <c r="E21250" s="57"/>
      <c r="H21250" s="18"/>
    </row>
    <row r="21251">
      <c r="C21251" s="18"/>
      <c r="D21251" s="19"/>
      <c r="E21251" s="57"/>
      <c r="H21251" s="18"/>
    </row>
    <row r="21252">
      <c r="C21252" s="18"/>
      <c r="D21252" s="19"/>
      <c r="E21252" s="57"/>
      <c r="H21252" s="18"/>
    </row>
    <row r="21253">
      <c r="C21253" s="18"/>
      <c r="D21253" s="19"/>
      <c r="E21253" s="57"/>
      <c r="H21253" s="18"/>
    </row>
    <row r="21254">
      <c r="C21254" s="18"/>
      <c r="D21254" s="19"/>
      <c r="E21254" s="57"/>
      <c r="H21254" s="18"/>
    </row>
    <row r="21255">
      <c r="C21255" s="18"/>
      <c r="D21255" s="19"/>
      <c r="E21255" s="57"/>
      <c r="H21255" s="18"/>
    </row>
    <row r="21256">
      <c r="C21256" s="18"/>
      <c r="D21256" s="19"/>
      <c r="E21256" s="57"/>
      <c r="H21256" s="18"/>
    </row>
    <row r="21257">
      <c r="C21257" s="18"/>
      <c r="D21257" s="19"/>
      <c r="E21257" s="57"/>
      <c r="H21257" s="18"/>
    </row>
    <row r="21258">
      <c r="C21258" s="18"/>
      <c r="D21258" s="19"/>
      <c r="E21258" s="57"/>
      <c r="H21258" s="18"/>
    </row>
    <row r="21259">
      <c r="C21259" s="18"/>
      <c r="D21259" s="19"/>
      <c r="E21259" s="57"/>
      <c r="H21259" s="18"/>
    </row>
    <row r="21260">
      <c r="C21260" s="18"/>
      <c r="D21260" s="19"/>
      <c r="E21260" s="57"/>
      <c r="H21260" s="18"/>
    </row>
    <row r="21261">
      <c r="C21261" s="18"/>
      <c r="D21261" s="19"/>
      <c r="E21261" s="57"/>
      <c r="H21261" s="18"/>
    </row>
    <row r="21262">
      <c r="C21262" s="18"/>
      <c r="D21262" s="19"/>
      <c r="E21262" s="57"/>
      <c r="H21262" s="18"/>
    </row>
    <row r="21263">
      <c r="C21263" s="18"/>
      <c r="D21263" s="19"/>
      <c r="E21263" s="57"/>
      <c r="H21263" s="18"/>
    </row>
    <row r="21264">
      <c r="C21264" s="18"/>
      <c r="D21264" s="19"/>
      <c r="E21264" s="57"/>
      <c r="H21264" s="18"/>
    </row>
    <row r="21265">
      <c r="C21265" s="18"/>
      <c r="D21265" s="19"/>
      <c r="E21265" s="57"/>
      <c r="H21265" s="18"/>
    </row>
    <row r="21266">
      <c r="C21266" s="18"/>
      <c r="D21266" s="19"/>
      <c r="E21266" s="57"/>
      <c r="H21266" s="18"/>
    </row>
    <row r="21267">
      <c r="C21267" s="18"/>
      <c r="D21267" s="19"/>
      <c r="E21267" s="57"/>
      <c r="H21267" s="18"/>
    </row>
    <row r="21268">
      <c r="C21268" s="18"/>
      <c r="D21268" s="19"/>
      <c r="E21268" s="57"/>
      <c r="H21268" s="18"/>
    </row>
    <row r="21269">
      <c r="C21269" s="18"/>
      <c r="D21269" s="19"/>
      <c r="E21269" s="57"/>
      <c r="H21269" s="18"/>
    </row>
    <row r="21270">
      <c r="C21270" s="18"/>
      <c r="D21270" s="19"/>
      <c r="E21270" s="57"/>
      <c r="H21270" s="18"/>
    </row>
    <row r="21271">
      <c r="C21271" s="18"/>
      <c r="D21271" s="19"/>
      <c r="E21271" s="57"/>
      <c r="H21271" s="18"/>
    </row>
    <row r="21272">
      <c r="C21272" s="18"/>
      <c r="D21272" s="19"/>
      <c r="E21272" s="57"/>
      <c r="H21272" s="18"/>
    </row>
    <row r="21273">
      <c r="C21273" s="18"/>
      <c r="D21273" s="19"/>
      <c r="E21273" s="57"/>
      <c r="H21273" s="18"/>
    </row>
    <row r="21274">
      <c r="C21274" s="18"/>
      <c r="D21274" s="19"/>
      <c r="E21274" s="57"/>
      <c r="H21274" s="18"/>
    </row>
    <row r="21275">
      <c r="C21275" s="18"/>
      <c r="D21275" s="19"/>
      <c r="E21275" s="57"/>
      <c r="H21275" s="18"/>
    </row>
    <row r="21276">
      <c r="C21276" s="18"/>
      <c r="D21276" s="19"/>
      <c r="E21276" s="57"/>
      <c r="H21276" s="18"/>
    </row>
    <row r="21277">
      <c r="C21277" s="18"/>
      <c r="D21277" s="19"/>
      <c r="E21277" s="57"/>
      <c r="H21277" s="18"/>
    </row>
    <row r="21278">
      <c r="C21278" s="18"/>
      <c r="D21278" s="19"/>
      <c r="E21278" s="57"/>
      <c r="H21278" s="18"/>
    </row>
    <row r="21279">
      <c r="C21279" s="18"/>
      <c r="D21279" s="19"/>
      <c r="E21279" s="57"/>
      <c r="H21279" s="18"/>
    </row>
    <row r="21280">
      <c r="C21280" s="18"/>
      <c r="D21280" s="19"/>
      <c r="E21280" s="57"/>
      <c r="H21280" s="18"/>
    </row>
    <row r="21281">
      <c r="C21281" s="18"/>
      <c r="D21281" s="19"/>
      <c r="E21281" s="57"/>
      <c r="H21281" s="18"/>
    </row>
    <row r="21282">
      <c r="C21282" s="18"/>
      <c r="D21282" s="19"/>
      <c r="E21282" s="57"/>
      <c r="H21282" s="18"/>
    </row>
    <row r="21283">
      <c r="C21283" s="18"/>
      <c r="D21283" s="19"/>
      <c r="E21283" s="57"/>
      <c r="H21283" s="18"/>
    </row>
    <row r="21284">
      <c r="C21284" s="18"/>
      <c r="D21284" s="19"/>
      <c r="E21284" s="57"/>
      <c r="H21284" s="18"/>
    </row>
    <row r="21285">
      <c r="C21285" s="18"/>
      <c r="D21285" s="19"/>
      <c r="E21285" s="57"/>
      <c r="H21285" s="18"/>
    </row>
    <row r="21286">
      <c r="C21286" s="18"/>
      <c r="D21286" s="19"/>
      <c r="E21286" s="57"/>
      <c r="H21286" s="18"/>
    </row>
    <row r="21287">
      <c r="C21287" s="18"/>
      <c r="D21287" s="19"/>
      <c r="E21287" s="57"/>
      <c r="H21287" s="18"/>
    </row>
    <row r="21288">
      <c r="C21288" s="18"/>
      <c r="D21288" s="19"/>
      <c r="E21288" s="57"/>
      <c r="H21288" s="18"/>
    </row>
    <row r="21289">
      <c r="C21289" s="18"/>
      <c r="D21289" s="19"/>
      <c r="E21289" s="57"/>
      <c r="H21289" s="18"/>
    </row>
    <row r="21290">
      <c r="C21290" s="18"/>
      <c r="D21290" s="19"/>
      <c r="E21290" s="57"/>
      <c r="H21290" s="18"/>
    </row>
    <row r="21291">
      <c r="C21291" s="18"/>
      <c r="D21291" s="19"/>
      <c r="E21291" s="57"/>
      <c r="H21291" s="18"/>
    </row>
    <row r="21292">
      <c r="C21292" s="18"/>
      <c r="D21292" s="19"/>
      <c r="E21292" s="57"/>
      <c r="H21292" s="18"/>
    </row>
    <row r="21293">
      <c r="C21293" s="18"/>
      <c r="D21293" s="19"/>
      <c r="E21293" s="57"/>
      <c r="H21293" s="18"/>
    </row>
    <row r="21294">
      <c r="C21294" s="18"/>
      <c r="D21294" s="19"/>
      <c r="E21294" s="57"/>
      <c r="H21294" s="18"/>
    </row>
    <row r="21295">
      <c r="C21295" s="18"/>
      <c r="D21295" s="19"/>
      <c r="E21295" s="57"/>
      <c r="H21295" s="18"/>
    </row>
    <row r="21296">
      <c r="C21296" s="18"/>
      <c r="D21296" s="19"/>
      <c r="E21296" s="57"/>
      <c r="H21296" s="18"/>
    </row>
    <row r="21297">
      <c r="C21297" s="18"/>
      <c r="D21297" s="19"/>
      <c r="E21297" s="57"/>
      <c r="H21297" s="18"/>
    </row>
    <row r="21298">
      <c r="C21298" s="18"/>
      <c r="D21298" s="19"/>
      <c r="E21298" s="57"/>
      <c r="H21298" s="18"/>
    </row>
    <row r="21299">
      <c r="C21299" s="18"/>
      <c r="D21299" s="19"/>
      <c r="E21299" s="57"/>
      <c r="H21299" s="18"/>
    </row>
    <row r="21300">
      <c r="C21300" s="18"/>
      <c r="D21300" s="19"/>
      <c r="E21300" s="57"/>
      <c r="H21300" s="18"/>
    </row>
    <row r="21301">
      <c r="C21301" s="18"/>
      <c r="D21301" s="19"/>
      <c r="E21301" s="57"/>
      <c r="H21301" s="18"/>
    </row>
    <row r="21302">
      <c r="C21302" s="18"/>
      <c r="D21302" s="19"/>
      <c r="E21302" s="57"/>
      <c r="H21302" s="18"/>
    </row>
    <row r="21303">
      <c r="C21303" s="18"/>
      <c r="D21303" s="19"/>
      <c r="E21303" s="57"/>
      <c r="H21303" s="18"/>
    </row>
    <row r="21304">
      <c r="C21304" s="18"/>
      <c r="D21304" s="19"/>
      <c r="E21304" s="57"/>
      <c r="H21304" s="18"/>
    </row>
    <row r="21305">
      <c r="C21305" s="18"/>
      <c r="D21305" s="19"/>
      <c r="E21305" s="57"/>
      <c r="H21305" s="18"/>
    </row>
    <row r="21306">
      <c r="C21306" s="18"/>
      <c r="D21306" s="19"/>
      <c r="E21306" s="57"/>
      <c r="H21306" s="18"/>
    </row>
    <row r="21307">
      <c r="C21307" s="18"/>
      <c r="D21307" s="19"/>
      <c r="E21307" s="57"/>
      <c r="H21307" s="18"/>
    </row>
    <row r="21308">
      <c r="C21308" s="18"/>
      <c r="D21308" s="19"/>
      <c r="E21308" s="57"/>
      <c r="H21308" s="18"/>
    </row>
    <row r="21309">
      <c r="C21309" s="18"/>
      <c r="D21309" s="19"/>
      <c r="E21309" s="57"/>
      <c r="H21309" s="18"/>
    </row>
    <row r="21310">
      <c r="C21310" s="18"/>
      <c r="D21310" s="19"/>
      <c r="E21310" s="57"/>
      <c r="H21310" s="18"/>
    </row>
    <row r="21311">
      <c r="C21311" s="18"/>
      <c r="D21311" s="19"/>
      <c r="E21311" s="57"/>
      <c r="H21311" s="18"/>
    </row>
    <row r="21312">
      <c r="C21312" s="18"/>
      <c r="D21312" s="19"/>
      <c r="E21312" s="57"/>
      <c r="H21312" s="18"/>
    </row>
    <row r="21313">
      <c r="C21313" s="18"/>
      <c r="D21313" s="19"/>
      <c r="E21313" s="57"/>
      <c r="H21313" s="18"/>
    </row>
    <row r="21314">
      <c r="C21314" s="18"/>
      <c r="D21314" s="19"/>
      <c r="E21314" s="57"/>
      <c r="H21314" s="18"/>
    </row>
    <row r="21315">
      <c r="C21315" s="18"/>
      <c r="D21315" s="19"/>
      <c r="E21315" s="57"/>
      <c r="H21315" s="18"/>
    </row>
    <row r="21316">
      <c r="C21316" s="18"/>
      <c r="D21316" s="19"/>
      <c r="E21316" s="57"/>
      <c r="H21316" s="18"/>
    </row>
    <row r="21317">
      <c r="C21317" s="18"/>
      <c r="D21317" s="19"/>
      <c r="E21317" s="57"/>
      <c r="H21317" s="18"/>
    </row>
    <row r="21318">
      <c r="C21318" s="18"/>
      <c r="D21318" s="19"/>
      <c r="E21318" s="57"/>
      <c r="H21318" s="18"/>
    </row>
    <row r="21319">
      <c r="C21319" s="18"/>
      <c r="D21319" s="19"/>
      <c r="E21319" s="57"/>
      <c r="H21319" s="18"/>
    </row>
    <row r="21320">
      <c r="C21320" s="18"/>
      <c r="D21320" s="19"/>
      <c r="E21320" s="57"/>
      <c r="H21320" s="18"/>
    </row>
    <row r="21321">
      <c r="C21321" s="18"/>
      <c r="D21321" s="19"/>
      <c r="E21321" s="57"/>
      <c r="H21321" s="18"/>
    </row>
    <row r="21322">
      <c r="C21322" s="18"/>
      <c r="D21322" s="19"/>
      <c r="E21322" s="57"/>
      <c r="H21322" s="18"/>
    </row>
    <row r="21323">
      <c r="C21323" s="18"/>
      <c r="D21323" s="19"/>
      <c r="E21323" s="57"/>
      <c r="H21323" s="18"/>
    </row>
    <row r="21324">
      <c r="C21324" s="18"/>
      <c r="D21324" s="19"/>
      <c r="E21324" s="57"/>
      <c r="H21324" s="18"/>
    </row>
    <row r="21325">
      <c r="C21325" s="18"/>
      <c r="D21325" s="19"/>
      <c r="E21325" s="57"/>
      <c r="H21325" s="18"/>
    </row>
    <row r="21326">
      <c r="C21326" s="18"/>
      <c r="D21326" s="19"/>
      <c r="E21326" s="57"/>
      <c r="H21326" s="18"/>
    </row>
    <row r="21327">
      <c r="C21327" s="18"/>
      <c r="D21327" s="19"/>
      <c r="E21327" s="57"/>
      <c r="H21327" s="18"/>
    </row>
    <row r="21328">
      <c r="C21328" s="18"/>
      <c r="D21328" s="19"/>
      <c r="E21328" s="57"/>
      <c r="H21328" s="18"/>
    </row>
    <row r="21329">
      <c r="C21329" s="18"/>
      <c r="D21329" s="19"/>
      <c r="E21329" s="57"/>
      <c r="H21329" s="18"/>
    </row>
    <row r="21330">
      <c r="C21330" s="18"/>
      <c r="D21330" s="19"/>
      <c r="E21330" s="57"/>
      <c r="H21330" s="18"/>
    </row>
    <row r="21331">
      <c r="C21331" s="18"/>
      <c r="D21331" s="19"/>
      <c r="E21331" s="57"/>
      <c r="H21331" s="18"/>
    </row>
    <row r="21332">
      <c r="C21332" s="18"/>
      <c r="D21332" s="19"/>
      <c r="E21332" s="57"/>
      <c r="H21332" s="18"/>
    </row>
    <row r="21333">
      <c r="C21333" s="18"/>
      <c r="D21333" s="19"/>
      <c r="E21333" s="57"/>
      <c r="H21333" s="18"/>
    </row>
    <row r="21334">
      <c r="C21334" s="18"/>
      <c r="D21334" s="19"/>
      <c r="E21334" s="57"/>
      <c r="H21334" s="18"/>
    </row>
    <row r="21335">
      <c r="C21335" s="18"/>
      <c r="D21335" s="19"/>
      <c r="E21335" s="57"/>
      <c r="H21335" s="18"/>
    </row>
    <row r="21336">
      <c r="C21336" s="18"/>
      <c r="D21336" s="19"/>
      <c r="E21336" s="57"/>
      <c r="H21336" s="18"/>
    </row>
    <row r="21337">
      <c r="C21337" s="18"/>
      <c r="D21337" s="19"/>
      <c r="E21337" s="57"/>
      <c r="H21337" s="18"/>
    </row>
    <row r="21338">
      <c r="C21338" s="18"/>
      <c r="D21338" s="19"/>
      <c r="E21338" s="57"/>
      <c r="H21338" s="18"/>
    </row>
    <row r="21339">
      <c r="C21339" s="18"/>
      <c r="D21339" s="19"/>
      <c r="E21339" s="57"/>
      <c r="H21339" s="18"/>
    </row>
    <row r="21340">
      <c r="C21340" s="18"/>
      <c r="D21340" s="19"/>
      <c r="E21340" s="57"/>
      <c r="H21340" s="18"/>
    </row>
    <row r="21341">
      <c r="C21341" s="18"/>
      <c r="D21341" s="19"/>
      <c r="E21341" s="57"/>
      <c r="H21341" s="18"/>
    </row>
    <row r="21342">
      <c r="C21342" s="18"/>
      <c r="D21342" s="19"/>
      <c r="E21342" s="57"/>
      <c r="H21342" s="18"/>
    </row>
    <row r="21343">
      <c r="C21343" s="18"/>
      <c r="D21343" s="19"/>
      <c r="E21343" s="57"/>
      <c r="H21343" s="18"/>
    </row>
    <row r="21344">
      <c r="C21344" s="18"/>
      <c r="D21344" s="19"/>
      <c r="E21344" s="57"/>
      <c r="H21344" s="18"/>
    </row>
    <row r="21345">
      <c r="C21345" s="18"/>
      <c r="D21345" s="19"/>
      <c r="E21345" s="57"/>
      <c r="H21345" s="18"/>
    </row>
    <row r="21346">
      <c r="C21346" s="18"/>
      <c r="D21346" s="19"/>
      <c r="E21346" s="57"/>
      <c r="H21346" s="18"/>
    </row>
    <row r="21347">
      <c r="C21347" s="18"/>
      <c r="D21347" s="19"/>
      <c r="E21347" s="57"/>
      <c r="H21347" s="18"/>
    </row>
    <row r="21348">
      <c r="C21348" s="18"/>
      <c r="D21348" s="19"/>
      <c r="E21348" s="57"/>
      <c r="H21348" s="18"/>
    </row>
    <row r="21349">
      <c r="C21349" s="18"/>
      <c r="D21349" s="19"/>
      <c r="E21349" s="57"/>
      <c r="H21349" s="18"/>
    </row>
    <row r="21350">
      <c r="C21350" s="18"/>
      <c r="D21350" s="19"/>
      <c r="E21350" s="57"/>
      <c r="H21350" s="18"/>
    </row>
    <row r="21351">
      <c r="C21351" s="18"/>
      <c r="D21351" s="19"/>
      <c r="E21351" s="57"/>
      <c r="H21351" s="18"/>
    </row>
    <row r="21352">
      <c r="C21352" s="18"/>
      <c r="D21352" s="19"/>
      <c r="E21352" s="57"/>
      <c r="H21352" s="18"/>
    </row>
    <row r="21353">
      <c r="C21353" s="18"/>
      <c r="D21353" s="19"/>
      <c r="E21353" s="57"/>
      <c r="H21353" s="18"/>
    </row>
    <row r="21354">
      <c r="C21354" s="18"/>
      <c r="D21354" s="19"/>
      <c r="E21354" s="57"/>
      <c r="H21354" s="18"/>
    </row>
    <row r="21355">
      <c r="C21355" s="18"/>
      <c r="D21355" s="19"/>
      <c r="E21355" s="57"/>
      <c r="H21355" s="18"/>
    </row>
    <row r="21356">
      <c r="C21356" s="18"/>
      <c r="D21356" s="19"/>
      <c r="E21356" s="57"/>
      <c r="H21356" s="18"/>
    </row>
    <row r="21357">
      <c r="C21357" s="18"/>
      <c r="D21357" s="19"/>
      <c r="E21357" s="57"/>
      <c r="H21357" s="18"/>
    </row>
    <row r="21358">
      <c r="C21358" s="18"/>
      <c r="D21358" s="19"/>
      <c r="E21358" s="57"/>
      <c r="H21358" s="18"/>
    </row>
    <row r="21359">
      <c r="C21359" s="18"/>
      <c r="D21359" s="19"/>
      <c r="E21359" s="57"/>
      <c r="H21359" s="18"/>
    </row>
    <row r="21360">
      <c r="C21360" s="18"/>
      <c r="D21360" s="19"/>
      <c r="E21360" s="57"/>
      <c r="H21360" s="18"/>
    </row>
    <row r="21361">
      <c r="C21361" s="18"/>
      <c r="D21361" s="19"/>
      <c r="E21361" s="57"/>
      <c r="H21361" s="18"/>
    </row>
    <row r="21362">
      <c r="C21362" s="18"/>
      <c r="D21362" s="19"/>
      <c r="E21362" s="57"/>
      <c r="H21362" s="18"/>
    </row>
    <row r="21363">
      <c r="C21363" s="18"/>
      <c r="D21363" s="19"/>
      <c r="E21363" s="57"/>
      <c r="H21363" s="18"/>
    </row>
    <row r="21364">
      <c r="C21364" s="18"/>
      <c r="D21364" s="19"/>
      <c r="E21364" s="57"/>
      <c r="H21364" s="18"/>
    </row>
    <row r="21365">
      <c r="C21365" s="18"/>
      <c r="D21365" s="19"/>
      <c r="E21365" s="57"/>
      <c r="H21365" s="18"/>
    </row>
    <row r="21366">
      <c r="C21366" s="18"/>
      <c r="D21366" s="19"/>
      <c r="E21366" s="57"/>
      <c r="H21366" s="18"/>
    </row>
    <row r="21367">
      <c r="C21367" s="18"/>
      <c r="D21367" s="19"/>
      <c r="E21367" s="57"/>
      <c r="H21367" s="18"/>
    </row>
    <row r="21368">
      <c r="C21368" s="18"/>
      <c r="D21368" s="19"/>
      <c r="E21368" s="57"/>
      <c r="H21368" s="18"/>
    </row>
    <row r="21369">
      <c r="C21369" s="18"/>
      <c r="D21369" s="19"/>
      <c r="E21369" s="57"/>
      <c r="H21369" s="18"/>
    </row>
    <row r="21370">
      <c r="C21370" s="18"/>
      <c r="D21370" s="19"/>
      <c r="E21370" s="57"/>
      <c r="H21370" s="18"/>
    </row>
    <row r="21371">
      <c r="C21371" s="18"/>
      <c r="D21371" s="19"/>
      <c r="E21371" s="57"/>
      <c r="H21371" s="18"/>
    </row>
    <row r="21372">
      <c r="C21372" s="18"/>
      <c r="D21372" s="19"/>
      <c r="E21372" s="57"/>
      <c r="H21372" s="18"/>
    </row>
    <row r="21373">
      <c r="C21373" s="18"/>
      <c r="D21373" s="19"/>
      <c r="E21373" s="57"/>
      <c r="H21373" s="18"/>
    </row>
    <row r="21374">
      <c r="C21374" s="18"/>
      <c r="D21374" s="19"/>
      <c r="E21374" s="57"/>
      <c r="H21374" s="18"/>
    </row>
    <row r="21375">
      <c r="C21375" s="18"/>
      <c r="D21375" s="19"/>
      <c r="E21375" s="57"/>
      <c r="H21375" s="18"/>
    </row>
    <row r="21376">
      <c r="C21376" s="18"/>
      <c r="D21376" s="19"/>
      <c r="E21376" s="57"/>
      <c r="H21376" s="18"/>
    </row>
    <row r="21377">
      <c r="C21377" s="18"/>
      <c r="D21377" s="19"/>
      <c r="E21377" s="57"/>
      <c r="H21377" s="18"/>
    </row>
    <row r="21378">
      <c r="C21378" s="18"/>
      <c r="D21378" s="19"/>
      <c r="E21378" s="57"/>
      <c r="H21378" s="18"/>
    </row>
    <row r="21379">
      <c r="C21379" s="18"/>
      <c r="D21379" s="19"/>
      <c r="E21379" s="57"/>
      <c r="H21379" s="18"/>
    </row>
    <row r="21380">
      <c r="C21380" s="18"/>
      <c r="D21380" s="19"/>
      <c r="E21380" s="57"/>
      <c r="H21380" s="18"/>
    </row>
    <row r="21381">
      <c r="C21381" s="18"/>
      <c r="D21381" s="19"/>
      <c r="E21381" s="57"/>
      <c r="H21381" s="18"/>
    </row>
    <row r="21382">
      <c r="C21382" s="18"/>
      <c r="D21382" s="19"/>
      <c r="E21382" s="57"/>
      <c r="H21382" s="18"/>
    </row>
    <row r="21383">
      <c r="C21383" s="18"/>
      <c r="D21383" s="19"/>
      <c r="E21383" s="57"/>
      <c r="H21383" s="18"/>
    </row>
    <row r="21384">
      <c r="C21384" s="18"/>
      <c r="D21384" s="19"/>
      <c r="E21384" s="57"/>
      <c r="H21384" s="18"/>
    </row>
    <row r="21385">
      <c r="C21385" s="18"/>
      <c r="D21385" s="19"/>
      <c r="E21385" s="57"/>
      <c r="H21385" s="18"/>
    </row>
    <row r="21386">
      <c r="C21386" s="18"/>
      <c r="D21386" s="19"/>
      <c r="E21386" s="57"/>
      <c r="H21386" s="18"/>
    </row>
    <row r="21387">
      <c r="C21387" s="18"/>
      <c r="D21387" s="19"/>
      <c r="E21387" s="57"/>
      <c r="H21387" s="18"/>
    </row>
    <row r="21388">
      <c r="C21388" s="18"/>
      <c r="D21388" s="19"/>
      <c r="E21388" s="57"/>
      <c r="H21388" s="18"/>
    </row>
    <row r="21389">
      <c r="C21389" s="18"/>
      <c r="D21389" s="19"/>
      <c r="E21389" s="57"/>
      <c r="H21389" s="18"/>
    </row>
    <row r="21390">
      <c r="C21390" s="18"/>
      <c r="D21390" s="19"/>
      <c r="E21390" s="57"/>
      <c r="H21390" s="18"/>
    </row>
    <row r="21391">
      <c r="C21391" s="18"/>
      <c r="D21391" s="19"/>
      <c r="E21391" s="57"/>
      <c r="H21391" s="18"/>
    </row>
    <row r="21392">
      <c r="C21392" s="18"/>
      <c r="D21392" s="19"/>
      <c r="E21392" s="57"/>
      <c r="H21392" s="18"/>
    </row>
    <row r="21393">
      <c r="C21393" s="18"/>
      <c r="D21393" s="19"/>
      <c r="E21393" s="57"/>
      <c r="H21393" s="18"/>
    </row>
    <row r="21394">
      <c r="C21394" s="18"/>
      <c r="D21394" s="19"/>
      <c r="E21394" s="57"/>
      <c r="H21394" s="18"/>
    </row>
    <row r="21395">
      <c r="C21395" s="18"/>
      <c r="D21395" s="19"/>
      <c r="E21395" s="57"/>
      <c r="H21395" s="18"/>
    </row>
    <row r="21396">
      <c r="C21396" s="18"/>
      <c r="D21396" s="19"/>
      <c r="E21396" s="57"/>
      <c r="H21396" s="18"/>
    </row>
    <row r="21397">
      <c r="C21397" s="18"/>
      <c r="D21397" s="19"/>
      <c r="E21397" s="57"/>
      <c r="H21397" s="18"/>
    </row>
    <row r="21398">
      <c r="C21398" s="18"/>
      <c r="D21398" s="19"/>
      <c r="E21398" s="57"/>
      <c r="H21398" s="18"/>
    </row>
    <row r="21399">
      <c r="C21399" s="18"/>
      <c r="D21399" s="19"/>
      <c r="E21399" s="57"/>
      <c r="H21399" s="18"/>
    </row>
    <row r="21400">
      <c r="C21400" s="18"/>
      <c r="D21400" s="19"/>
      <c r="E21400" s="57"/>
      <c r="H21400" s="18"/>
    </row>
    <row r="21401">
      <c r="C21401" s="18"/>
      <c r="D21401" s="19"/>
      <c r="E21401" s="57"/>
      <c r="H21401" s="18"/>
    </row>
    <row r="21402">
      <c r="C21402" s="18"/>
      <c r="D21402" s="19"/>
      <c r="E21402" s="57"/>
      <c r="H21402" s="18"/>
    </row>
    <row r="21403">
      <c r="C21403" s="18"/>
      <c r="D21403" s="19"/>
      <c r="E21403" s="57"/>
      <c r="H21403" s="18"/>
    </row>
    <row r="21404">
      <c r="C21404" s="18"/>
      <c r="D21404" s="19"/>
      <c r="E21404" s="57"/>
      <c r="H21404" s="18"/>
    </row>
    <row r="21405">
      <c r="C21405" s="18"/>
      <c r="D21405" s="19"/>
      <c r="E21405" s="57"/>
      <c r="H21405" s="18"/>
    </row>
    <row r="21406">
      <c r="C21406" s="18"/>
      <c r="D21406" s="19"/>
      <c r="E21406" s="57"/>
      <c r="H21406" s="18"/>
    </row>
    <row r="21407">
      <c r="C21407" s="18"/>
      <c r="D21407" s="19"/>
      <c r="E21407" s="57"/>
      <c r="H21407" s="18"/>
    </row>
    <row r="21408">
      <c r="C21408" s="18"/>
      <c r="D21408" s="19"/>
      <c r="E21408" s="57"/>
      <c r="H21408" s="18"/>
    </row>
    <row r="21409">
      <c r="C21409" s="18"/>
      <c r="D21409" s="19"/>
      <c r="E21409" s="57"/>
      <c r="H21409" s="18"/>
    </row>
    <row r="21410">
      <c r="C21410" s="18"/>
      <c r="D21410" s="19"/>
      <c r="E21410" s="57"/>
      <c r="H21410" s="18"/>
    </row>
    <row r="21411">
      <c r="C21411" s="18"/>
      <c r="D21411" s="19"/>
      <c r="E21411" s="57"/>
      <c r="H21411" s="18"/>
    </row>
    <row r="21412">
      <c r="C21412" s="18"/>
      <c r="D21412" s="19"/>
      <c r="E21412" s="57"/>
      <c r="H21412" s="18"/>
    </row>
    <row r="21413">
      <c r="C21413" s="18"/>
      <c r="D21413" s="19"/>
      <c r="E21413" s="57"/>
      <c r="H21413" s="18"/>
    </row>
    <row r="21414">
      <c r="C21414" s="18"/>
      <c r="D21414" s="19"/>
      <c r="E21414" s="57"/>
      <c r="H21414" s="18"/>
    </row>
    <row r="21415">
      <c r="C21415" s="18"/>
      <c r="D21415" s="19"/>
      <c r="E21415" s="57"/>
      <c r="H21415" s="18"/>
    </row>
    <row r="21416">
      <c r="C21416" s="18"/>
      <c r="D21416" s="19"/>
      <c r="E21416" s="57"/>
      <c r="H21416" s="18"/>
    </row>
    <row r="21417">
      <c r="C21417" s="18"/>
      <c r="D21417" s="19"/>
      <c r="E21417" s="57"/>
      <c r="H21417" s="18"/>
    </row>
    <row r="21418">
      <c r="C21418" s="18"/>
      <c r="D21418" s="19"/>
      <c r="E21418" s="57"/>
      <c r="H21418" s="18"/>
    </row>
    <row r="21419">
      <c r="C21419" s="18"/>
      <c r="D21419" s="19"/>
      <c r="E21419" s="57"/>
      <c r="H21419" s="18"/>
    </row>
    <row r="21420">
      <c r="C21420" s="18"/>
      <c r="D21420" s="19"/>
      <c r="E21420" s="57"/>
      <c r="H21420" s="18"/>
    </row>
    <row r="21421">
      <c r="C21421" s="18"/>
      <c r="D21421" s="19"/>
      <c r="E21421" s="57"/>
      <c r="H21421" s="18"/>
    </row>
    <row r="21422">
      <c r="C21422" s="18"/>
      <c r="D21422" s="19"/>
      <c r="E21422" s="57"/>
      <c r="H21422" s="18"/>
    </row>
    <row r="21423">
      <c r="C21423" s="18"/>
      <c r="D21423" s="19"/>
      <c r="E21423" s="57"/>
      <c r="H21423" s="18"/>
    </row>
    <row r="21424">
      <c r="C21424" s="18"/>
      <c r="D21424" s="19"/>
      <c r="E21424" s="57"/>
      <c r="H21424" s="18"/>
    </row>
    <row r="21425">
      <c r="C21425" s="18"/>
      <c r="D21425" s="19"/>
      <c r="E21425" s="57"/>
      <c r="H21425" s="18"/>
    </row>
    <row r="21426">
      <c r="C21426" s="18"/>
      <c r="D21426" s="19"/>
      <c r="E21426" s="57"/>
      <c r="H21426" s="18"/>
    </row>
    <row r="21427">
      <c r="C21427" s="18"/>
      <c r="D21427" s="19"/>
      <c r="E21427" s="57"/>
      <c r="H21427" s="18"/>
    </row>
    <row r="21428">
      <c r="C21428" s="18"/>
      <c r="D21428" s="19"/>
      <c r="E21428" s="57"/>
      <c r="H21428" s="18"/>
    </row>
    <row r="21429">
      <c r="C21429" s="18"/>
      <c r="D21429" s="19"/>
      <c r="E21429" s="57"/>
      <c r="H21429" s="18"/>
    </row>
    <row r="21430">
      <c r="C21430" s="18"/>
      <c r="D21430" s="19"/>
      <c r="E21430" s="57"/>
      <c r="H21430" s="18"/>
    </row>
    <row r="21431">
      <c r="C21431" s="18"/>
      <c r="D21431" s="19"/>
      <c r="E21431" s="57"/>
      <c r="H21431" s="18"/>
    </row>
    <row r="21432">
      <c r="C21432" s="18"/>
      <c r="D21432" s="19"/>
      <c r="E21432" s="57"/>
      <c r="H21432" s="18"/>
    </row>
    <row r="21433">
      <c r="C21433" s="18"/>
      <c r="D21433" s="19"/>
      <c r="E21433" s="57"/>
      <c r="H21433" s="18"/>
    </row>
    <row r="21434">
      <c r="C21434" s="18"/>
      <c r="D21434" s="19"/>
      <c r="E21434" s="57"/>
      <c r="H21434" s="18"/>
    </row>
    <row r="21435">
      <c r="C21435" s="18"/>
      <c r="D21435" s="19"/>
      <c r="E21435" s="57"/>
      <c r="H21435" s="18"/>
    </row>
    <row r="21436">
      <c r="C21436" s="18"/>
      <c r="D21436" s="19"/>
      <c r="E21436" s="57"/>
      <c r="H21436" s="18"/>
    </row>
    <row r="21437">
      <c r="C21437" s="18"/>
      <c r="D21437" s="19"/>
      <c r="E21437" s="57"/>
      <c r="H21437" s="18"/>
    </row>
    <row r="21438">
      <c r="C21438" s="18"/>
      <c r="D21438" s="19"/>
      <c r="E21438" s="57"/>
      <c r="H21438" s="18"/>
    </row>
    <row r="21439">
      <c r="C21439" s="18"/>
      <c r="D21439" s="19"/>
      <c r="E21439" s="57"/>
      <c r="H21439" s="18"/>
    </row>
    <row r="21440">
      <c r="C21440" s="18"/>
      <c r="D21440" s="19"/>
      <c r="E21440" s="57"/>
      <c r="H21440" s="18"/>
    </row>
    <row r="21441">
      <c r="C21441" s="18"/>
      <c r="D21441" s="19"/>
      <c r="E21441" s="57"/>
      <c r="H21441" s="18"/>
    </row>
    <row r="21442">
      <c r="C21442" s="18"/>
      <c r="D21442" s="19"/>
      <c r="E21442" s="57"/>
      <c r="H21442" s="18"/>
    </row>
    <row r="21443">
      <c r="C21443" s="18"/>
      <c r="D21443" s="19"/>
      <c r="E21443" s="57"/>
      <c r="H21443" s="18"/>
    </row>
    <row r="21444">
      <c r="C21444" s="18"/>
      <c r="D21444" s="19"/>
      <c r="E21444" s="57"/>
      <c r="H21444" s="18"/>
    </row>
    <row r="21445">
      <c r="C21445" s="18"/>
      <c r="D21445" s="19"/>
      <c r="E21445" s="57"/>
      <c r="H21445" s="18"/>
    </row>
    <row r="21446">
      <c r="C21446" s="18"/>
      <c r="D21446" s="19"/>
      <c r="E21446" s="57"/>
      <c r="H21446" s="18"/>
    </row>
    <row r="21447">
      <c r="C21447" s="18"/>
      <c r="D21447" s="19"/>
      <c r="E21447" s="57"/>
      <c r="H21447" s="18"/>
    </row>
    <row r="21448">
      <c r="C21448" s="18"/>
      <c r="D21448" s="19"/>
      <c r="E21448" s="57"/>
      <c r="H21448" s="18"/>
    </row>
    <row r="21449">
      <c r="C21449" s="18"/>
      <c r="D21449" s="19"/>
      <c r="E21449" s="57"/>
      <c r="H21449" s="18"/>
    </row>
    <row r="21450">
      <c r="C21450" s="18"/>
      <c r="D21450" s="19"/>
      <c r="E21450" s="57"/>
      <c r="H21450" s="18"/>
    </row>
    <row r="21451">
      <c r="C21451" s="18"/>
      <c r="D21451" s="19"/>
      <c r="E21451" s="57"/>
      <c r="H21451" s="18"/>
    </row>
    <row r="21452">
      <c r="C21452" s="18"/>
      <c r="D21452" s="19"/>
      <c r="E21452" s="57"/>
      <c r="H21452" s="18"/>
    </row>
    <row r="21453">
      <c r="C21453" s="18"/>
      <c r="D21453" s="19"/>
      <c r="E21453" s="57"/>
      <c r="H21453" s="18"/>
    </row>
    <row r="21454">
      <c r="C21454" s="18"/>
      <c r="D21454" s="19"/>
      <c r="E21454" s="57"/>
      <c r="H21454" s="18"/>
    </row>
    <row r="21455">
      <c r="C21455" s="18"/>
      <c r="D21455" s="19"/>
      <c r="E21455" s="57"/>
      <c r="H21455" s="18"/>
    </row>
    <row r="21456">
      <c r="C21456" s="18"/>
      <c r="D21456" s="19"/>
      <c r="E21456" s="57"/>
      <c r="H21456" s="18"/>
    </row>
    <row r="21457">
      <c r="C21457" s="18"/>
      <c r="D21457" s="19"/>
      <c r="E21457" s="57"/>
      <c r="H21457" s="18"/>
    </row>
    <row r="21458">
      <c r="C21458" s="18"/>
      <c r="D21458" s="19"/>
      <c r="E21458" s="57"/>
      <c r="H21458" s="18"/>
    </row>
    <row r="21459">
      <c r="C21459" s="18"/>
      <c r="D21459" s="19"/>
      <c r="E21459" s="57"/>
      <c r="H21459" s="18"/>
    </row>
    <row r="21460">
      <c r="C21460" s="18"/>
      <c r="D21460" s="19"/>
      <c r="E21460" s="57"/>
      <c r="H21460" s="18"/>
    </row>
    <row r="21461">
      <c r="C21461" s="18"/>
      <c r="D21461" s="19"/>
      <c r="E21461" s="57"/>
      <c r="H21461" s="18"/>
    </row>
    <row r="21462">
      <c r="C21462" s="18"/>
      <c r="D21462" s="19"/>
      <c r="E21462" s="57"/>
      <c r="H21462" s="18"/>
    </row>
    <row r="21463">
      <c r="C21463" s="18"/>
      <c r="D21463" s="19"/>
      <c r="E21463" s="57"/>
      <c r="H21463" s="18"/>
    </row>
    <row r="21464">
      <c r="C21464" s="18"/>
      <c r="D21464" s="19"/>
      <c r="E21464" s="57"/>
      <c r="H21464" s="18"/>
    </row>
    <row r="21465">
      <c r="C21465" s="18"/>
      <c r="D21465" s="19"/>
      <c r="E21465" s="57"/>
      <c r="H21465" s="18"/>
    </row>
    <row r="21466">
      <c r="C21466" s="18"/>
      <c r="D21466" s="19"/>
      <c r="E21466" s="57"/>
      <c r="H21466" s="18"/>
    </row>
    <row r="21467">
      <c r="C21467" s="18"/>
      <c r="D21467" s="19"/>
      <c r="E21467" s="57"/>
      <c r="H21467" s="18"/>
    </row>
    <row r="21468">
      <c r="C21468" s="18"/>
      <c r="D21468" s="19"/>
      <c r="E21468" s="57"/>
      <c r="H21468" s="18"/>
    </row>
    <row r="21469">
      <c r="C21469" s="18"/>
      <c r="D21469" s="19"/>
      <c r="E21469" s="57"/>
      <c r="H21469" s="18"/>
    </row>
    <row r="21470">
      <c r="C21470" s="18"/>
      <c r="D21470" s="19"/>
      <c r="E21470" s="57"/>
      <c r="H21470" s="18"/>
    </row>
    <row r="21471">
      <c r="C21471" s="18"/>
      <c r="D21471" s="19"/>
      <c r="E21471" s="57"/>
      <c r="H21471" s="18"/>
    </row>
    <row r="21472">
      <c r="C21472" s="18"/>
      <c r="D21472" s="19"/>
      <c r="E21472" s="57"/>
      <c r="H21472" s="18"/>
    </row>
    <row r="21473">
      <c r="C21473" s="18"/>
      <c r="D21473" s="19"/>
      <c r="E21473" s="57"/>
      <c r="H21473" s="18"/>
    </row>
    <row r="21474">
      <c r="C21474" s="18"/>
      <c r="D21474" s="19"/>
      <c r="E21474" s="57"/>
      <c r="H21474" s="18"/>
    </row>
    <row r="21475">
      <c r="C21475" s="18"/>
      <c r="D21475" s="19"/>
      <c r="E21475" s="57"/>
      <c r="H21475" s="18"/>
    </row>
    <row r="21476">
      <c r="C21476" s="18"/>
      <c r="D21476" s="19"/>
      <c r="E21476" s="57"/>
      <c r="H21476" s="18"/>
    </row>
    <row r="21477">
      <c r="C21477" s="18"/>
      <c r="D21477" s="19"/>
      <c r="E21477" s="57"/>
      <c r="H21477" s="18"/>
    </row>
    <row r="21478">
      <c r="C21478" s="18"/>
      <c r="D21478" s="19"/>
      <c r="E21478" s="57"/>
      <c r="H21478" s="18"/>
    </row>
    <row r="21479">
      <c r="C21479" s="18"/>
      <c r="D21479" s="19"/>
      <c r="E21479" s="57"/>
      <c r="H21479" s="18"/>
    </row>
    <row r="21480">
      <c r="C21480" s="18"/>
      <c r="D21480" s="19"/>
      <c r="E21480" s="57"/>
      <c r="H21480" s="18"/>
    </row>
    <row r="21481">
      <c r="C21481" s="18"/>
      <c r="D21481" s="19"/>
      <c r="E21481" s="57"/>
      <c r="H21481" s="18"/>
    </row>
    <row r="21482">
      <c r="C21482" s="18"/>
      <c r="D21482" s="19"/>
      <c r="E21482" s="57"/>
      <c r="H21482" s="18"/>
    </row>
    <row r="21483">
      <c r="C21483" s="18"/>
      <c r="D21483" s="19"/>
      <c r="E21483" s="57"/>
      <c r="H21483" s="18"/>
    </row>
    <row r="21484">
      <c r="C21484" s="18"/>
      <c r="D21484" s="19"/>
      <c r="E21484" s="57"/>
      <c r="H21484" s="18"/>
    </row>
    <row r="21485">
      <c r="C21485" s="18"/>
      <c r="D21485" s="19"/>
      <c r="E21485" s="57"/>
      <c r="H21485" s="18"/>
    </row>
    <row r="21486">
      <c r="C21486" s="18"/>
      <c r="D21486" s="19"/>
      <c r="E21486" s="57"/>
      <c r="H21486" s="18"/>
    </row>
    <row r="21487">
      <c r="C21487" s="18"/>
      <c r="D21487" s="19"/>
      <c r="E21487" s="57"/>
      <c r="H21487" s="18"/>
    </row>
    <row r="21488">
      <c r="C21488" s="18"/>
      <c r="D21488" s="19"/>
      <c r="E21488" s="57"/>
      <c r="H21488" s="18"/>
    </row>
    <row r="21489">
      <c r="C21489" s="18"/>
      <c r="D21489" s="19"/>
      <c r="E21489" s="57"/>
      <c r="H21489" s="18"/>
    </row>
    <row r="21490">
      <c r="C21490" s="18"/>
      <c r="D21490" s="19"/>
      <c r="E21490" s="57"/>
      <c r="H21490" s="18"/>
    </row>
    <row r="21491">
      <c r="C21491" s="18"/>
      <c r="D21491" s="19"/>
      <c r="E21491" s="57"/>
      <c r="H21491" s="18"/>
    </row>
    <row r="21492">
      <c r="C21492" s="18"/>
      <c r="D21492" s="19"/>
      <c r="E21492" s="57"/>
      <c r="H21492" s="18"/>
    </row>
    <row r="21493">
      <c r="C21493" s="18"/>
      <c r="D21493" s="19"/>
      <c r="E21493" s="57"/>
      <c r="H21493" s="18"/>
    </row>
    <row r="21494">
      <c r="C21494" s="18"/>
      <c r="D21494" s="19"/>
      <c r="E21494" s="57"/>
      <c r="H21494" s="18"/>
    </row>
    <row r="21495">
      <c r="C21495" s="18"/>
      <c r="D21495" s="19"/>
      <c r="E21495" s="57"/>
      <c r="H21495" s="18"/>
    </row>
    <row r="21496">
      <c r="C21496" s="18"/>
      <c r="D21496" s="19"/>
      <c r="E21496" s="57"/>
      <c r="H21496" s="18"/>
    </row>
    <row r="21497">
      <c r="C21497" s="18"/>
      <c r="D21497" s="19"/>
      <c r="E21497" s="57"/>
      <c r="H21497" s="18"/>
    </row>
    <row r="21498">
      <c r="C21498" s="18"/>
      <c r="D21498" s="19"/>
      <c r="E21498" s="57"/>
      <c r="H21498" s="18"/>
    </row>
    <row r="21499">
      <c r="C21499" s="18"/>
      <c r="D21499" s="19"/>
      <c r="E21499" s="57"/>
      <c r="H21499" s="18"/>
    </row>
    <row r="21500">
      <c r="C21500" s="18"/>
      <c r="D21500" s="19"/>
      <c r="E21500" s="57"/>
      <c r="H21500" s="18"/>
    </row>
    <row r="21501">
      <c r="C21501" s="18"/>
      <c r="D21501" s="19"/>
      <c r="E21501" s="57"/>
      <c r="H21501" s="18"/>
    </row>
    <row r="21502">
      <c r="C21502" s="18"/>
      <c r="D21502" s="19"/>
      <c r="E21502" s="57"/>
      <c r="H21502" s="18"/>
    </row>
    <row r="21503">
      <c r="C21503" s="18"/>
      <c r="D21503" s="19"/>
      <c r="E21503" s="57"/>
      <c r="H21503" s="18"/>
    </row>
    <row r="21504">
      <c r="C21504" s="18"/>
      <c r="D21504" s="19"/>
      <c r="E21504" s="57"/>
      <c r="H21504" s="18"/>
    </row>
    <row r="21505">
      <c r="C21505" s="18"/>
      <c r="D21505" s="19"/>
      <c r="E21505" s="57"/>
      <c r="H21505" s="18"/>
    </row>
    <row r="21506">
      <c r="C21506" s="18"/>
      <c r="D21506" s="19"/>
      <c r="E21506" s="57"/>
      <c r="H21506" s="18"/>
    </row>
    <row r="21507">
      <c r="C21507" s="18"/>
      <c r="D21507" s="19"/>
      <c r="E21507" s="57"/>
      <c r="H21507" s="18"/>
    </row>
    <row r="21508">
      <c r="C21508" s="18"/>
      <c r="D21508" s="19"/>
      <c r="E21508" s="57"/>
      <c r="H21508" s="18"/>
    </row>
    <row r="21509">
      <c r="C21509" s="18"/>
      <c r="D21509" s="19"/>
      <c r="E21509" s="57"/>
      <c r="H21509" s="18"/>
    </row>
    <row r="21510">
      <c r="C21510" s="18"/>
      <c r="D21510" s="19"/>
      <c r="E21510" s="57"/>
      <c r="H21510" s="18"/>
    </row>
    <row r="21511">
      <c r="C21511" s="18"/>
      <c r="D21511" s="19"/>
      <c r="E21511" s="57"/>
      <c r="H21511" s="18"/>
    </row>
    <row r="21512">
      <c r="C21512" s="18"/>
      <c r="D21512" s="19"/>
      <c r="E21512" s="57"/>
      <c r="H21512" s="18"/>
    </row>
    <row r="21513">
      <c r="C21513" s="18"/>
      <c r="D21513" s="19"/>
      <c r="E21513" s="57"/>
      <c r="H21513" s="18"/>
    </row>
    <row r="21514">
      <c r="C21514" s="18"/>
      <c r="D21514" s="19"/>
      <c r="E21514" s="57"/>
      <c r="H21514" s="18"/>
    </row>
    <row r="21515">
      <c r="C21515" s="18"/>
      <c r="D21515" s="19"/>
      <c r="E21515" s="57"/>
      <c r="H21515" s="18"/>
    </row>
    <row r="21516">
      <c r="C21516" s="18"/>
      <c r="D21516" s="19"/>
      <c r="E21516" s="57"/>
      <c r="H21516" s="18"/>
    </row>
    <row r="21517">
      <c r="C21517" s="18"/>
      <c r="D21517" s="19"/>
      <c r="E21517" s="57"/>
      <c r="H21517" s="18"/>
    </row>
    <row r="21518">
      <c r="C21518" s="18"/>
      <c r="D21518" s="19"/>
      <c r="E21518" s="57"/>
      <c r="H21518" s="18"/>
    </row>
    <row r="21519">
      <c r="C21519" s="18"/>
      <c r="D21519" s="19"/>
      <c r="E21519" s="57"/>
      <c r="H21519" s="18"/>
    </row>
    <row r="21520">
      <c r="C21520" s="18"/>
      <c r="D21520" s="19"/>
      <c r="E21520" s="57"/>
      <c r="H21520" s="18"/>
    </row>
    <row r="21521">
      <c r="C21521" s="18"/>
      <c r="D21521" s="19"/>
      <c r="E21521" s="57"/>
      <c r="H21521" s="18"/>
    </row>
    <row r="21522">
      <c r="C21522" s="18"/>
      <c r="D21522" s="19"/>
      <c r="E21522" s="57"/>
      <c r="H21522" s="18"/>
    </row>
    <row r="21523">
      <c r="C21523" s="18"/>
      <c r="D21523" s="19"/>
      <c r="E21523" s="57"/>
      <c r="H21523" s="18"/>
    </row>
    <row r="21524">
      <c r="C21524" s="18"/>
      <c r="D21524" s="19"/>
      <c r="E21524" s="57"/>
      <c r="H21524" s="18"/>
    </row>
    <row r="21525">
      <c r="C21525" s="18"/>
      <c r="D21525" s="19"/>
      <c r="E21525" s="57"/>
      <c r="H21525" s="18"/>
    </row>
    <row r="21526">
      <c r="C21526" s="18"/>
      <c r="D21526" s="19"/>
      <c r="E21526" s="57"/>
      <c r="H21526" s="18"/>
    </row>
    <row r="21527">
      <c r="C21527" s="18"/>
      <c r="D21527" s="19"/>
      <c r="E21527" s="57"/>
      <c r="H21527" s="18"/>
    </row>
    <row r="21528">
      <c r="C21528" s="18"/>
      <c r="D21528" s="19"/>
      <c r="E21528" s="57"/>
      <c r="H21528" s="18"/>
    </row>
    <row r="21529">
      <c r="C21529" s="18"/>
      <c r="D21529" s="19"/>
      <c r="E21529" s="57"/>
      <c r="H21529" s="18"/>
    </row>
    <row r="21530">
      <c r="C21530" s="18"/>
      <c r="D21530" s="19"/>
      <c r="E21530" s="57"/>
      <c r="H21530" s="18"/>
    </row>
    <row r="21531">
      <c r="C21531" s="18"/>
      <c r="D21531" s="19"/>
      <c r="E21531" s="57"/>
      <c r="H21531" s="18"/>
    </row>
    <row r="21532">
      <c r="C21532" s="18"/>
      <c r="D21532" s="19"/>
      <c r="E21532" s="57"/>
      <c r="H21532" s="18"/>
    </row>
    <row r="21533">
      <c r="C21533" s="18"/>
      <c r="D21533" s="19"/>
      <c r="E21533" s="57"/>
      <c r="H21533" s="18"/>
    </row>
    <row r="21534">
      <c r="C21534" s="18"/>
      <c r="D21534" s="19"/>
      <c r="E21534" s="57"/>
      <c r="H21534" s="18"/>
    </row>
    <row r="21535">
      <c r="C21535" s="18"/>
      <c r="D21535" s="19"/>
      <c r="E21535" s="57"/>
      <c r="H21535" s="18"/>
    </row>
    <row r="21536">
      <c r="C21536" s="18"/>
      <c r="D21536" s="19"/>
      <c r="E21536" s="57"/>
      <c r="H21536" s="18"/>
    </row>
    <row r="21537">
      <c r="C21537" s="18"/>
      <c r="D21537" s="19"/>
      <c r="E21537" s="57"/>
      <c r="H21537" s="18"/>
    </row>
    <row r="21538">
      <c r="C21538" s="18"/>
      <c r="D21538" s="19"/>
      <c r="E21538" s="57"/>
      <c r="H21538" s="18"/>
    </row>
    <row r="21539">
      <c r="C21539" s="18"/>
      <c r="D21539" s="19"/>
      <c r="E21539" s="57"/>
      <c r="H21539" s="18"/>
    </row>
    <row r="21540">
      <c r="C21540" s="18"/>
      <c r="D21540" s="19"/>
      <c r="E21540" s="57"/>
      <c r="H21540" s="18"/>
    </row>
    <row r="21541">
      <c r="C21541" s="18"/>
      <c r="D21541" s="19"/>
      <c r="E21541" s="57"/>
      <c r="H21541" s="18"/>
    </row>
    <row r="21542">
      <c r="C21542" s="18"/>
      <c r="D21542" s="19"/>
      <c r="E21542" s="57"/>
      <c r="H21542" s="18"/>
    </row>
    <row r="21543">
      <c r="C21543" s="18"/>
      <c r="D21543" s="19"/>
      <c r="E21543" s="57"/>
      <c r="H21543" s="18"/>
    </row>
    <row r="21544">
      <c r="C21544" s="18"/>
      <c r="D21544" s="19"/>
      <c r="E21544" s="57"/>
      <c r="H21544" s="18"/>
    </row>
    <row r="21545">
      <c r="C21545" s="18"/>
      <c r="D21545" s="19"/>
      <c r="E21545" s="57"/>
      <c r="H21545" s="18"/>
    </row>
    <row r="21546">
      <c r="C21546" s="18"/>
      <c r="D21546" s="19"/>
      <c r="E21546" s="57"/>
      <c r="H21546" s="18"/>
    </row>
    <row r="21547">
      <c r="C21547" s="18"/>
      <c r="D21547" s="19"/>
      <c r="E21547" s="57"/>
      <c r="H21547" s="18"/>
    </row>
    <row r="21548">
      <c r="C21548" s="18"/>
      <c r="D21548" s="19"/>
      <c r="E21548" s="57"/>
      <c r="H21548" s="18"/>
    </row>
    <row r="21549">
      <c r="C21549" s="18"/>
      <c r="D21549" s="19"/>
      <c r="E21549" s="57"/>
      <c r="H21549" s="18"/>
    </row>
    <row r="21550">
      <c r="C21550" s="18"/>
      <c r="D21550" s="19"/>
      <c r="E21550" s="57"/>
      <c r="H21550" s="18"/>
    </row>
    <row r="21551">
      <c r="C21551" s="18"/>
      <c r="D21551" s="19"/>
      <c r="E21551" s="57"/>
      <c r="H21551" s="18"/>
    </row>
    <row r="21552">
      <c r="C21552" s="18"/>
      <c r="D21552" s="19"/>
      <c r="E21552" s="57"/>
      <c r="H21552" s="18"/>
    </row>
    <row r="21553">
      <c r="C21553" s="18"/>
      <c r="D21553" s="19"/>
      <c r="E21553" s="57"/>
      <c r="H21553" s="18"/>
    </row>
    <row r="21554">
      <c r="C21554" s="18"/>
      <c r="D21554" s="19"/>
      <c r="E21554" s="57"/>
      <c r="H21554" s="18"/>
    </row>
    <row r="21555">
      <c r="C21555" s="18"/>
      <c r="D21555" s="19"/>
      <c r="E21555" s="57"/>
      <c r="H21555" s="18"/>
    </row>
    <row r="21556">
      <c r="C21556" s="18"/>
      <c r="D21556" s="19"/>
      <c r="E21556" s="57"/>
      <c r="H21556" s="18"/>
    </row>
    <row r="21557">
      <c r="C21557" s="18"/>
      <c r="D21557" s="19"/>
      <c r="E21557" s="57"/>
      <c r="H21557" s="18"/>
    </row>
    <row r="21558">
      <c r="C21558" s="18"/>
      <c r="D21558" s="19"/>
      <c r="E21558" s="57"/>
      <c r="H21558" s="18"/>
    </row>
    <row r="21559">
      <c r="C21559" s="18"/>
      <c r="D21559" s="19"/>
      <c r="E21559" s="57"/>
      <c r="H21559" s="18"/>
    </row>
    <row r="21560">
      <c r="C21560" s="18"/>
      <c r="D21560" s="19"/>
      <c r="E21560" s="57"/>
      <c r="H21560" s="18"/>
    </row>
    <row r="21561">
      <c r="C21561" s="18"/>
      <c r="D21561" s="19"/>
      <c r="E21561" s="57"/>
      <c r="H21561" s="18"/>
    </row>
    <row r="21562">
      <c r="C21562" s="18"/>
      <c r="D21562" s="19"/>
      <c r="E21562" s="57"/>
      <c r="H21562" s="18"/>
    </row>
    <row r="21563">
      <c r="C21563" s="18"/>
      <c r="D21563" s="19"/>
      <c r="E21563" s="57"/>
      <c r="H21563" s="18"/>
    </row>
    <row r="21564">
      <c r="C21564" s="18"/>
      <c r="D21564" s="19"/>
      <c r="E21564" s="57"/>
      <c r="H21564" s="18"/>
    </row>
    <row r="21565">
      <c r="C21565" s="18"/>
      <c r="D21565" s="19"/>
      <c r="E21565" s="57"/>
      <c r="H21565" s="18"/>
    </row>
    <row r="21566">
      <c r="C21566" s="18"/>
      <c r="D21566" s="19"/>
      <c r="E21566" s="57"/>
      <c r="H21566" s="18"/>
    </row>
    <row r="21567">
      <c r="C21567" s="18"/>
      <c r="D21567" s="19"/>
      <c r="E21567" s="57"/>
      <c r="H21567" s="18"/>
    </row>
    <row r="21568">
      <c r="C21568" s="18"/>
      <c r="D21568" s="19"/>
      <c r="E21568" s="57"/>
      <c r="H21568" s="18"/>
    </row>
    <row r="21569">
      <c r="C21569" s="18"/>
      <c r="D21569" s="19"/>
      <c r="E21569" s="57"/>
      <c r="H21569" s="18"/>
    </row>
    <row r="21570">
      <c r="C21570" s="18"/>
      <c r="D21570" s="19"/>
      <c r="E21570" s="57"/>
      <c r="H21570" s="18"/>
    </row>
    <row r="21571">
      <c r="C21571" s="18"/>
      <c r="D21571" s="19"/>
      <c r="E21571" s="57"/>
      <c r="H21571" s="18"/>
    </row>
    <row r="21572">
      <c r="C21572" s="18"/>
      <c r="D21572" s="19"/>
      <c r="E21572" s="57"/>
      <c r="H21572" s="18"/>
    </row>
    <row r="21573">
      <c r="C21573" s="18"/>
      <c r="D21573" s="19"/>
      <c r="E21573" s="57"/>
      <c r="H21573" s="18"/>
    </row>
    <row r="21574">
      <c r="C21574" s="18"/>
      <c r="D21574" s="19"/>
      <c r="E21574" s="57"/>
      <c r="H21574" s="18"/>
    </row>
    <row r="21575">
      <c r="C21575" s="18"/>
      <c r="D21575" s="19"/>
      <c r="E21575" s="57"/>
      <c r="H21575" s="18"/>
    </row>
    <row r="21576">
      <c r="C21576" s="18"/>
      <c r="D21576" s="19"/>
      <c r="E21576" s="57"/>
      <c r="H21576" s="18"/>
    </row>
    <row r="21577">
      <c r="C21577" s="18"/>
      <c r="D21577" s="19"/>
      <c r="E21577" s="57"/>
      <c r="H21577" s="18"/>
    </row>
    <row r="21578">
      <c r="C21578" s="18"/>
      <c r="D21578" s="19"/>
      <c r="E21578" s="57"/>
      <c r="H21578" s="18"/>
    </row>
    <row r="21579">
      <c r="C21579" s="18"/>
      <c r="D21579" s="19"/>
      <c r="E21579" s="57"/>
      <c r="H21579" s="18"/>
    </row>
    <row r="21580">
      <c r="C21580" s="18"/>
      <c r="D21580" s="19"/>
      <c r="E21580" s="57"/>
      <c r="H21580" s="18"/>
    </row>
    <row r="21581">
      <c r="C21581" s="18"/>
      <c r="D21581" s="19"/>
      <c r="E21581" s="57"/>
      <c r="H21581" s="18"/>
    </row>
    <row r="21582">
      <c r="C21582" s="18"/>
      <c r="D21582" s="19"/>
      <c r="E21582" s="57"/>
      <c r="H21582" s="18"/>
    </row>
    <row r="21583">
      <c r="C21583" s="18"/>
      <c r="D21583" s="19"/>
      <c r="E21583" s="57"/>
      <c r="H21583" s="18"/>
    </row>
    <row r="21584">
      <c r="C21584" s="18"/>
      <c r="D21584" s="19"/>
      <c r="E21584" s="57"/>
      <c r="H21584" s="18"/>
    </row>
    <row r="21585">
      <c r="C21585" s="18"/>
      <c r="D21585" s="19"/>
      <c r="E21585" s="57"/>
      <c r="H21585" s="18"/>
    </row>
    <row r="21586">
      <c r="C21586" s="18"/>
      <c r="D21586" s="19"/>
      <c r="E21586" s="57"/>
      <c r="H21586" s="18"/>
    </row>
    <row r="21587">
      <c r="C21587" s="18"/>
      <c r="D21587" s="19"/>
      <c r="E21587" s="57"/>
      <c r="H21587" s="18"/>
    </row>
    <row r="21588">
      <c r="C21588" s="18"/>
      <c r="D21588" s="19"/>
      <c r="E21588" s="57"/>
      <c r="H21588" s="18"/>
    </row>
    <row r="21589">
      <c r="C21589" s="18"/>
      <c r="D21589" s="19"/>
      <c r="E21589" s="57"/>
      <c r="H21589" s="18"/>
    </row>
    <row r="21590">
      <c r="C21590" s="18"/>
      <c r="D21590" s="19"/>
      <c r="E21590" s="57"/>
      <c r="H21590" s="18"/>
    </row>
    <row r="21591">
      <c r="C21591" s="18"/>
      <c r="D21591" s="19"/>
      <c r="E21591" s="57"/>
      <c r="H21591" s="18"/>
    </row>
    <row r="21592">
      <c r="C21592" s="18"/>
      <c r="D21592" s="19"/>
      <c r="E21592" s="57"/>
      <c r="H21592" s="18"/>
    </row>
    <row r="21593">
      <c r="C21593" s="18"/>
      <c r="D21593" s="19"/>
      <c r="E21593" s="57"/>
      <c r="H21593" s="18"/>
    </row>
    <row r="21594">
      <c r="C21594" s="18"/>
      <c r="D21594" s="19"/>
      <c r="E21594" s="57"/>
      <c r="H21594" s="18"/>
    </row>
    <row r="21595">
      <c r="C21595" s="18"/>
      <c r="D21595" s="19"/>
      <c r="E21595" s="57"/>
      <c r="H21595" s="18"/>
    </row>
    <row r="21596">
      <c r="C21596" s="18"/>
      <c r="D21596" s="19"/>
      <c r="E21596" s="57"/>
      <c r="H21596" s="18"/>
    </row>
    <row r="21597">
      <c r="C21597" s="18"/>
      <c r="D21597" s="19"/>
      <c r="E21597" s="57"/>
      <c r="H21597" s="18"/>
    </row>
    <row r="21598">
      <c r="C21598" s="18"/>
      <c r="D21598" s="19"/>
      <c r="E21598" s="57"/>
      <c r="H21598" s="18"/>
    </row>
    <row r="21599">
      <c r="C21599" s="18"/>
      <c r="D21599" s="19"/>
      <c r="E21599" s="57"/>
      <c r="H21599" s="18"/>
    </row>
    <row r="21600">
      <c r="C21600" s="18"/>
      <c r="D21600" s="19"/>
      <c r="E21600" s="57"/>
      <c r="H21600" s="18"/>
    </row>
    <row r="21601">
      <c r="C21601" s="18"/>
      <c r="D21601" s="19"/>
      <c r="E21601" s="57"/>
      <c r="H21601" s="18"/>
    </row>
    <row r="21602">
      <c r="C21602" s="18"/>
      <c r="D21602" s="19"/>
      <c r="E21602" s="57"/>
      <c r="H21602" s="18"/>
    </row>
    <row r="21603">
      <c r="C21603" s="18"/>
      <c r="D21603" s="19"/>
      <c r="E21603" s="57"/>
      <c r="H21603" s="18"/>
    </row>
    <row r="21604">
      <c r="C21604" s="18"/>
      <c r="D21604" s="19"/>
      <c r="E21604" s="57"/>
      <c r="H21604" s="18"/>
    </row>
    <row r="21605">
      <c r="C21605" s="18"/>
      <c r="D21605" s="19"/>
      <c r="E21605" s="57"/>
      <c r="H21605" s="18"/>
    </row>
    <row r="21606">
      <c r="C21606" s="18"/>
      <c r="D21606" s="19"/>
      <c r="E21606" s="57"/>
      <c r="H21606" s="18"/>
    </row>
    <row r="21607">
      <c r="C21607" s="18"/>
      <c r="D21607" s="19"/>
      <c r="E21607" s="57"/>
      <c r="H21607" s="18"/>
    </row>
    <row r="21608">
      <c r="C21608" s="18"/>
      <c r="D21608" s="19"/>
      <c r="E21608" s="57"/>
      <c r="H21608" s="18"/>
    </row>
    <row r="21609">
      <c r="C21609" s="18"/>
      <c r="D21609" s="19"/>
      <c r="E21609" s="57"/>
      <c r="H21609" s="18"/>
    </row>
    <row r="21610">
      <c r="C21610" s="18"/>
      <c r="D21610" s="19"/>
      <c r="E21610" s="57"/>
      <c r="H21610" s="18"/>
    </row>
    <row r="21611">
      <c r="C21611" s="18"/>
      <c r="D21611" s="19"/>
      <c r="E21611" s="57"/>
      <c r="H21611" s="18"/>
    </row>
    <row r="21612">
      <c r="C21612" s="18"/>
      <c r="D21612" s="19"/>
      <c r="E21612" s="57"/>
      <c r="H21612" s="18"/>
    </row>
    <row r="21613">
      <c r="C21613" s="18"/>
      <c r="D21613" s="19"/>
      <c r="E21613" s="57"/>
      <c r="H21613" s="18"/>
    </row>
    <row r="21614">
      <c r="C21614" s="18"/>
      <c r="D21614" s="19"/>
      <c r="E21614" s="57"/>
      <c r="H21614" s="18"/>
    </row>
    <row r="21615">
      <c r="C21615" s="18"/>
      <c r="D21615" s="19"/>
      <c r="E21615" s="57"/>
      <c r="H21615" s="18"/>
    </row>
    <row r="21616">
      <c r="C21616" s="18"/>
      <c r="D21616" s="19"/>
      <c r="E21616" s="57"/>
      <c r="H21616" s="18"/>
    </row>
    <row r="21617">
      <c r="C21617" s="18"/>
      <c r="D21617" s="19"/>
      <c r="E21617" s="57"/>
      <c r="H21617" s="18"/>
    </row>
    <row r="21618">
      <c r="C21618" s="18"/>
      <c r="D21618" s="19"/>
      <c r="E21618" s="57"/>
      <c r="H21618" s="18"/>
    </row>
    <row r="21619">
      <c r="C21619" s="18"/>
      <c r="D21619" s="19"/>
      <c r="E21619" s="57"/>
      <c r="H21619" s="18"/>
    </row>
    <row r="21620">
      <c r="C21620" s="18"/>
      <c r="D21620" s="19"/>
      <c r="E21620" s="57"/>
      <c r="H21620" s="18"/>
    </row>
    <row r="21621">
      <c r="C21621" s="18"/>
      <c r="D21621" s="19"/>
      <c r="E21621" s="57"/>
      <c r="H21621" s="18"/>
    </row>
    <row r="21622">
      <c r="C21622" s="18"/>
      <c r="D21622" s="19"/>
      <c r="E21622" s="57"/>
      <c r="H21622" s="18"/>
    </row>
    <row r="21623">
      <c r="C21623" s="18"/>
      <c r="D21623" s="19"/>
      <c r="E21623" s="57"/>
      <c r="H21623" s="18"/>
    </row>
    <row r="21624">
      <c r="C21624" s="18"/>
      <c r="D21624" s="19"/>
      <c r="E21624" s="57"/>
      <c r="H21624" s="18"/>
    </row>
    <row r="21625">
      <c r="C21625" s="18"/>
      <c r="D21625" s="19"/>
      <c r="E21625" s="57"/>
      <c r="H21625" s="18"/>
    </row>
    <row r="21626">
      <c r="C21626" s="18"/>
      <c r="D21626" s="19"/>
      <c r="E21626" s="57"/>
      <c r="H21626" s="18"/>
    </row>
    <row r="21627">
      <c r="C21627" s="18"/>
      <c r="D21627" s="19"/>
      <c r="E21627" s="57"/>
      <c r="H21627" s="18"/>
    </row>
    <row r="21628">
      <c r="C21628" s="18"/>
      <c r="D21628" s="19"/>
      <c r="E21628" s="57"/>
      <c r="H21628" s="18"/>
    </row>
    <row r="21629">
      <c r="C21629" s="18"/>
      <c r="D21629" s="19"/>
      <c r="E21629" s="57"/>
      <c r="H21629" s="18"/>
    </row>
    <row r="21630">
      <c r="C21630" s="18"/>
      <c r="D21630" s="19"/>
      <c r="E21630" s="57"/>
      <c r="H21630" s="18"/>
    </row>
    <row r="21631">
      <c r="C21631" s="18"/>
      <c r="D21631" s="19"/>
      <c r="E21631" s="57"/>
      <c r="H21631" s="18"/>
    </row>
    <row r="21632">
      <c r="C21632" s="18"/>
      <c r="D21632" s="19"/>
      <c r="E21632" s="57"/>
      <c r="H21632" s="18"/>
    </row>
    <row r="21633">
      <c r="C21633" s="18"/>
      <c r="D21633" s="19"/>
      <c r="E21633" s="57"/>
      <c r="H21633" s="18"/>
    </row>
    <row r="21634">
      <c r="C21634" s="18"/>
      <c r="D21634" s="19"/>
      <c r="E21634" s="57"/>
      <c r="H21634" s="18"/>
    </row>
    <row r="21635">
      <c r="C21635" s="18"/>
      <c r="D21635" s="19"/>
      <c r="E21635" s="57"/>
      <c r="H21635" s="18"/>
    </row>
    <row r="21636">
      <c r="C21636" s="18"/>
      <c r="D21636" s="19"/>
      <c r="E21636" s="57"/>
      <c r="H21636" s="18"/>
    </row>
    <row r="21637">
      <c r="C21637" s="18"/>
      <c r="D21637" s="19"/>
      <c r="E21637" s="57"/>
      <c r="H21637" s="18"/>
    </row>
    <row r="21638">
      <c r="C21638" s="18"/>
      <c r="D21638" s="19"/>
      <c r="E21638" s="57"/>
      <c r="H21638" s="18"/>
    </row>
    <row r="21639">
      <c r="C21639" s="18"/>
      <c r="D21639" s="19"/>
      <c r="E21639" s="57"/>
      <c r="H21639" s="18"/>
    </row>
    <row r="21640">
      <c r="C21640" s="18"/>
      <c r="D21640" s="19"/>
      <c r="E21640" s="57"/>
      <c r="H21640" s="18"/>
    </row>
    <row r="21641">
      <c r="C21641" s="18"/>
      <c r="D21641" s="19"/>
      <c r="E21641" s="57"/>
      <c r="H21641" s="18"/>
    </row>
    <row r="21642">
      <c r="C21642" s="18"/>
      <c r="D21642" s="19"/>
      <c r="E21642" s="57"/>
      <c r="H21642" s="18"/>
    </row>
    <row r="21643">
      <c r="C21643" s="18"/>
      <c r="D21643" s="19"/>
      <c r="E21643" s="57"/>
      <c r="H21643" s="18"/>
    </row>
    <row r="21644">
      <c r="C21644" s="18"/>
      <c r="D21644" s="19"/>
      <c r="E21644" s="57"/>
      <c r="H21644" s="18"/>
    </row>
    <row r="21645">
      <c r="C21645" s="18"/>
      <c r="D21645" s="19"/>
      <c r="E21645" s="57"/>
      <c r="H21645" s="18"/>
    </row>
    <row r="21646">
      <c r="C21646" s="18"/>
      <c r="D21646" s="19"/>
      <c r="E21646" s="57"/>
      <c r="H21646" s="18"/>
    </row>
    <row r="21647">
      <c r="C21647" s="18"/>
      <c r="D21647" s="19"/>
      <c r="E21647" s="57"/>
      <c r="H21647" s="18"/>
    </row>
    <row r="21648">
      <c r="C21648" s="18"/>
      <c r="D21648" s="19"/>
      <c r="E21648" s="57"/>
      <c r="H21648" s="18"/>
    </row>
    <row r="21649">
      <c r="C21649" s="18"/>
      <c r="D21649" s="19"/>
      <c r="E21649" s="57"/>
      <c r="H21649" s="18"/>
    </row>
    <row r="21650">
      <c r="C21650" s="18"/>
      <c r="D21650" s="19"/>
      <c r="E21650" s="57"/>
      <c r="H21650" s="18"/>
    </row>
    <row r="21651">
      <c r="C21651" s="18"/>
      <c r="D21651" s="19"/>
      <c r="E21651" s="57"/>
      <c r="H21651" s="18"/>
    </row>
    <row r="21652">
      <c r="C21652" s="18"/>
      <c r="D21652" s="19"/>
      <c r="E21652" s="57"/>
      <c r="H21652" s="18"/>
    </row>
    <row r="21653">
      <c r="C21653" s="18"/>
      <c r="D21653" s="19"/>
      <c r="E21653" s="57"/>
      <c r="H21653" s="18"/>
    </row>
    <row r="21654">
      <c r="C21654" s="18"/>
      <c r="D21654" s="19"/>
      <c r="E21654" s="57"/>
      <c r="H21654" s="18"/>
    </row>
    <row r="21655">
      <c r="C21655" s="18"/>
      <c r="D21655" s="19"/>
      <c r="E21655" s="57"/>
      <c r="H21655" s="18"/>
    </row>
    <row r="21656">
      <c r="C21656" s="18"/>
      <c r="D21656" s="19"/>
      <c r="E21656" s="57"/>
      <c r="H21656" s="18"/>
    </row>
    <row r="21657">
      <c r="C21657" s="18"/>
      <c r="D21657" s="19"/>
      <c r="E21657" s="57"/>
      <c r="H21657" s="18"/>
    </row>
    <row r="21658">
      <c r="C21658" s="18"/>
      <c r="D21658" s="19"/>
      <c r="E21658" s="57"/>
      <c r="H21658" s="18"/>
    </row>
    <row r="21659">
      <c r="C21659" s="18"/>
      <c r="D21659" s="19"/>
      <c r="E21659" s="57"/>
      <c r="H21659" s="18"/>
    </row>
    <row r="21660">
      <c r="C21660" s="18"/>
      <c r="D21660" s="19"/>
      <c r="E21660" s="57"/>
      <c r="H21660" s="18"/>
    </row>
    <row r="21661">
      <c r="C21661" s="18"/>
      <c r="D21661" s="19"/>
      <c r="E21661" s="57"/>
      <c r="H21661" s="18"/>
    </row>
    <row r="21662">
      <c r="C21662" s="18"/>
      <c r="D21662" s="19"/>
      <c r="E21662" s="57"/>
      <c r="H21662" s="18"/>
    </row>
    <row r="21663">
      <c r="C21663" s="18"/>
      <c r="D21663" s="19"/>
      <c r="E21663" s="57"/>
      <c r="H21663" s="18"/>
    </row>
    <row r="21664">
      <c r="C21664" s="18"/>
      <c r="D21664" s="19"/>
      <c r="E21664" s="57"/>
      <c r="H21664" s="18"/>
    </row>
    <row r="21665">
      <c r="C21665" s="18"/>
      <c r="D21665" s="19"/>
      <c r="E21665" s="57"/>
      <c r="H21665" s="18"/>
    </row>
    <row r="21666">
      <c r="C21666" s="18"/>
      <c r="D21666" s="19"/>
      <c r="E21666" s="57"/>
      <c r="H21666" s="18"/>
    </row>
    <row r="21667">
      <c r="C21667" s="18"/>
      <c r="D21667" s="19"/>
      <c r="E21667" s="57"/>
      <c r="H21667" s="18"/>
    </row>
    <row r="21668">
      <c r="C21668" s="18"/>
      <c r="D21668" s="19"/>
      <c r="E21668" s="57"/>
      <c r="H21668" s="18"/>
    </row>
    <row r="21669">
      <c r="C21669" s="18"/>
      <c r="D21669" s="19"/>
      <c r="E21669" s="57"/>
      <c r="H21669" s="18"/>
    </row>
    <row r="21670">
      <c r="C21670" s="18"/>
      <c r="D21670" s="19"/>
      <c r="E21670" s="57"/>
      <c r="H21670" s="18"/>
    </row>
    <row r="21671">
      <c r="C21671" s="18"/>
      <c r="D21671" s="19"/>
      <c r="E21671" s="57"/>
      <c r="H21671" s="18"/>
    </row>
    <row r="21672">
      <c r="C21672" s="18"/>
      <c r="D21672" s="19"/>
      <c r="E21672" s="57"/>
      <c r="H21672" s="18"/>
    </row>
    <row r="21673">
      <c r="C21673" s="18"/>
      <c r="D21673" s="19"/>
      <c r="E21673" s="57"/>
      <c r="H21673" s="18"/>
    </row>
    <row r="21674">
      <c r="C21674" s="18"/>
      <c r="D21674" s="19"/>
      <c r="E21674" s="57"/>
      <c r="H21674" s="18"/>
    </row>
    <row r="21675">
      <c r="C21675" s="18"/>
      <c r="D21675" s="19"/>
      <c r="E21675" s="57"/>
      <c r="H21675" s="18"/>
    </row>
    <row r="21676">
      <c r="C21676" s="18"/>
      <c r="D21676" s="19"/>
      <c r="E21676" s="57"/>
      <c r="H21676" s="18"/>
    </row>
    <row r="21677">
      <c r="C21677" s="18"/>
      <c r="D21677" s="19"/>
      <c r="E21677" s="57"/>
      <c r="H21677" s="18"/>
    </row>
    <row r="21678">
      <c r="C21678" s="18"/>
      <c r="D21678" s="19"/>
      <c r="E21678" s="57"/>
      <c r="H21678" s="18"/>
    </row>
    <row r="21679">
      <c r="C21679" s="18"/>
      <c r="D21679" s="19"/>
      <c r="E21679" s="57"/>
      <c r="H21679" s="18"/>
    </row>
    <row r="21680">
      <c r="C21680" s="18"/>
      <c r="D21680" s="19"/>
      <c r="E21680" s="57"/>
      <c r="H21680" s="18"/>
    </row>
    <row r="21681">
      <c r="C21681" s="18"/>
      <c r="D21681" s="19"/>
      <c r="E21681" s="57"/>
      <c r="H21681" s="18"/>
    </row>
    <row r="21682">
      <c r="C21682" s="18"/>
      <c r="D21682" s="19"/>
      <c r="E21682" s="57"/>
      <c r="H21682" s="18"/>
    </row>
    <row r="21683">
      <c r="C21683" s="18"/>
      <c r="D21683" s="19"/>
      <c r="E21683" s="57"/>
      <c r="H21683" s="18"/>
    </row>
    <row r="21684">
      <c r="C21684" s="18"/>
      <c r="D21684" s="19"/>
      <c r="E21684" s="57"/>
      <c r="H21684" s="18"/>
    </row>
    <row r="21685">
      <c r="C21685" s="18"/>
      <c r="D21685" s="19"/>
      <c r="E21685" s="57"/>
      <c r="H21685" s="18"/>
    </row>
    <row r="21686">
      <c r="C21686" s="18"/>
      <c r="D21686" s="19"/>
      <c r="E21686" s="57"/>
      <c r="H21686" s="18"/>
    </row>
    <row r="21687">
      <c r="C21687" s="18"/>
      <c r="D21687" s="19"/>
      <c r="E21687" s="57"/>
      <c r="H21687" s="18"/>
    </row>
    <row r="21688">
      <c r="C21688" s="18"/>
      <c r="D21688" s="19"/>
      <c r="E21688" s="57"/>
      <c r="H21688" s="18"/>
    </row>
    <row r="21689">
      <c r="C21689" s="18"/>
      <c r="D21689" s="19"/>
      <c r="E21689" s="57"/>
      <c r="H21689" s="18"/>
    </row>
    <row r="21690">
      <c r="C21690" s="18"/>
      <c r="D21690" s="19"/>
      <c r="E21690" s="57"/>
      <c r="H21690" s="18"/>
    </row>
    <row r="21691">
      <c r="C21691" s="18"/>
      <c r="D21691" s="19"/>
      <c r="E21691" s="57"/>
      <c r="H21691" s="18"/>
    </row>
    <row r="21692">
      <c r="C21692" s="18"/>
      <c r="D21692" s="19"/>
      <c r="E21692" s="57"/>
      <c r="H21692" s="18"/>
    </row>
    <row r="21693">
      <c r="C21693" s="18"/>
      <c r="D21693" s="19"/>
      <c r="E21693" s="57"/>
      <c r="H21693" s="18"/>
    </row>
    <row r="21694">
      <c r="C21694" s="18"/>
      <c r="D21694" s="19"/>
      <c r="E21694" s="57"/>
      <c r="H21694" s="18"/>
    </row>
    <row r="21695">
      <c r="C21695" s="18"/>
      <c r="D21695" s="19"/>
      <c r="E21695" s="57"/>
      <c r="H21695" s="18"/>
    </row>
    <row r="21696">
      <c r="C21696" s="18"/>
      <c r="D21696" s="19"/>
      <c r="E21696" s="57"/>
      <c r="H21696" s="18"/>
    </row>
    <row r="21697">
      <c r="C21697" s="18"/>
      <c r="D21697" s="19"/>
      <c r="E21697" s="57"/>
      <c r="H21697" s="18"/>
    </row>
    <row r="21698">
      <c r="C21698" s="18"/>
      <c r="D21698" s="19"/>
      <c r="E21698" s="57"/>
      <c r="H21698" s="18"/>
    </row>
    <row r="21699">
      <c r="C21699" s="18"/>
      <c r="D21699" s="19"/>
      <c r="E21699" s="57"/>
      <c r="H21699" s="18"/>
    </row>
    <row r="21700">
      <c r="C21700" s="18"/>
      <c r="D21700" s="19"/>
      <c r="E21700" s="57"/>
      <c r="H21700" s="18"/>
    </row>
    <row r="21701">
      <c r="C21701" s="18"/>
      <c r="D21701" s="19"/>
      <c r="E21701" s="57"/>
      <c r="H21701" s="18"/>
    </row>
    <row r="21702">
      <c r="C21702" s="18"/>
      <c r="D21702" s="19"/>
      <c r="E21702" s="57"/>
      <c r="H21702" s="18"/>
    </row>
    <row r="21703">
      <c r="C21703" s="18"/>
      <c r="D21703" s="19"/>
      <c r="E21703" s="57"/>
      <c r="H21703" s="18"/>
    </row>
    <row r="21704">
      <c r="C21704" s="18"/>
      <c r="D21704" s="19"/>
      <c r="E21704" s="57"/>
      <c r="H21704" s="18"/>
    </row>
    <row r="21705">
      <c r="C21705" s="18"/>
      <c r="D21705" s="19"/>
      <c r="E21705" s="57"/>
      <c r="H21705" s="18"/>
    </row>
    <row r="21706">
      <c r="C21706" s="18"/>
      <c r="D21706" s="19"/>
      <c r="E21706" s="57"/>
      <c r="H21706" s="18"/>
    </row>
    <row r="21707">
      <c r="C21707" s="18"/>
      <c r="D21707" s="19"/>
      <c r="E21707" s="57"/>
      <c r="H21707" s="18"/>
    </row>
    <row r="21708">
      <c r="C21708" s="18"/>
      <c r="D21708" s="19"/>
      <c r="E21708" s="57"/>
      <c r="H21708" s="18"/>
    </row>
    <row r="21709">
      <c r="C21709" s="18"/>
      <c r="D21709" s="19"/>
      <c r="E21709" s="57"/>
      <c r="H21709" s="18"/>
    </row>
    <row r="21710">
      <c r="C21710" s="18"/>
      <c r="D21710" s="19"/>
      <c r="E21710" s="57"/>
      <c r="H21710" s="18"/>
    </row>
    <row r="21711">
      <c r="C21711" s="18"/>
      <c r="D21711" s="19"/>
      <c r="E21711" s="57"/>
      <c r="H21711" s="18"/>
    </row>
    <row r="21712">
      <c r="C21712" s="18"/>
      <c r="D21712" s="19"/>
      <c r="E21712" s="57"/>
      <c r="H21712" s="18"/>
    </row>
    <row r="21713">
      <c r="C21713" s="18"/>
      <c r="D21713" s="19"/>
      <c r="E21713" s="57"/>
      <c r="H21713" s="18"/>
    </row>
    <row r="21714">
      <c r="C21714" s="18"/>
      <c r="D21714" s="19"/>
      <c r="E21714" s="57"/>
      <c r="H21714" s="18"/>
    </row>
    <row r="21715">
      <c r="C21715" s="18"/>
      <c r="D21715" s="19"/>
      <c r="E21715" s="57"/>
      <c r="H21715" s="18"/>
    </row>
    <row r="21716">
      <c r="C21716" s="18"/>
      <c r="D21716" s="19"/>
      <c r="E21716" s="57"/>
      <c r="H21716" s="18"/>
    </row>
    <row r="21717">
      <c r="C21717" s="18"/>
      <c r="D21717" s="19"/>
      <c r="E21717" s="57"/>
      <c r="H21717" s="18"/>
    </row>
    <row r="21718">
      <c r="C21718" s="18"/>
      <c r="D21718" s="19"/>
      <c r="E21718" s="57"/>
      <c r="H21718" s="18"/>
    </row>
    <row r="21719">
      <c r="C21719" s="18"/>
      <c r="D21719" s="19"/>
      <c r="E21719" s="57"/>
      <c r="H21719" s="18"/>
    </row>
    <row r="21720">
      <c r="C21720" s="18"/>
      <c r="D21720" s="19"/>
      <c r="E21720" s="57"/>
      <c r="H21720" s="18"/>
    </row>
    <row r="21721">
      <c r="C21721" s="18"/>
      <c r="D21721" s="19"/>
      <c r="E21721" s="57"/>
      <c r="H21721" s="18"/>
    </row>
    <row r="21722">
      <c r="C21722" s="18"/>
      <c r="D21722" s="19"/>
      <c r="E21722" s="57"/>
      <c r="H21722" s="18"/>
    </row>
    <row r="21723">
      <c r="C21723" s="18"/>
      <c r="D21723" s="19"/>
      <c r="E21723" s="57"/>
      <c r="H21723" s="18"/>
    </row>
    <row r="21724">
      <c r="C21724" s="18"/>
      <c r="D21724" s="19"/>
      <c r="E21724" s="57"/>
      <c r="H21724" s="18"/>
    </row>
    <row r="21725">
      <c r="C21725" s="18"/>
      <c r="D21725" s="19"/>
      <c r="E21725" s="57"/>
      <c r="H21725" s="18"/>
    </row>
    <row r="21726">
      <c r="C21726" s="18"/>
      <c r="D21726" s="19"/>
      <c r="E21726" s="57"/>
      <c r="H21726" s="18"/>
    </row>
    <row r="21727">
      <c r="C21727" s="18"/>
      <c r="D21727" s="19"/>
      <c r="E21727" s="57"/>
      <c r="H21727" s="18"/>
    </row>
    <row r="21728">
      <c r="C21728" s="18"/>
      <c r="D21728" s="19"/>
      <c r="E21728" s="57"/>
      <c r="H21728" s="18"/>
    </row>
    <row r="21729">
      <c r="C21729" s="18"/>
      <c r="D21729" s="19"/>
      <c r="E21729" s="57"/>
      <c r="H21729" s="18"/>
    </row>
    <row r="21730">
      <c r="C21730" s="18"/>
      <c r="D21730" s="19"/>
      <c r="E21730" s="57"/>
      <c r="H21730" s="18"/>
    </row>
    <row r="21731">
      <c r="C21731" s="18"/>
      <c r="D21731" s="19"/>
      <c r="E21731" s="57"/>
      <c r="H21731" s="18"/>
    </row>
    <row r="21732">
      <c r="C21732" s="18"/>
      <c r="D21732" s="19"/>
      <c r="E21732" s="57"/>
      <c r="H21732" s="18"/>
    </row>
    <row r="21733">
      <c r="C21733" s="18"/>
      <c r="D21733" s="19"/>
      <c r="E21733" s="57"/>
      <c r="H21733" s="18"/>
    </row>
    <row r="21734">
      <c r="C21734" s="18"/>
      <c r="D21734" s="19"/>
      <c r="E21734" s="57"/>
      <c r="H21734" s="18"/>
    </row>
    <row r="21735">
      <c r="C21735" s="18"/>
      <c r="D21735" s="19"/>
      <c r="E21735" s="57"/>
      <c r="H21735" s="18"/>
    </row>
    <row r="21736">
      <c r="C21736" s="18"/>
      <c r="D21736" s="19"/>
      <c r="E21736" s="57"/>
      <c r="H21736" s="18"/>
    </row>
    <row r="21737">
      <c r="C21737" s="18"/>
      <c r="D21737" s="19"/>
      <c r="E21737" s="57"/>
      <c r="H21737" s="18"/>
    </row>
    <row r="21738">
      <c r="C21738" s="18"/>
      <c r="D21738" s="19"/>
      <c r="E21738" s="57"/>
      <c r="H21738" s="18"/>
    </row>
    <row r="21739">
      <c r="C21739" s="18"/>
      <c r="D21739" s="19"/>
      <c r="E21739" s="57"/>
      <c r="H21739" s="18"/>
    </row>
    <row r="21740">
      <c r="C21740" s="18"/>
      <c r="D21740" s="19"/>
      <c r="E21740" s="57"/>
      <c r="H21740" s="18"/>
    </row>
    <row r="21741">
      <c r="C21741" s="18"/>
      <c r="D21741" s="19"/>
      <c r="E21741" s="57"/>
      <c r="H21741" s="18"/>
    </row>
    <row r="21742">
      <c r="C21742" s="18"/>
      <c r="D21742" s="19"/>
      <c r="E21742" s="57"/>
      <c r="H21742" s="18"/>
    </row>
    <row r="21743">
      <c r="C21743" s="18"/>
      <c r="D21743" s="19"/>
      <c r="E21743" s="57"/>
      <c r="H21743" s="18"/>
    </row>
    <row r="21744">
      <c r="C21744" s="18"/>
      <c r="D21744" s="19"/>
      <c r="E21744" s="57"/>
      <c r="H21744" s="18"/>
    </row>
    <row r="21745">
      <c r="C21745" s="18"/>
      <c r="D21745" s="19"/>
      <c r="E21745" s="57"/>
      <c r="H21745" s="18"/>
    </row>
    <row r="21746">
      <c r="C21746" s="18"/>
      <c r="D21746" s="19"/>
      <c r="E21746" s="57"/>
      <c r="H21746" s="18"/>
    </row>
    <row r="21747">
      <c r="C21747" s="18"/>
      <c r="D21747" s="19"/>
      <c r="E21747" s="57"/>
      <c r="H21747" s="18"/>
    </row>
    <row r="21748">
      <c r="C21748" s="18"/>
      <c r="D21748" s="19"/>
      <c r="E21748" s="57"/>
      <c r="H21748" s="18"/>
    </row>
    <row r="21749">
      <c r="C21749" s="18"/>
      <c r="D21749" s="19"/>
      <c r="E21749" s="57"/>
      <c r="H21749" s="18"/>
    </row>
    <row r="21750">
      <c r="C21750" s="18"/>
      <c r="D21750" s="19"/>
      <c r="E21750" s="57"/>
      <c r="H21750" s="18"/>
    </row>
    <row r="21751">
      <c r="C21751" s="18"/>
      <c r="D21751" s="19"/>
      <c r="E21751" s="57"/>
      <c r="H21751" s="18"/>
    </row>
    <row r="21752">
      <c r="C21752" s="18"/>
      <c r="D21752" s="19"/>
      <c r="E21752" s="57"/>
      <c r="H21752" s="18"/>
    </row>
    <row r="21753">
      <c r="C21753" s="18"/>
      <c r="D21753" s="19"/>
      <c r="E21753" s="57"/>
      <c r="H21753" s="18"/>
    </row>
    <row r="21754">
      <c r="C21754" s="18"/>
      <c r="D21754" s="19"/>
      <c r="E21754" s="57"/>
      <c r="H21754" s="18"/>
    </row>
    <row r="21755">
      <c r="C21755" s="18"/>
      <c r="D21755" s="19"/>
      <c r="E21755" s="57"/>
      <c r="H21755" s="18"/>
    </row>
    <row r="21756">
      <c r="C21756" s="18"/>
      <c r="D21756" s="19"/>
      <c r="E21756" s="57"/>
      <c r="H21756" s="18"/>
    </row>
    <row r="21757">
      <c r="C21757" s="18"/>
      <c r="D21757" s="19"/>
      <c r="E21757" s="57"/>
      <c r="H21757" s="18"/>
    </row>
    <row r="21758">
      <c r="C21758" s="18"/>
      <c r="D21758" s="19"/>
      <c r="E21758" s="57"/>
      <c r="H21758" s="18"/>
    </row>
    <row r="21759">
      <c r="C21759" s="18"/>
      <c r="D21759" s="19"/>
      <c r="E21759" s="57"/>
      <c r="H21759" s="18"/>
    </row>
    <row r="21760">
      <c r="C21760" s="18"/>
      <c r="D21760" s="19"/>
      <c r="E21760" s="57"/>
      <c r="H21760" s="18"/>
    </row>
    <row r="21761">
      <c r="C21761" s="18"/>
      <c r="D21761" s="19"/>
      <c r="E21761" s="57"/>
      <c r="H21761" s="18"/>
    </row>
    <row r="21762">
      <c r="C21762" s="18"/>
      <c r="D21762" s="19"/>
      <c r="E21762" s="57"/>
      <c r="H21762" s="18"/>
    </row>
    <row r="21763">
      <c r="C21763" s="18"/>
      <c r="D21763" s="19"/>
      <c r="E21763" s="57"/>
      <c r="H21763" s="18"/>
    </row>
    <row r="21764">
      <c r="C21764" s="18"/>
      <c r="D21764" s="19"/>
      <c r="E21764" s="57"/>
      <c r="H21764" s="18"/>
    </row>
    <row r="21765">
      <c r="C21765" s="18"/>
      <c r="D21765" s="19"/>
      <c r="E21765" s="57"/>
      <c r="H21765" s="18"/>
    </row>
    <row r="21766">
      <c r="C21766" s="18"/>
      <c r="D21766" s="19"/>
      <c r="E21766" s="57"/>
      <c r="H21766" s="18"/>
    </row>
    <row r="21767">
      <c r="C21767" s="18"/>
      <c r="D21767" s="19"/>
      <c r="E21767" s="57"/>
      <c r="H21767" s="18"/>
    </row>
    <row r="21768">
      <c r="C21768" s="18"/>
      <c r="D21768" s="19"/>
      <c r="E21768" s="57"/>
      <c r="H21768" s="18"/>
    </row>
    <row r="21769">
      <c r="C21769" s="18"/>
      <c r="D21769" s="19"/>
      <c r="E21769" s="57"/>
      <c r="H21769" s="18"/>
    </row>
    <row r="21770">
      <c r="C21770" s="18"/>
      <c r="D21770" s="19"/>
      <c r="E21770" s="57"/>
      <c r="H21770" s="18"/>
    </row>
    <row r="21771">
      <c r="C21771" s="18"/>
      <c r="D21771" s="19"/>
      <c r="E21771" s="57"/>
      <c r="H21771" s="18"/>
    </row>
    <row r="21772">
      <c r="C21772" s="18"/>
      <c r="D21772" s="19"/>
      <c r="E21772" s="57"/>
      <c r="H21772" s="18"/>
    </row>
    <row r="21773">
      <c r="C21773" s="18"/>
      <c r="D21773" s="19"/>
      <c r="E21773" s="57"/>
      <c r="H21773" s="18"/>
    </row>
    <row r="21774">
      <c r="C21774" s="18"/>
      <c r="D21774" s="19"/>
      <c r="E21774" s="57"/>
      <c r="H21774" s="18"/>
    </row>
    <row r="21775">
      <c r="C21775" s="18"/>
      <c r="D21775" s="19"/>
      <c r="E21775" s="57"/>
      <c r="H21775" s="18"/>
    </row>
    <row r="21776">
      <c r="C21776" s="18"/>
      <c r="D21776" s="19"/>
      <c r="E21776" s="57"/>
      <c r="H21776" s="18"/>
    </row>
    <row r="21777">
      <c r="C21777" s="18"/>
      <c r="D21777" s="19"/>
      <c r="E21777" s="57"/>
      <c r="H21777" s="18"/>
    </row>
    <row r="21778">
      <c r="C21778" s="18"/>
      <c r="D21778" s="19"/>
      <c r="E21778" s="57"/>
      <c r="H21778" s="18"/>
    </row>
    <row r="21779">
      <c r="C21779" s="18"/>
      <c r="D21779" s="19"/>
      <c r="E21779" s="57"/>
      <c r="H21779" s="18"/>
    </row>
    <row r="21780">
      <c r="C21780" s="18"/>
      <c r="D21780" s="19"/>
      <c r="E21780" s="57"/>
      <c r="H21780" s="18"/>
    </row>
    <row r="21781">
      <c r="C21781" s="18"/>
      <c r="D21781" s="19"/>
      <c r="E21781" s="57"/>
      <c r="H21781" s="18"/>
    </row>
    <row r="21782">
      <c r="C21782" s="18"/>
      <c r="D21782" s="19"/>
      <c r="E21782" s="57"/>
      <c r="H21782" s="18"/>
    </row>
    <row r="21783">
      <c r="C21783" s="18"/>
      <c r="D21783" s="19"/>
      <c r="E21783" s="57"/>
      <c r="H21783" s="18"/>
    </row>
    <row r="21784">
      <c r="C21784" s="18"/>
      <c r="D21784" s="19"/>
      <c r="E21784" s="57"/>
      <c r="H21784" s="18"/>
    </row>
    <row r="21785">
      <c r="C21785" s="18"/>
      <c r="D21785" s="19"/>
      <c r="E21785" s="57"/>
      <c r="H21785" s="18"/>
    </row>
    <row r="21786">
      <c r="C21786" s="18"/>
      <c r="D21786" s="19"/>
      <c r="E21786" s="57"/>
      <c r="H21786" s="18"/>
    </row>
    <row r="21787">
      <c r="C21787" s="18"/>
      <c r="D21787" s="19"/>
      <c r="E21787" s="57"/>
      <c r="H21787" s="18"/>
    </row>
    <row r="21788">
      <c r="C21788" s="18"/>
      <c r="D21788" s="19"/>
      <c r="E21788" s="57"/>
      <c r="H21788" s="18"/>
    </row>
    <row r="21789">
      <c r="C21789" s="18"/>
      <c r="D21789" s="19"/>
      <c r="E21789" s="57"/>
      <c r="H21789" s="18"/>
    </row>
    <row r="21790">
      <c r="C21790" s="18"/>
      <c r="D21790" s="19"/>
      <c r="E21790" s="57"/>
      <c r="H21790" s="18"/>
    </row>
    <row r="21791">
      <c r="C21791" s="18"/>
      <c r="D21791" s="19"/>
      <c r="E21791" s="57"/>
      <c r="H21791" s="18"/>
    </row>
    <row r="21792">
      <c r="C21792" s="18"/>
      <c r="D21792" s="19"/>
      <c r="E21792" s="57"/>
      <c r="H21792" s="18"/>
    </row>
    <row r="21793">
      <c r="C21793" s="18"/>
      <c r="D21793" s="19"/>
      <c r="E21793" s="57"/>
      <c r="H21793" s="18"/>
    </row>
    <row r="21794">
      <c r="C21794" s="18"/>
      <c r="D21794" s="19"/>
      <c r="E21794" s="57"/>
      <c r="H21794" s="18"/>
    </row>
    <row r="21795">
      <c r="C21795" s="18"/>
      <c r="D21795" s="19"/>
      <c r="E21795" s="57"/>
      <c r="H21795" s="18"/>
    </row>
    <row r="21796">
      <c r="C21796" s="18"/>
      <c r="D21796" s="19"/>
      <c r="E21796" s="57"/>
      <c r="H21796" s="18"/>
    </row>
    <row r="21797">
      <c r="C21797" s="18"/>
      <c r="D21797" s="19"/>
      <c r="E21797" s="57"/>
      <c r="H21797" s="18"/>
    </row>
    <row r="21798">
      <c r="C21798" s="18"/>
      <c r="D21798" s="19"/>
      <c r="E21798" s="57"/>
      <c r="H21798" s="18"/>
    </row>
    <row r="21799">
      <c r="C21799" s="18"/>
      <c r="D21799" s="19"/>
      <c r="E21799" s="57"/>
      <c r="H21799" s="18"/>
    </row>
    <row r="21800">
      <c r="C21800" s="18"/>
      <c r="D21800" s="19"/>
      <c r="E21800" s="57"/>
      <c r="H21800" s="18"/>
    </row>
    <row r="21801">
      <c r="C21801" s="18"/>
      <c r="D21801" s="19"/>
      <c r="E21801" s="57"/>
      <c r="H21801" s="18"/>
    </row>
    <row r="21802">
      <c r="C21802" s="18"/>
      <c r="D21802" s="19"/>
      <c r="E21802" s="57"/>
      <c r="H21802" s="18"/>
    </row>
    <row r="21803">
      <c r="C21803" s="18"/>
      <c r="D21803" s="19"/>
      <c r="E21803" s="57"/>
      <c r="H21803" s="18"/>
    </row>
    <row r="21804">
      <c r="C21804" s="18"/>
      <c r="D21804" s="19"/>
      <c r="E21804" s="57"/>
      <c r="H21804" s="18"/>
    </row>
    <row r="21805">
      <c r="C21805" s="18"/>
      <c r="D21805" s="19"/>
      <c r="E21805" s="57"/>
      <c r="H21805" s="18"/>
    </row>
    <row r="21806">
      <c r="C21806" s="18"/>
      <c r="D21806" s="19"/>
      <c r="E21806" s="57"/>
      <c r="H21806" s="18"/>
    </row>
    <row r="21807">
      <c r="C21807" s="18"/>
      <c r="D21807" s="19"/>
      <c r="E21807" s="57"/>
      <c r="H21807" s="18"/>
    </row>
    <row r="21808">
      <c r="C21808" s="18"/>
      <c r="D21808" s="19"/>
      <c r="E21808" s="57"/>
      <c r="H21808" s="18"/>
    </row>
    <row r="21809">
      <c r="C21809" s="18"/>
      <c r="D21809" s="19"/>
      <c r="E21809" s="57"/>
      <c r="H21809" s="18"/>
    </row>
    <row r="21810">
      <c r="C21810" s="18"/>
      <c r="D21810" s="19"/>
      <c r="E21810" s="57"/>
      <c r="H21810" s="18"/>
    </row>
    <row r="21811">
      <c r="C21811" s="18"/>
      <c r="D21811" s="19"/>
      <c r="E21811" s="57"/>
      <c r="H21811" s="18"/>
    </row>
    <row r="21812">
      <c r="C21812" s="18"/>
      <c r="D21812" s="19"/>
      <c r="E21812" s="57"/>
      <c r="H21812" s="18"/>
    </row>
    <row r="21813">
      <c r="C21813" s="18"/>
      <c r="D21813" s="19"/>
      <c r="E21813" s="57"/>
      <c r="H21813" s="18"/>
    </row>
    <row r="21814">
      <c r="C21814" s="18"/>
      <c r="D21814" s="19"/>
      <c r="E21814" s="57"/>
      <c r="H21814" s="18"/>
    </row>
    <row r="21815">
      <c r="C21815" s="18"/>
      <c r="D21815" s="19"/>
      <c r="E21815" s="57"/>
      <c r="H21815" s="18"/>
    </row>
    <row r="21816">
      <c r="C21816" s="18"/>
      <c r="D21816" s="19"/>
      <c r="E21816" s="57"/>
      <c r="H21816" s="18"/>
    </row>
    <row r="21817">
      <c r="C21817" s="18"/>
      <c r="D21817" s="19"/>
      <c r="E21817" s="57"/>
      <c r="H21817" s="18"/>
    </row>
    <row r="21818">
      <c r="C21818" s="18"/>
      <c r="D21818" s="19"/>
      <c r="E21818" s="57"/>
      <c r="H21818" s="18"/>
    </row>
    <row r="21819">
      <c r="C21819" s="18"/>
      <c r="D21819" s="19"/>
      <c r="E21819" s="57"/>
      <c r="H21819" s="18"/>
    </row>
    <row r="21820">
      <c r="C21820" s="18"/>
      <c r="D21820" s="19"/>
      <c r="E21820" s="57"/>
      <c r="H21820" s="18"/>
    </row>
    <row r="21821">
      <c r="C21821" s="18"/>
      <c r="D21821" s="19"/>
      <c r="E21821" s="57"/>
      <c r="H21821" s="18"/>
    </row>
    <row r="21822">
      <c r="C21822" s="18"/>
      <c r="D21822" s="19"/>
      <c r="E21822" s="57"/>
      <c r="H21822" s="18"/>
    </row>
    <row r="21823">
      <c r="C21823" s="18"/>
      <c r="D21823" s="19"/>
      <c r="E21823" s="57"/>
      <c r="H21823" s="18"/>
    </row>
    <row r="21824">
      <c r="C21824" s="18"/>
      <c r="D21824" s="19"/>
      <c r="E21824" s="57"/>
      <c r="H21824" s="18"/>
    </row>
    <row r="21825">
      <c r="C21825" s="18"/>
      <c r="D21825" s="19"/>
      <c r="E21825" s="57"/>
      <c r="H21825" s="18"/>
    </row>
    <row r="21826">
      <c r="C21826" s="18"/>
      <c r="D21826" s="19"/>
      <c r="E21826" s="57"/>
      <c r="H21826" s="18"/>
    </row>
    <row r="21827">
      <c r="C21827" s="18"/>
      <c r="D21827" s="19"/>
      <c r="E21827" s="57"/>
      <c r="H21827" s="18"/>
    </row>
    <row r="21828">
      <c r="C21828" s="18"/>
      <c r="D21828" s="19"/>
      <c r="E21828" s="57"/>
      <c r="H21828" s="18"/>
    </row>
    <row r="21829">
      <c r="C21829" s="18"/>
      <c r="D21829" s="19"/>
      <c r="E21829" s="57"/>
      <c r="H21829" s="18"/>
    </row>
    <row r="21830">
      <c r="C21830" s="18"/>
      <c r="D21830" s="19"/>
      <c r="E21830" s="57"/>
      <c r="H21830" s="18"/>
    </row>
    <row r="21831">
      <c r="C21831" s="18"/>
      <c r="D21831" s="19"/>
      <c r="E21831" s="57"/>
      <c r="H21831" s="18"/>
    </row>
    <row r="21832">
      <c r="C21832" s="18"/>
      <c r="D21832" s="19"/>
      <c r="E21832" s="57"/>
      <c r="H21832" s="18"/>
    </row>
    <row r="21833">
      <c r="C21833" s="18"/>
      <c r="D21833" s="19"/>
      <c r="E21833" s="57"/>
      <c r="H21833" s="18"/>
    </row>
    <row r="21834">
      <c r="C21834" s="18"/>
      <c r="D21834" s="19"/>
      <c r="E21834" s="57"/>
      <c r="H21834" s="18"/>
    </row>
    <row r="21835">
      <c r="C21835" s="18"/>
      <c r="D21835" s="19"/>
      <c r="E21835" s="57"/>
      <c r="H21835" s="18"/>
    </row>
    <row r="21836">
      <c r="C21836" s="18"/>
      <c r="D21836" s="19"/>
      <c r="E21836" s="57"/>
      <c r="H21836" s="18"/>
    </row>
    <row r="21837">
      <c r="C21837" s="18"/>
      <c r="D21837" s="19"/>
      <c r="E21837" s="57"/>
      <c r="H21837" s="18"/>
    </row>
    <row r="21838">
      <c r="C21838" s="18"/>
      <c r="D21838" s="19"/>
      <c r="E21838" s="57"/>
      <c r="H21838" s="18"/>
    </row>
    <row r="21839">
      <c r="C21839" s="18"/>
      <c r="D21839" s="19"/>
      <c r="E21839" s="57"/>
      <c r="H21839" s="18"/>
    </row>
    <row r="21840">
      <c r="C21840" s="18"/>
      <c r="D21840" s="19"/>
      <c r="E21840" s="57"/>
      <c r="H21840" s="18"/>
    </row>
    <row r="21841">
      <c r="C21841" s="18"/>
      <c r="D21841" s="19"/>
      <c r="E21841" s="57"/>
      <c r="H21841" s="18"/>
    </row>
    <row r="21842">
      <c r="C21842" s="18"/>
      <c r="D21842" s="19"/>
      <c r="E21842" s="57"/>
      <c r="H21842" s="18"/>
    </row>
    <row r="21843">
      <c r="C21843" s="18"/>
      <c r="D21843" s="19"/>
      <c r="E21843" s="57"/>
      <c r="H21843" s="18"/>
    </row>
    <row r="21844">
      <c r="C21844" s="18"/>
      <c r="D21844" s="19"/>
      <c r="E21844" s="57"/>
      <c r="H21844" s="18"/>
    </row>
    <row r="21845">
      <c r="C21845" s="18"/>
      <c r="D21845" s="19"/>
      <c r="E21845" s="57"/>
      <c r="H21845" s="18"/>
    </row>
    <row r="21846">
      <c r="C21846" s="18"/>
      <c r="D21846" s="19"/>
      <c r="E21846" s="57"/>
      <c r="H21846" s="18"/>
    </row>
    <row r="21847">
      <c r="C21847" s="18"/>
      <c r="D21847" s="19"/>
      <c r="E21847" s="57"/>
      <c r="H21847" s="18"/>
    </row>
    <row r="21848">
      <c r="C21848" s="18"/>
      <c r="D21848" s="19"/>
      <c r="E21848" s="57"/>
      <c r="H21848" s="18"/>
    </row>
    <row r="21849">
      <c r="C21849" s="18"/>
      <c r="D21849" s="19"/>
      <c r="E21849" s="57"/>
      <c r="H21849" s="18"/>
    </row>
    <row r="21850">
      <c r="C21850" s="18"/>
      <c r="D21850" s="19"/>
      <c r="E21850" s="57"/>
      <c r="H21850" s="18"/>
    </row>
    <row r="21851">
      <c r="C21851" s="18"/>
      <c r="D21851" s="19"/>
      <c r="E21851" s="57"/>
      <c r="H21851" s="18"/>
    </row>
    <row r="21852">
      <c r="C21852" s="18"/>
      <c r="D21852" s="19"/>
      <c r="E21852" s="57"/>
      <c r="H21852" s="18"/>
    </row>
    <row r="21853">
      <c r="C21853" s="18"/>
      <c r="D21853" s="19"/>
      <c r="E21853" s="57"/>
      <c r="H21853" s="18"/>
    </row>
    <row r="21854">
      <c r="C21854" s="18"/>
      <c r="D21854" s="19"/>
      <c r="E21854" s="57"/>
      <c r="H21854" s="18"/>
    </row>
    <row r="21855">
      <c r="C21855" s="18"/>
      <c r="D21855" s="19"/>
      <c r="E21855" s="57"/>
      <c r="H21855" s="18"/>
    </row>
    <row r="21856">
      <c r="C21856" s="18"/>
      <c r="D21856" s="19"/>
      <c r="E21856" s="57"/>
      <c r="H21856" s="18"/>
    </row>
    <row r="21857">
      <c r="C21857" s="18"/>
      <c r="D21857" s="19"/>
      <c r="E21857" s="57"/>
      <c r="H21857" s="18"/>
    </row>
    <row r="21858">
      <c r="C21858" s="18"/>
      <c r="D21858" s="19"/>
      <c r="E21858" s="57"/>
      <c r="H21858" s="18"/>
    </row>
    <row r="21859">
      <c r="C21859" s="18"/>
      <c r="D21859" s="19"/>
      <c r="E21859" s="57"/>
      <c r="H21859" s="18"/>
    </row>
    <row r="21860">
      <c r="C21860" s="18"/>
      <c r="D21860" s="19"/>
      <c r="E21860" s="57"/>
      <c r="H21860" s="18"/>
    </row>
    <row r="21861">
      <c r="C21861" s="18"/>
      <c r="D21861" s="19"/>
      <c r="E21861" s="57"/>
      <c r="H21861" s="18"/>
    </row>
    <row r="21862">
      <c r="C21862" s="18"/>
      <c r="D21862" s="19"/>
      <c r="E21862" s="57"/>
      <c r="H21862" s="18"/>
    </row>
    <row r="21863">
      <c r="C21863" s="18"/>
      <c r="D21863" s="19"/>
      <c r="E21863" s="57"/>
      <c r="H21863" s="18"/>
    </row>
    <row r="21864">
      <c r="C21864" s="18"/>
      <c r="D21864" s="19"/>
      <c r="E21864" s="57"/>
      <c r="H21864" s="18"/>
    </row>
    <row r="21865">
      <c r="C21865" s="18"/>
      <c r="D21865" s="19"/>
      <c r="E21865" s="57"/>
      <c r="H21865" s="18"/>
    </row>
    <row r="21866">
      <c r="C21866" s="18"/>
      <c r="D21866" s="19"/>
      <c r="E21866" s="57"/>
      <c r="H21866" s="18"/>
    </row>
    <row r="21867">
      <c r="C21867" s="18"/>
      <c r="D21867" s="19"/>
      <c r="E21867" s="57"/>
      <c r="H21867" s="18"/>
    </row>
    <row r="21868">
      <c r="C21868" s="18"/>
      <c r="D21868" s="19"/>
      <c r="E21868" s="57"/>
      <c r="H21868" s="18"/>
    </row>
    <row r="21869">
      <c r="C21869" s="18"/>
      <c r="D21869" s="19"/>
      <c r="E21869" s="57"/>
      <c r="H21869" s="18"/>
    </row>
    <row r="21870">
      <c r="C21870" s="18"/>
      <c r="D21870" s="19"/>
      <c r="E21870" s="57"/>
      <c r="H21870" s="18"/>
    </row>
    <row r="21871">
      <c r="C21871" s="18"/>
      <c r="D21871" s="19"/>
      <c r="E21871" s="57"/>
      <c r="H21871" s="18"/>
    </row>
    <row r="21872">
      <c r="C21872" s="18"/>
      <c r="D21872" s="19"/>
      <c r="E21872" s="57"/>
      <c r="H21872" s="18"/>
    </row>
    <row r="21873">
      <c r="C21873" s="18"/>
      <c r="D21873" s="19"/>
      <c r="E21873" s="57"/>
      <c r="H21873" s="18"/>
    </row>
    <row r="21874">
      <c r="C21874" s="18"/>
      <c r="D21874" s="19"/>
      <c r="E21874" s="57"/>
      <c r="H21874" s="18"/>
    </row>
    <row r="21875">
      <c r="C21875" s="18"/>
      <c r="D21875" s="19"/>
      <c r="E21875" s="57"/>
      <c r="H21875" s="18"/>
    </row>
    <row r="21876">
      <c r="C21876" s="18"/>
      <c r="D21876" s="19"/>
      <c r="E21876" s="57"/>
      <c r="H21876" s="18"/>
    </row>
    <row r="21877">
      <c r="C21877" s="18"/>
      <c r="D21877" s="19"/>
      <c r="E21877" s="57"/>
      <c r="H21877" s="18"/>
    </row>
    <row r="21878">
      <c r="C21878" s="18"/>
      <c r="D21878" s="19"/>
      <c r="E21878" s="57"/>
      <c r="H21878" s="18"/>
    </row>
    <row r="21879">
      <c r="C21879" s="18"/>
      <c r="D21879" s="19"/>
      <c r="E21879" s="57"/>
      <c r="H21879" s="18"/>
    </row>
    <row r="21880">
      <c r="C21880" s="18"/>
      <c r="D21880" s="19"/>
      <c r="E21880" s="57"/>
      <c r="H21880" s="18"/>
    </row>
    <row r="21881">
      <c r="C21881" s="18"/>
      <c r="D21881" s="19"/>
      <c r="E21881" s="57"/>
      <c r="H21881" s="18"/>
    </row>
    <row r="21882">
      <c r="C21882" s="18"/>
      <c r="D21882" s="19"/>
      <c r="E21882" s="57"/>
      <c r="H21882" s="18"/>
    </row>
    <row r="21883">
      <c r="C21883" s="18"/>
      <c r="D21883" s="19"/>
      <c r="E21883" s="57"/>
      <c r="H21883" s="18"/>
    </row>
    <row r="21884">
      <c r="C21884" s="18"/>
      <c r="D21884" s="19"/>
      <c r="E21884" s="57"/>
      <c r="H21884" s="18"/>
    </row>
    <row r="21885">
      <c r="C21885" s="18"/>
      <c r="D21885" s="19"/>
      <c r="E21885" s="57"/>
      <c r="H21885" s="18"/>
    </row>
    <row r="21886">
      <c r="C21886" s="18"/>
      <c r="D21886" s="19"/>
      <c r="E21886" s="57"/>
      <c r="H21886" s="18"/>
    </row>
    <row r="21887">
      <c r="C21887" s="18"/>
      <c r="D21887" s="19"/>
      <c r="E21887" s="57"/>
      <c r="H21887" s="18"/>
    </row>
    <row r="21888">
      <c r="C21888" s="18"/>
      <c r="D21888" s="19"/>
      <c r="E21888" s="57"/>
      <c r="H21888" s="18"/>
    </row>
    <row r="21889">
      <c r="C21889" s="18"/>
      <c r="D21889" s="19"/>
      <c r="E21889" s="57"/>
      <c r="H21889" s="18"/>
    </row>
    <row r="21890">
      <c r="C21890" s="18"/>
      <c r="D21890" s="19"/>
      <c r="E21890" s="57"/>
      <c r="H21890" s="18"/>
    </row>
    <row r="21891">
      <c r="C21891" s="18"/>
      <c r="D21891" s="19"/>
      <c r="E21891" s="57"/>
      <c r="H21891" s="18"/>
    </row>
    <row r="21892">
      <c r="C21892" s="18"/>
      <c r="D21892" s="19"/>
      <c r="E21892" s="57"/>
      <c r="H21892" s="18"/>
    </row>
    <row r="21893">
      <c r="C21893" s="18"/>
      <c r="D21893" s="19"/>
      <c r="E21893" s="57"/>
      <c r="H21893" s="18"/>
    </row>
    <row r="21894">
      <c r="C21894" s="18"/>
      <c r="D21894" s="19"/>
      <c r="E21894" s="57"/>
      <c r="H21894" s="18"/>
    </row>
    <row r="21895">
      <c r="C21895" s="18"/>
      <c r="D21895" s="19"/>
      <c r="E21895" s="57"/>
      <c r="H21895" s="18"/>
    </row>
    <row r="21896">
      <c r="C21896" s="18"/>
      <c r="D21896" s="19"/>
      <c r="E21896" s="57"/>
      <c r="H21896" s="18"/>
    </row>
    <row r="21897">
      <c r="C21897" s="18"/>
      <c r="D21897" s="19"/>
      <c r="E21897" s="57"/>
      <c r="H21897" s="18"/>
    </row>
    <row r="21898">
      <c r="C21898" s="18"/>
      <c r="D21898" s="19"/>
      <c r="E21898" s="57"/>
      <c r="H21898" s="18"/>
    </row>
    <row r="21899">
      <c r="C21899" s="18"/>
      <c r="D21899" s="19"/>
      <c r="E21899" s="57"/>
      <c r="H21899" s="18"/>
    </row>
    <row r="21900">
      <c r="C21900" s="18"/>
      <c r="D21900" s="19"/>
      <c r="E21900" s="57"/>
      <c r="H21900" s="18"/>
    </row>
    <row r="21901">
      <c r="C21901" s="18"/>
      <c r="D21901" s="19"/>
      <c r="E21901" s="57"/>
      <c r="H21901" s="18"/>
    </row>
    <row r="21902">
      <c r="C21902" s="18"/>
      <c r="D21902" s="19"/>
      <c r="E21902" s="57"/>
      <c r="H21902" s="18"/>
    </row>
    <row r="21903">
      <c r="C21903" s="18"/>
      <c r="D21903" s="19"/>
      <c r="E21903" s="57"/>
      <c r="H21903" s="18"/>
    </row>
    <row r="21904">
      <c r="C21904" s="18"/>
      <c r="D21904" s="19"/>
      <c r="E21904" s="57"/>
      <c r="H21904" s="18"/>
    </row>
    <row r="21905">
      <c r="C21905" s="18"/>
      <c r="D21905" s="19"/>
      <c r="E21905" s="57"/>
      <c r="H21905" s="18"/>
    </row>
    <row r="21906">
      <c r="C21906" s="18"/>
      <c r="D21906" s="19"/>
      <c r="E21906" s="57"/>
      <c r="H21906" s="18"/>
    </row>
    <row r="21907">
      <c r="C21907" s="18"/>
      <c r="D21907" s="19"/>
      <c r="E21907" s="57"/>
      <c r="H21907" s="18"/>
    </row>
    <row r="21908">
      <c r="C21908" s="18"/>
      <c r="D21908" s="19"/>
      <c r="E21908" s="57"/>
      <c r="H21908" s="18"/>
    </row>
    <row r="21909">
      <c r="C21909" s="18"/>
      <c r="D21909" s="19"/>
      <c r="E21909" s="57"/>
      <c r="H21909" s="18"/>
    </row>
    <row r="21910">
      <c r="C21910" s="18"/>
      <c r="D21910" s="19"/>
      <c r="E21910" s="57"/>
      <c r="H21910" s="18"/>
    </row>
    <row r="21911">
      <c r="C21911" s="18"/>
      <c r="D21911" s="19"/>
      <c r="E21911" s="57"/>
      <c r="H21911" s="18"/>
    </row>
    <row r="21912">
      <c r="C21912" s="18"/>
      <c r="D21912" s="19"/>
      <c r="E21912" s="57"/>
      <c r="H21912" s="18"/>
    </row>
    <row r="21913">
      <c r="C21913" s="18"/>
      <c r="D21913" s="19"/>
      <c r="E21913" s="57"/>
      <c r="H21913" s="18"/>
    </row>
    <row r="21914">
      <c r="C21914" s="18"/>
      <c r="D21914" s="19"/>
      <c r="E21914" s="57"/>
      <c r="H21914" s="18"/>
    </row>
    <row r="21915">
      <c r="C21915" s="18"/>
      <c r="D21915" s="19"/>
      <c r="E21915" s="57"/>
      <c r="H21915" s="18"/>
    </row>
    <row r="21916">
      <c r="C21916" s="18"/>
      <c r="D21916" s="19"/>
      <c r="E21916" s="57"/>
      <c r="H21916" s="18"/>
    </row>
    <row r="21917">
      <c r="C21917" s="18"/>
      <c r="D21917" s="19"/>
      <c r="E21917" s="57"/>
      <c r="H21917" s="18"/>
    </row>
    <row r="21918">
      <c r="C21918" s="18"/>
      <c r="D21918" s="19"/>
      <c r="E21918" s="57"/>
      <c r="H21918" s="18"/>
    </row>
    <row r="21919">
      <c r="C21919" s="18"/>
      <c r="D21919" s="19"/>
      <c r="E21919" s="57"/>
      <c r="H21919" s="18"/>
    </row>
    <row r="21920">
      <c r="C21920" s="18"/>
      <c r="D21920" s="19"/>
      <c r="E21920" s="57"/>
      <c r="H21920" s="18"/>
    </row>
    <row r="21921">
      <c r="C21921" s="18"/>
      <c r="D21921" s="19"/>
      <c r="E21921" s="57"/>
      <c r="H21921" s="18"/>
    </row>
    <row r="21922">
      <c r="C21922" s="18"/>
      <c r="D21922" s="19"/>
      <c r="E21922" s="57"/>
      <c r="H21922" s="18"/>
    </row>
    <row r="21923">
      <c r="C21923" s="18"/>
      <c r="D21923" s="19"/>
      <c r="E21923" s="57"/>
      <c r="H21923" s="18"/>
    </row>
    <row r="21924">
      <c r="C21924" s="18"/>
      <c r="D21924" s="19"/>
      <c r="E21924" s="57"/>
      <c r="H21924" s="18"/>
    </row>
    <row r="21925">
      <c r="C21925" s="18"/>
      <c r="D21925" s="19"/>
      <c r="E21925" s="57"/>
      <c r="H21925" s="18"/>
    </row>
    <row r="21926">
      <c r="C21926" s="18"/>
      <c r="D21926" s="19"/>
      <c r="E21926" s="57"/>
      <c r="H21926" s="18"/>
    </row>
    <row r="21927">
      <c r="C21927" s="18"/>
      <c r="D21927" s="19"/>
      <c r="E21927" s="57"/>
      <c r="H21927" s="18"/>
    </row>
    <row r="21928">
      <c r="C21928" s="18"/>
      <c r="D21928" s="19"/>
      <c r="E21928" s="57"/>
      <c r="H21928" s="18"/>
    </row>
    <row r="21929">
      <c r="C21929" s="18"/>
      <c r="D21929" s="19"/>
      <c r="E21929" s="57"/>
      <c r="H21929" s="18"/>
    </row>
    <row r="21930">
      <c r="C21930" s="18"/>
      <c r="D21930" s="19"/>
      <c r="E21930" s="57"/>
      <c r="H21930" s="18"/>
    </row>
    <row r="21931">
      <c r="C21931" s="18"/>
      <c r="D21931" s="19"/>
      <c r="E21931" s="57"/>
      <c r="H21931" s="18"/>
    </row>
    <row r="21932">
      <c r="C21932" s="18"/>
      <c r="D21932" s="19"/>
      <c r="E21932" s="57"/>
      <c r="H21932" s="18"/>
    </row>
    <row r="21933">
      <c r="C21933" s="18"/>
      <c r="D21933" s="19"/>
      <c r="E21933" s="57"/>
      <c r="H21933" s="18"/>
    </row>
    <row r="21934">
      <c r="C21934" s="18"/>
      <c r="D21934" s="19"/>
      <c r="E21934" s="57"/>
      <c r="H21934" s="18"/>
    </row>
    <row r="21935">
      <c r="C21935" s="18"/>
      <c r="D21935" s="19"/>
      <c r="E21935" s="57"/>
      <c r="H21935" s="18"/>
    </row>
    <row r="21936">
      <c r="C21936" s="18"/>
      <c r="D21936" s="19"/>
      <c r="E21936" s="57"/>
      <c r="H21936" s="18"/>
    </row>
    <row r="21937">
      <c r="C21937" s="18"/>
      <c r="D21937" s="19"/>
      <c r="E21937" s="57"/>
      <c r="H21937" s="18"/>
    </row>
    <row r="21938">
      <c r="C21938" s="18"/>
      <c r="D21938" s="19"/>
      <c r="E21938" s="57"/>
      <c r="H21938" s="18"/>
    </row>
    <row r="21939">
      <c r="C21939" s="18"/>
      <c r="D21939" s="19"/>
      <c r="E21939" s="57"/>
      <c r="H21939" s="18"/>
    </row>
    <row r="21940">
      <c r="C21940" s="18"/>
      <c r="D21940" s="19"/>
      <c r="E21940" s="57"/>
      <c r="H21940" s="18"/>
    </row>
    <row r="21941">
      <c r="C21941" s="18"/>
      <c r="D21941" s="19"/>
      <c r="E21941" s="57"/>
      <c r="H21941" s="18"/>
    </row>
    <row r="21942">
      <c r="C21942" s="18"/>
      <c r="D21942" s="19"/>
      <c r="E21942" s="57"/>
      <c r="H21942" s="18"/>
    </row>
    <row r="21943">
      <c r="C21943" s="18"/>
      <c r="D21943" s="19"/>
      <c r="E21943" s="57"/>
      <c r="H21943" s="18"/>
    </row>
    <row r="21944">
      <c r="C21944" s="18"/>
      <c r="D21944" s="19"/>
      <c r="E21944" s="57"/>
      <c r="H21944" s="18"/>
    </row>
    <row r="21945">
      <c r="C21945" s="18"/>
      <c r="D21945" s="19"/>
      <c r="E21945" s="57"/>
      <c r="H21945" s="18"/>
    </row>
    <row r="21946">
      <c r="C21946" s="18"/>
      <c r="D21946" s="19"/>
      <c r="E21946" s="57"/>
      <c r="H21946" s="18"/>
    </row>
    <row r="21947">
      <c r="C21947" s="18"/>
      <c r="D21947" s="19"/>
      <c r="E21947" s="57"/>
      <c r="H21947" s="18"/>
    </row>
    <row r="21948">
      <c r="C21948" s="18"/>
      <c r="D21948" s="19"/>
      <c r="E21948" s="57"/>
      <c r="H21948" s="18"/>
    </row>
    <row r="21949">
      <c r="C21949" s="18"/>
      <c r="D21949" s="19"/>
      <c r="E21949" s="57"/>
      <c r="H21949" s="18"/>
    </row>
    <row r="21950">
      <c r="C21950" s="18"/>
      <c r="D21950" s="19"/>
      <c r="E21950" s="57"/>
      <c r="H21950" s="18"/>
    </row>
    <row r="21951">
      <c r="C21951" s="18"/>
      <c r="D21951" s="19"/>
      <c r="E21951" s="57"/>
      <c r="H21951" s="18"/>
    </row>
    <row r="21952">
      <c r="C21952" s="18"/>
      <c r="D21952" s="19"/>
      <c r="E21952" s="57"/>
      <c r="H21952" s="18"/>
    </row>
    <row r="21953">
      <c r="C21953" s="18"/>
      <c r="D21953" s="19"/>
      <c r="E21953" s="57"/>
      <c r="H21953" s="18"/>
    </row>
    <row r="21954">
      <c r="C21954" s="18"/>
      <c r="D21954" s="19"/>
      <c r="E21954" s="57"/>
      <c r="H21954" s="18"/>
    </row>
    <row r="21955">
      <c r="C21955" s="18"/>
      <c r="D21955" s="19"/>
      <c r="E21955" s="57"/>
      <c r="H21955" s="18"/>
    </row>
    <row r="21956">
      <c r="C21956" s="18"/>
      <c r="D21956" s="19"/>
      <c r="E21956" s="57"/>
      <c r="H21956" s="18"/>
    </row>
    <row r="21957">
      <c r="C21957" s="18"/>
      <c r="D21957" s="19"/>
      <c r="E21957" s="57"/>
      <c r="H21957" s="18"/>
    </row>
    <row r="21958">
      <c r="C21958" s="18"/>
      <c r="D21958" s="19"/>
      <c r="E21958" s="57"/>
      <c r="H21958" s="18"/>
    </row>
    <row r="21959">
      <c r="C21959" s="18"/>
      <c r="D21959" s="19"/>
      <c r="E21959" s="57"/>
      <c r="H21959" s="18"/>
    </row>
    <row r="21960">
      <c r="C21960" s="18"/>
      <c r="D21960" s="19"/>
      <c r="E21960" s="57"/>
      <c r="H21960" s="18"/>
    </row>
    <row r="21961">
      <c r="C21961" s="18"/>
      <c r="D21961" s="19"/>
      <c r="E21961" s="57"/>
      <c r="H21961" s="18"/>
    </row>
    <row r="21962">
      <c r="C21962" s="18"/>
      <c r="D21962" s="19"/>
      <c r="E21962" s="57"/>
      <c r="H21962" s="18"/>
    </row>
    <row r="21963">
      <c r="C21963" s="18"/>
      <c r="D21963" s="19"/>
      <c r="E21963" s="57"/>
      <c r="H21963" s="18"/>
    </row>
    <row r="21964">
      <c r="C21964" s="18"/>
      <c r="D21964" s="19"/>
      <c r="E21964" s="57"/>
      <c r="H21964" s="18"/>
    </row>
    <row r="21965">
      <c r="C21965" s="18"/>
      <c r="D21965" s="19"/>
      <c r="E21965" s="57"/>
      <c r="H21965" s="18"/>
    </row>
    <row r="21966">
      <c r="C21966" s="18"/>
      <c r="D21966" s="19"/>
      <c r="E21966" s="57"/>
      <c r="H21966" s="18"/>
    </row>
    <row r="21967">
      <c r="C21967" s="18"/>
      <c r="D21967" s="19"/>
      <c r="E21967" s="57"/>
      <c r="H21967" s="18"/>
    </row>
    <row r="21968">
      <c r="C21968" s="18"/>
      <c r="D21968" s="19"/>
      <c r="E21968" s="57"/>
      <c r="H21968" s="18"/>
    </row>
    <row r="21969">
      <c r="C21969" s="18"/>
      <c r="D21969" s="19"/>
      <c r="E21969" s="57"/>
      <c r="H21969" s="18"/>
    </row>
    <row r="21970">
      <c r="C21970" s="18"/>
      <c r="D21970" s="19"/>
      <c r="E21970" s="57"/>
      <c r="H21970" s="18"/>
    </row>
    <row r="21971">
      <c r="C21971" s="18"/>
      <c r="D21971" s="19"/>
      <c r="E21971" s="57"/>
      <c r="H21971" s="18"/>
    </row>
    <row r="21972">
      <c r="C21972" s="18"/>
      <c r="D21972" s="19"/>
      <c r="E21972" s="57"/>
      <c r="H21972" s="18"/>
    </row>
    <row r="21973">
      <c r="C21973" s="18"/>
      <c r="D21973" s="19"/>
      <c r="E21973" s="57"/>
      <c r="H21973" s="18"/>
    </row>
    <row r="21974">
      <c r="C21974" s="18"/>
      <c r="D21974" s="19"/>
      <c r="E21974" s="57"/>
      <c r="H21974" s="18"/>
    </row>
    <row r="21975">
      <c r="C21975" s="18"/>
      <c r="D21975" s="19"/>
      <c r="E21975" s="57"/>
      <c r="H21975" s="18"/>
    </row>
    <row r="21976">
      <c r="C21976" s="18"/>
      <c r="D21976" s="19"/>
      <c r="E21976" s="57"/>
      <c r="H21976" s="18"/>
    </row>
    <row r="21977">
      <c r="C21977" s="18"/>
      <c r="D21977" s="19"/>
      <c r="E21977" s="57"/>
      <c r="H21977" s="18"/>
    </row>
    <row r="21978">
      <c r="C21978" s="18"/>
      <c r="D21978" s="19"/>
      <c r="E21978" s="57"/>
      <c r="H21978" s="18"/>
    </row>
    <row r="21979">
      <c r="C21979" s="18"/>
      <c r="D21979" s="19"/>
      <c r="E21979" s="57"/>
      <c r="H21979" s="18"/>
    </row>
    <row r="21980">
      <c r="C21980" s="18"/>
      <c r="D21980" s="19"/>
      <c r="E21980" s="57"/>
      <c r="H21980" s="18"/>
    </row>
    <row r="21981">
      <c r="C21981" s="18"/>
      <c r="D21981" s="19"/>
      <c r="E21981" s="57"/>
      <c r="H21981" s="18"/>
    </row>
    <row r="21982">
      <c r="C21982" s="18"/>
      <c r="D21982" s="19"/>
      <c r="E21982" s="57"/>
      <c r="H21982" s="18"/>
    </row>
    <row r="21983">
      <c r="C21983" s="18"/>
      <c r="D21983" s="19"/>
      <c r="E21983" s="57"/>
      <c r="H21983" s="18"/>
    </row>
    <row r="21984">
      <c r="C21984" s="18"/>
      <c r="D21984" s="19"/>
      <c r="E21984" s="57"/>
      <c r="H21984" s="18"/>
    </row>
    <row r="21985">
      <c r="C21985" s="18"/>
      <c r="D21985" s="19"/>
      <c r="E21985" s="57"/>
      <c r="H21985" s="18"/>
    </row>
    <row r="21986">
      <c r="C21986" s="18"/>
      <c r="D21986" s="19"/>
      <c r="E21986" s="57"/>
      <c r="H21986" s="18"/>
    </row>
    <row r="21987">
      <c r="C21987" s="18"/>
      <c r="D21987" s="19"/>
      <c r="E21987" s="57"/>
      <c r="H21987" s="18"/>
    </row>
    <row r="21988">
      <c r="C21988" s="18"/>
      <c r="D21988" s="19"/>
      <c r="E21988" s="57"/>
      <c r="H21988" s="18"/>
    </row>
    <row r="21989">
      <c r="C21989" s="18"/>
      <c r="D21989" s="19"/>
      <c r="E21989" s="57"/>
      <c r="H21989" s="18"/>
    </row>
    <row r="21990">
      <c r="C21990" s="18"/>
      <c r="D21990" s="19"/>
      <c r="E21990" s="57"/>
      <c r="H21990" s="18"/>
    </row>
    <row r="21991">
      <c r="C21991" s="18"/>
      <c r="D21991" s="19"/>
      <c r="E21991" s="57"/>
      <c r="H21991" s="18"/>
    </row>
    <row r="21992">
      <c r="C21992" s="18"/>
      <c r="D21992" s="19"/>
      <c r="E21992" s="57"/>
      <c r="H21992" s="18"/>
    </row>
    <row r="21993">
      <c r="C21993" s="18"/>
      <c r="D21993" s="19"/>
      <c r="E21993" s="57"/>
      <c r="H21993" s="18"/>
    </row>
    <row r="21994">
      <c r="C21994" s="18"/>
      <c r="D21994" s="19"/>
      <c r="E21994" s="57"/>
      <c r="H21994" s="18"/>
    </row>
    <row r="21995">
      <c r="C21995" s="18"/>
      <c r="D21995" s="19"/>
      <c r="E21995" s="57"/>
      <c r="H21995" s="18"/>
    </row>
    <row r="21996">
      <c r="C21996" s="18"/>
      <c r="D21996" s="19"/>
      <c r="E21996" s="57"/>
      <c r="H21996" s="18"/>
    </row>
    <row r="21997">
      <c r="C21997" s="18"/>
      <c r="D21997" s="19"/>
      <c r="E21997" s="57"/>
      <c r="H21997" s="18"/>
    </row>
    <row r="21998">
      <c r="C21998" s="18"/>
      <c r="D21998" s="19"/>
      <c r="E21998" s="57"/>
      <c r="H21998" s="18"/>
    </row>
    <row r="21999">
      <c r="C21999" s="18"/>
      <c r="D21999" s="19"/>
      <c r="E21999" s="57"/>
      <c r="H21999" s="18"/>
    </row>
    <row r="22000">
      <c r="C22000" s="18"/>
      <c r="D22000" s="19"/>
      <c r="E22000" s="57"/>
      <c r="H22000" s="18"/>
    </row>
    <row r="22001">
      <c r="C22001" s="18"/>
      <c r="D22001" s="19"/>
      <c r="E22001" s="57"/>
      <c r="H22001" s="18"/>
    </row>
    <row r="22002">
      <c r="C22002" s="18"/>
      <c r="D22002" s="19"/>
      <c r="E22002" s="57"/>
      <c r="H22002" s="18"/>
    </row>
    <row r="22003">
      <c r="C22003" s="18"/>
      <c r="D22003" s="19"/>
      <c r="E22003" s="57"/>
      <c r="H22003" s="18"/>
    </row>
    <row r="22004">
      <c r="C22004" s="18"/>
      <c r="D22004" s="19"/>
      <c r="E22004" s="57"/>
      <c r="H22004" s="18"/>
    </row>
    <row r="22005">
      <c r="C22005" s="18"/>
      <c r="D22005" s="19"/>
      <c r="E22005" s="57"/>
      <c r="H22005" s="18"/>
    </row>
    <row r="22006">
      <c r="C22006" s="18"/>
      <c r="D22006" s="19"/>
      <c r="E22006" s="57"/>
      <c r="H22006" s="18"/>
    </row>
    <row r="22007">
      <c r="C22007" s="18"/>
      <c r="D22007" s="19"/>
      <c r="E22007" s="57"/>
      <c r="H22007" s="18"/>
    </row>
    <row r="22008">
      <c r="C22008" s="18"/>
      <c r="D22008" s="19"/>
      <c r="E22008" s="57"/>
      <c r="H22008" s="18"/>
    </row>
    <row r="22009">
      <c r="C22009" s="18"/>
      <c r="D22009" s="19"/>
      <c r="E22009" s="57"/>
      <c r="H22009" s="18"/>
    </row>
    <row r="22010">
      <c r="C22010" s="18"/>
      <c r="D22010" s="19"/>
      <c r="E22010" s="57"/>
      <c r="H22010" s="18"/>
    </row>
    <row r="22011">
      <c r="C22011" s="18"/>
      <c r="D22011" s="19"/>
      <c r="E22011" s="57"/>
      <c r="H22011" s="18"/>
    </row>
    <row r="22012">
      <c r="C22012" s="18"/>
      <c r="D22012" s="19"/>
      <c r="E22012" s="57"/>
      <c r="H22012" s="18"/>
    </row>
    <row r="22013">
      <c r="C22013" s="18"/>
      <c r="D22013" s="19"/>
      <c r="E22013" s="57"/>
      <c r="H22013" s="18"/>
    </row>
    <row r="22014">
      <c r="C22014" s="18"/>
      <c r="D22014" s="19"/>
      <c r="E22014" s="57"/>
      <c r="H22014" s="18"/>
    </row>
    <row r="22015">
      <c r="C22015" s="18"/>
      <c r="D22015" s="19"/>
      <c r="E22015" s="57"/>
      <c r="H22015" s="18"/>
    </row>
    <row r="22016">
      <c r="C22016" s="18"/>
      <c r="D22016" s="19"/>
      <c r="E22016" s="57"/>
      <c r="H22016" s="18"/>
    </row>
    <row r="22017">
      <c r="C22017" s="18"/>
      <c r="D22017" s="19"/>
      <c r="E22017" s="57"/>
      <c r="H22017" s="18"/>
    </row>
    <row r="22018">
      <c r="C22018" s="18"/>
      <c r="D22018" s="19"/>
      <c r="E22018" s="57"/>
      <c r="H22018" s="18"/>
    </row>
    <row r="22019">
      <c r="C22019" s="18"/>
      <c r="D22019" s="19"/>
      <c r="E22019" s="57"/>
      <c r="H22019" s="18"/>
    </row>
    <row r="22020">
      <c r="C22020" s="18"/>
      <c r="D22020" s="19"/>
      <c r="E22020" s="57"/>
      <c r="H22020" s="18"/>
    </row>
    <row r="22021">
      <c r="C22021" s="18"/>
      <c r="D22021" s="19"/>
      <c r="E22021" s="57"/>
      <c r="H22021" s="18"/>
    </row>
    <row r="22022">
      <c r="C22022" s="18"/>
      <c r="D22022" s="19"/>
      <c r="E22022" s="57"/>
      <c r="H22022" s="18"/>
    </row>
    <row r="22023">
      <c r="C22023" s="18"/>
      <c r="D22023" s="19"/>
      <c r="E22023" s="57"/>
      <c r="H22023" s="18"/>
    </row>
    <row r="22024">
      <c r="C22024" s="18"/>
      <c r="D22024" s="19"/>
      <c r="E22024" s="57"/>
      <c r="H22024" s="18"/>
    </row>
    <row r="22025">
      <c r="C22025" s="18"/>
      <c r="D22025" s="19"/>
      <c r="E22025" s="57"/>
      <c r="H22025" s="18"/>
    </row>
    <row r="22026">
      <c r="C22026" s="18"/>
      <c r="D22026" s="19"/>
      <c r="E22026" s="57"/>
      <c r="H22026" s="18"/>
    </row>
    <row r="22027">
      <c r="C22027" s="18"/>
      <c r="D22027" s="19"/>
      <c r="E22027" s="57"/>
      <c r="H22027" s="18"/>
    </row>
    <row r="22028">
      <c r="C22028" s="18"/>
      <c r="D22028" s="19"/>
      <c r="E22028" s="57"/>
      <c r="H22028" s="18"/>
    </row>
    <row r="22029">
      <c r="C22029" s="18"/>
      <c r="D22029" s="19"/>
      <c r="E22029" s="57"/>
      <c r="H22029" s="18"/>
    </row>
    <row r="22030">
      <c r="C22030" s="18"/>
      <c r="D22030" s="19"/>
      <c r="E22030" s="57"/>
      <c r="H22030" s="18"/>
    </row>
    <row r="22031">
      <c r="C22031" s="18"/>
      <c r="D22031" s="19"/>
      <c r="E22031" s="57"/>
      <c r="H22031" s="18"/>
    </row>
    <row r="22032">
      <c r="C22032" s="18"/>
      <c r="D22032" s="19"/>
      <c r="E22032" s="57"/>
      <c r="H22032" s="18"/>
    </row>
    <row r="22033">
      <c r="C22033" s="18"/>
      <c r="D22033" s="19"/>
      <c r="E22033" s="57"/>
      <c r="H22033" s="18"/>
    </row>
    <row r="22034">
      <c r="C22034" s="18"/>
      <c r="D22034" s="19"/>
      <c r="E22034" s="57"/>
      <c r="H22034" s="18"/>
    </row>
    <row r="22035">
      <c r="C22035" s="18"/>
      <c r="D22035" s="19"/>
      <c r="E22035" s="57"/>
      <c r="H22035" s="18"/>
    </row>
    <row r="22036">
      <c r="C22036" s="18"/>
      <c r="D22036" s="19"/>
      <c r="E22036" s="57"/>
      <c r="H22036" s="18"/>
    </row>
    <row r="22037">
      <c r="C22037" s="18"/>
      <c r="D22037" s="19"/>
      <c r="E22037" s="57"/>
      <c r="H22037" s="18"/>
    </row>
    <row r="22038">
      <c r="C22038" s="18"/>
      <c r="D22038" s="19"/>
      <c r="E22038" s="57"/>
      <c r="H22038" s="18"/>
    </row>
    <row r="22039">
      <c r="C22039" s="18"/>
      <c r="D22039" s="19"/>
      <c r="E22039" s="57"/>
      <c r="H22039" s="18"/>
    </row>
    <row r="22040">
      <c r="C22040" s="18"/>
      <c r="D22040" s="19"/>
      <c r="E22040" s="57"/>
      <c r="H22040" s="18"/>
    </row>
    <row r="22041">
      <c r="C22041" s="18"/>
      <c r="D22041" s="19"/>
      <c r="E22041" s="57"/>
      <c r="H22041" s="18"/>
    </row>
    <row r="22042">
      <c r="C22042" s="18"/>
      <c r="D22042" s="19"/>
      <c r="E22042" s="57"/>
      <c r="H22042" s="18"/>
    </row>
    <row r="22043">
      <c r="C22043" s="18"/>
      <c r="D22043" s="19"/>
      <c r="E22043" s="57"/>
      <c r="H22043" s="18"/>
    </row>
    <row r="22044">
      <c r="C22044" s="18"/>
      <c r="D22044" s="19"/>
      <c r="E22044" s="57"/>
      <c r="H22044" s="18"/>
    </row>
    <row r="22045">
      <c r="C22045" s="18"/>
      <c r="D22045" s="19"/>
      <c r="E22045" s="57"/>
      <c r="H22045" s="18"/>
    </row>
    <row r="22046">
      <c r="C22046" s="18"/>
      <c r="D22046" s="19"/>
      <c r="E22046" s="57"/>
      <c r="H22046" s="18"/>
    </row>
    <row r="22047">
      <c r="C22047" s="18"/>
      <c r="D22047" s="19"/>
      <c r="E22047" s="57"/>
      <c r="H22047" s="18"/>
    </row>
    <row r="22048">
      <c r="C22048" s="18"/>
      <c r="D22048" s="19"/>
      <c r="E22048" s="57"/>
      <c r="H22048" s="18"/>
    </row>
    <row r="22049">
      <c r="C22049" s="18"/>
      <c r="D22049" s="19"/>
      <c r="E22049" s="57"/>
      <c r="H22049" s="18"/>
    </row>
    <row r="22050">
      <c r="C22050" s="18"/>
      <c r="D22050" s="19"/>
      <c r="E22050" s="57"/>
      <c r="H22050" s="18"/>
    </row>
    <row r="22051">
      <c r="C22051" s="18"/>
      <c r="D22051" s="19"/>
      <c r="E22051" s="57"/>
      <c r="H22051" s="18"/>
    </row>
    <row r="22052">
      <c r="C22052" s="18"/>
      <c r="D22052" s="19"/>
      <c r="E22052" s="57"/>
      <c r="H22052" s="18"/>
    </row>
    <row r="22053">
      <c r="C22053" s="18"/>
      <c r="D22053" s="19"/>
      <c r="E22053" s="57"/>
      <c r="H22053" s="18"/>
    </row>
    <row r="22054">
      <c r="C22054" s="18"/>
      <c r="D22054" s="19"/>
      <c r="E22054" s="57"/>
      <c r="H22054" s="18"/>
    </row>
    <row r="22055">
      <c r="C22055" s="18"/>
      <c r="D22055" s="19"/>
      <c r="E22055" s="57"/>
      <c r="H22055" s="18"/>
    </row>
    <row r="22056">
      <c r="C22056" s="18"/>
      <c r="D22056" s="19"/>
      <c r="E22056" s="57"/>
      <c r="H22056" s="18"/>
    </row>
    <row r="22057">
      <c r="C22057" s="18"/>
      <c r="D22057" s="19"/>
      <c r="E22057" s="57"/>
      <c r="H22057" s="18"/>
    </row>
    <row r="22058">
      <c r="C22058" s="18"/>
      <c r="D22058" s="19"/>
      <c r="E22058" s="57"/>
      <c r="H22058" s="18"/>
    </row>
    <row r="22059">
      <c r="C22059" s="18"/>
      <c r="D22059" s="19"/>
      <c r="E22059" s="57"/>
      <c r="H22059" s="18"/>
    </row>
    <row r="22060">
      <c r="C22060" s="18"/>
      <c r="D22060" s="19"/>
      <c r="E22060" s="57"/>
      <c r="H22060" s="18"/>
    </row>
    <row r="22061">
      <c r="C22061" s="18"/>
      <c r="D22061" s="19"/>
      <c r="E22061" s="57"/>
      <c r="H22061" s="18"/>
    </row>
    <row r="22062">
      <c r="C22062" s="18"/>
      <c r="D22062" s="19"/>
      <c r="E22062" s="57"/>
      <c r="H22062" s="18"/>
    </row>
    <row r="22063">
      <c r="C22063" s="18"/>
      <c r="D22063" s="19"/>
      <c r="E22063" s="57"/>
      <c r="H22063" s="18"/>
    </row>
    <row r="22064">
      <c r="C22064" s="18"/>
      <c r="D22064" s="19"/>
      <c r="E22064" s="57"/>
      <c r="H22064" s="18"/>
    </row>
    <row r="22065">
      <c r="C22065" s="18"/>
      <c r="D22065" s="19"/>
      <c r="E22065" s="57"/>
      <c r="H22065" s="18"/>
    </row>
    <row r="22066">
      <c r="C22066" s="18"/>
      <c r="D22066" s="19"/>
      <c r="E22066" s="57"/>
      <c r="H22066" s="18"/>
    </row>
    <row r="22067">
      <c r="C22067" s="18"/>
      <c r="D22067" s="19"/>
      <c r="E22067" s="57"/>
      <c r="H22067" s="18"/>
    </row>
    <row r="22068">
      <c r="C22068" s="18"/>
      <c r="D22068" s="19"/>
      <c r="E22068" s="57"/>
      <c r="H22068" s="18"/>
    </row>
    <row r="22069">
      <c r="C22069" s="18"/>
      <c r="D22069" s="19"/>
      <c r="E22069" s="57"/>
      <c r="H22069" s="18"/>
    </row>
    <row r="22070">
      <c r="C22070" s="18"/>
      <c r="D22070" s="19"/>
      <c r="E22070" s="57"/>
      <c r="H22070" s="18"/>
    </row>
    <row r="22071">
      <c r="C22071" s="18"/>
      <c r="D22071" s="19"/>
      <c r="E22071" s="57"/>
      <c r="H22071" s="18"/>
    </row>
    <row r="22072">
      <c r="C22072" s="18"/>
      <c r="D22072" s="19"/>
      <c r="E22072" s="57"/>
      <c r="H22072" s="18"/>
    </row>
    <row r="22073">
      <c r="C22073" s="18"/>
      <c r="D22073" s="19"/>
      <c r="E22073" s="57"/>
      <c r="H22073" s="18"/>
    </row>
    <row r="22074">
      <c r="C22074" s="18"/>
      <c r="D22074" s="19"/>
      <c r="E22074" s="57"/>
      <c r="H22074" s="18"/>
    </row>
    <row r="22075">
      <c r="C22075" s="18"/>
      <c r="D22075" s="19"/>
      <c r="E22075" s="57"/>
      <c r="H22075" s="18"/>
    </row>
    <row r="22076">
      <c r="C22076" s="18"/>
      <c r="D22076" s="19"/>
      <c r="E22076" s="57"/>
      <c r="H22076" s="18"/>
    </row>
    <row r="22077">
      <c r="C22077" s="18"/>
      <c r="D22077" s="19"/>
      <c r="E22077" s="57"/>
      <c r="H22077" s="18"/>
    </row>
    <row r="22078">
      <c r="C22078" s="18"/>
      <c r="D22078" s="19"/>
      <c r="E22078" s="57"/>
      <c r="H22078" s="18"/>
    </row>
    <row r="22079">
      <c r="C22079" s="18"/>
      <c r="D22079" s="19"/>
      <c r="E22079" s="57"/>
      <c r="H22079" s="18"/>
    </row>
    <row r="22080">
      <c r="C22080" s="18"/>
      <c r="D22080" s="19"/>
      <c r="E22080" s="57"/>
      <c r="H22080" s="18"/>
    </row>
    <row r="22081">
      <c r="C22081" s="18"/>
      <c r="D22081" s="19"/>
      <c r="E22081" s="57"/>
      <c r="H22081" s="18"/>
    </row>
    <row r="22082">
      <c r="C22082" s="18"/>
      <c r="D22082" s="19"/>
      <c r="E22082" s="57"/>
      <c r="H22082" s="18"/>
    </row>
    <row r="22083">
      <c r="C22083" s="18"/>
      <c r="D22083" s="19"/>
      <c r="E22083" s="57"/>
      <c r="H22083" s="18"/>
    </row>
    <row r="22084">
      <c r="C22084" s="18"/>
      <c r="D22084" s="19"/>
      <c r="E22084" s="57"/>
      <c r="H22084" s="18"/>
    </row>
    <row r="22085">
      <c r="C22085" s="18"/>
      <c r="D22085" s="19"/>
      <c r="E22085" s="57"/>
      <c r="H22085" s="18"/>
    </row>
    <row r="22086">
      <c r="C22086" s="18"/>
      <c r="D22086" s="19"/>
      <c r="E22086" s="57"/>
      <c r="H22086" s="18"/>
    </row>
    <row r="22087">
      <c r="C22087" s="18"/>
      <c r="D22087" s="19"/>
      <c r="E22087" s="57"/>
      <c r="H22087" s="18"/>
    </row>
    <row r="22088">
      <c r="C22088" s="18"/>
      <c r="D22088" s="19"/>
      <c r="E22088" s="57"/>
      <c r="H22088" s="18"/>
    </row>
    <row r="22089">
      <c r="C22089" s="18"/>
      <c r="D22089" s="19"/>
      <c r="E22089" s="57"/>
      <c r="H22089" s="18"/>
    </row>
    <row r="22090">
      <c r="C22090" s="18"/>
      <c r="D22090" s="19"/>
      <c r="E22090" s="57"/>
      <c r="H22090" s="18"/>
    </row>
    <row r="22091">
      <c r="C22091" s="18"/>
      <c r="D22091" s="19"/>
      <c r="E22091" s="57"/>
      <c r="H22091" s="18"/>
    </row>
    <row r="22092">
      <c r="C22092" s="18"/>
      <c r="D22092" s="19"/>
      <c r="E22092" s="57"/>
      <c r="H22092" s="18"/>
    </row>
    <row r="22093">
      <c r="C22093" s="18"/>
      <c r="D22093" s="19"/>
      <c r="E22093" s="57"/>
      <c r="H22093" s="18"/>
    </row>
    <row r="22094">
      <c r="C22094" s="18"/>
      <c r="D22094" s="19"/>
      <c r="E22094" s="57"/>
      <c r="H22094" s="18"/>
    </row>
    <row r="22095">
      <c r="C22095" s="18"/>
      <c r="D22095" s="19"/>
      <c r="E22095" s="57"/>
      <c r="H22095" s="18"/>
    </row>
    <row r="22096">
      <c r="C22096" s="18"/>
      <c r="D22096" s="19"/>
      <c r="E22096" s="57"/>
      <c r="H22096" s="18"/>
    </row>
    <row r="22097">
      <c r="C22097" s="18"/>
      <c r="D22097" s="19"/>
      <c r="E22097" s="57"/>
      <c r="H22097" s="18"/>
    </row>
    <row r="22098">
      <c r="C22098" s="18"/>
      <c r="D22098" s="19"/>
      <c r="E22098" s="57"/>
      <c r="H22098" s="18"/>
    </row>
    <row r="22099">
      <c r="C22099" s="18"/>
      <c r="D22099" s="19"/>
      <c r="E22099" s="57"/>
      <c r="H22099" s="18"/>
    </row>
    <row r="22100">
      <c r="C22100" s="18"/>
      <c r="D22100" s="19"/>
      <c r="E22100" s="57"/>
      <c r="H22100" s="18"/>
    </row>
    <row r="22101">
      <c r="C22101" s="18"/>
      <c r="D22101" s="19"/>
      <c r="E22101" s="57"/>
      <c r="H22101" s="18"/>
    </row>
    <row r="22102">
      <c r="C22102" s="18"/>
      <c r="D22102" s="19"/>
      <c r="E22102" s="57"/>
      <c r="H22102" s="18"/>
    </row>
    <row r="22103">
      <c r="C22103" s="18"/>
      <c r="D22103" s="19"/>
      <c r="E22103" s="57"/>
      <c r="H22103" s="18"/>
    </row>
    <row r="22104">
      <c r="C22104" s="18"/>
      <c r="D22104" s="19"/>
      <c r="E22104" s="57"/>
      <c r="H22104" s="18"/>
    </row>
    <row r="22105">
      <c r="C22105" s="18"/>
      <c r="D22105" s="19"/>
      <c r="E22105" s="57"/>
      <c r="H22105" s="18"/>
    </row>
    <row r="22106">
      <c r="C22106" s="18"/>
      <c r="D22106" s="19"/>
      <c r="E22106" s="57"/>
      <c r="H22106" s="18"/>
    </row>
    <row r="22107">
      <c r="C22107" s="18"/>
      <c r="D22107" s="19"/>
      <c r="E22107" s="57"/>
      <c r="H22107" s="18"/>
    </row>
    <row r="22108">
      <c r="C22108" s="18"/>
      <c r="D22108" s="19"/>
      <c r="E22108" s="57"/>
      <c r="H22108" s="18"/>
    </row>
    <row r="22109">
      <c r="C22109" s="18"/>
      <c r="D22109" s="19"/>
      <c r="E22109" s="57"/>
      <c r="H22109" s="18"/>
    </row>
    <row r="22110">
      <c r="C22110" s="18"/>
      <c r="D22110" s="19"/>
      <c r="E22110" s="57"/>
      <c r="H22110" s="18"/>
    </row>
    <row r="22111">
      <c r="C22111" s="18"/>
      <c r="D22111" s="19"/>
      <c r="E22111" s="57"/>
      <c r="H22111" s="18"/>
    </row>
    <row r="22112">
      <c r="C22112" s="18"/>
      <c r="D22112" s="19"/>
      <c r="E22112" s="57"/>
      <c r="H22112" s="18"/>
    </row>
    <row r="22113">
      <c r="C22113" s="18"/>
      <c r="D22113" s="19"/>
      <c r="E22113" s="57"/>
      <c r="H22113" s="18"/>
    </row>
    <row r="22114">
      <c r="C22114" s="18"/>
      <c r="D22114" s="19"/>
      <c r="E22114" s="57"/>
      <c r="H22114" s="18"/>
    </row>
    <row r="22115">
      <c r="C22115" s="18"/>
      <c r="D22115" s="19"/>
      <c r="E22115" s="57"/>
      <c r="H22115" s="18"/>
    </row>
    <row r="22116">
      <c r="C22116" s="18"/>
      <c r="D22116" s="19"/>
      <c r="E22116" s="57"/>
      <c r="H22116" s="18"/>
    </row>
    <row r="22117">
      <c r="C22117" s="18"/>
      <c r="D22117" s="19"/>
      <c r="E22117" s="57"/>
      <c r="H22117" s="18"/>
    </row>
    <row r="22118">
      <c r="C22118" s="18"/>
      <c r="D22118" s="19"/>
      <c r="E22118" s="57"/>
      <c r="H22118" s="18"/>
    </row>
    <row r="22119">
      <c r="C22119" s="18"/>
      <c r="D22119" s="19"/>
      <c r="E22119" s="57"/>
      <c r="H22119" s="18"/>
    </row>
    <row r="22120">
      <c r="C22120" s="18"/>
      <c r="D22120" s="19"/>
      <c r="E22120" s="57"/>
      <c r="H22120" s="18"/>
    </row>
    <row r="22121">
      <c r="C22121" s="18"/>
      <c r="D22121" s="19"/>
      <c r="E22121" s="57"/>
      <c r="H22121" s="18"/>
    </row>
    <row r="22122">
      <c r="C22122" s="18"/>
      <c r="D22122" s="19"/>
      <c r="E22122" s="57"/>
      <c r="H22122" s="18"/>
    </row>
    <row r="22123">
      <c r="C22123" s="18"/>
      <c r="D22123" s="19"/>
      <c r="E22123" s="57"/>
      <c r="H22123" s="18"/>
    </row>
    <row r="22124">
      <c r="C22124" s="18"/>
      <c r="D22124" s="19"/>
      <c r="E22124" s="57"/>
      <c r="H22124" s="18"/>
    </row>
    <row r="22125">
      <c r="C22125" s="18"/>
      <c r="D22125" s="19"/>
      <c r="E22125" s="57"/>
      <c r="H22125" s="18"/>
    </row>
    <row r="22126">
      <c r="C22126" s="18"/>
      <c r="D22126" s="19"/>
      <c r="E22126" s="57"/>
      <c r="H22126" s="18"/>
    </row>
    <row r="22127">
      <c r="C22127" s="18"/>
      <c r="D22127" s="19"/>
      <c r="E22127" s="57"/>
      <c r="H22127" s="18"/>
    </row>
    <row r="22128">
      <c r="C22128" s="18"/>
      <c r="D22128" s="19"/>
      <c r="E22128" s="57"/>
      <c r="H22128" s="18"/>
    </row>
    <row r="22129">
      <c r="C22129" s="18"/>
      <c r="D22129" s="19"/>
      <c r="E22129" s="57"/>
      <c r="H22129" s="18"/>
    </row>
    <row r="22130">
      <c r="C22130" s="18"/>
      <c r="D22130" s="19"/>
      <c r="E22130" s="57"/>
      <c r="H22130" s="18"/>
    </row>
    <row r="22131">
      <c r="C22131" s="18"/>
      <c r="D22131" s="19"/>
      <c r="E22131" s="57"/>
      <c r="H22131" s="18"/>
    </row>
    <row r="22132">
      <c r="C22132" s="18"/>
      <c r="D22132" s="19"/>
      <c r="E22132" s="57"/>
      <c r="H22132" s="18"/>
    </row>
    <row r="22133">
      <c r="C22133" s="18"/>
      <c r="D22133" s="19"/>
      <c r="E22133" s="57"/>
      <c r="H22133" s="18"/>
    </row>
    <row r="22134">
      <c r="C22134" s="18"/>
      <c r="D22134" s="19"/>
      <c r="E22134" s="57"/>
      <c r="H22134" s="18"/>
    </row>
    <row r="22135">
      <c r="C22135" s="18"/>
      <c r="D22135" s="19"/>
      <c r="E22135" s="57"/>
      <c r="H22135" s="18"/>
    </row>
    <row r="22136">
      <c r="C22136" s="18"/>
      <c r="D22136" s="19"/>
      <c r="E22136" s="57"/>
      <c r="H22136" s="18"/>
    </row>
    <row r="22137">
      <c r="C22137" s="18"/>
      <c r="D22137" s="19"/>
      <c r="E22137" s="57"/>
      <c r="H22137" s="18"/>
    </row>
    <row r="22138">
      <c r="C22138" s="18"/>
      <c r="D22138" s="19"/>
      <c r="E22138" s="57"/>
      <c r="H22138" s="18"/>
    </row>
    <row r="22139">
      <c r="C22139" s="18"/>
      <c r="D22139" s="19"/>
      <c r="E22139" s="57"/>
      <c r="H22139" s="18"/>
    </row>
    <row r="22140">
      <c r="C22140" s="18"/>
      <c r="D22140" s="19"/>
      <c r="E22140" s="57"/>
      <c r="H22140" s="18"/>
    </row>
    <row r="22141">
      <c r="C22141" s="18"/>
      <c r="D22141" s="19"/>
      <c r="E22141" s="57"/>
      <c r="H22141" s="18"/>
    </row>
    <row r="22142">
      <c r="C22142" s="18"/>
      <c r="D22142" s="19"/>
      <c r="E22142" s="57"/>
      <c r="H22142" s="18"/>
    </row>
    <row r="22143">
      <c r="C22143" s="18"/>
      <c r="D22143" s="19"/>
      <c r="E22143" s="57"/>
      <c r="H22143" s="18"/>
    </row>
    <row r="22144">
      <c r="C22144" s="18"/>
      <c r="D22144" s="19"/>
      <c r="E22144" s="57"/>
      <c r="H22144" s="18"/>
    </row>
    <row r="22145">
      <c r="C22145" s="18"/>
      <c r="D22145" s="19"/>
      <c r="E22145" s="57"/>
      <c r="H22145" s="18"/>
    </row>
    <row r="22146">
      <c r="C22146" s="18"/>
      <c r="D22146" s="19"/>
      <c r="E22146" s="57"/>
      <c r="H22146" s="18"/>
    </row>
    <row r="22147">
      <c r="C22147" s="18"/>
      <c r="D22147" s="19"/>
      <c r="E22147" s="57"/>
      <c r="H22147" s="18"/>
    </row>
    <row r="22148">
      <c r="C22148" s="18"/>
      <c r="D22148" s="19"/>
      <c r="E22148" s="57"/>
      <c r="H22148" s="18"/>
    </row>
    <row r="22149">
      <c r="C22149" s="18"/>
      <c r="D22149" s="19"/>
      <c r="E22149" s="57"/>
      <c r="H22149" s="18"/>
    </row>
    <row r="22150">
      <c r="C22150" s="18"/>
      <c r="D22150" s="19"/>
      <c r="E22150" s="57"/>
      <c r="H22150" s="18"/>
    </row>
    <row r="22151">
      <c r="C22151" s="18"/>
      <c r="D22151" s="19"/>
      <c r="E22151" s="57"/>
      <c r="H22151" s="18"/>
    </row>
    <row r="22152">
      <c r="C22152" s="18"/>
      <c r="D22152" s="19"/>
      <c r="E22152" s="57"/>
      <c r="H22152" s="18"/>
    </row>
    <row r="22153">
      <c r="C22153" s="18"/>
      <c r="D22153" s="19"/>
      <c r="E22153" s="57"/>
      <c r="H22153" s="18"/>
    </row>
    <row r="22154">
      <c r="C22154" s="18"/>
      <c r="D22154" s="19"/>
      <c r="E22154" s="57"/>
      <c r="H22154" s="18"/>
    </row>
    <row r="22155">
      <c r="C22155" s="18"/>
      <c r="D22155" s="19"/>
      <c r="E22155" s="57"/>
      <c r="H22155" s="18"/>
    </row>
    <row r="22156">
      <c r="C22156" s="18"/>
      <c r="D22156" s="19"/>
      <c r="E22156" s="57"/>
      <c r="H22156" s="18"/>
    </row>
    <row r="22157">
      <c r="C22157" s="18"/>
      <c r="D22157" s="19"/>
      <c r="E22157" s="57"/>
      <c r="H22157" s="18"/>
    </row>
    <row r="22158">
      <c r="C22158" s="18"/>
      <c r="D22158" s="19"/>
      <c r="E22158" s="57"/>
      <c r="H22158" s="18"/>
    </row>
    <row r="22159">
      <c r="C22159" s="18"/>
      <c r="D22159" s="19"/>
      <c r="E22159" s="57"/>
      <c r="H22159" s="18"/>
    </row>
    <row r="22160">
      <c r="C22160" s="18"/>
      <c r="D22160" s="19"/>
      <c r="E22160" s="57"/>
      <c r="H22160" s="18"/>
    </row>
    <row r="22161">
      <c r="C22161" s="18"/>
      <c r="D22161" s="19"/>
      <c r="E22161" s="57"/>
      <c r="H22161" s="18"/>
    </row>
    <row r="22162">
      <c r="C22162" s="18"/>
      <c r="D22162" s="19"/>
      <c r="E22162" s="57"/>
      <c r="H22162" s="18"/>
    </row>
    <row r="22163">
      <c r="C22163" s="18"/>
      <c r="D22163" s="19"/>
      <c r="E22163" s="57"/>
      <c r="H22163" s="18"/>
    </row>
    <row r="22164">
      <c r="C22164" s="18"/>
      <c r="D22164" s="19"/>
      <c r="E22164" s="57"/>
      <c r="H22164" s="18"/>
    </row>
    <row r="22165">
      <c r="C22165" s="18"/>
      <c r="D22165" s="19"/>
      <c r="E22165" s="57"/>
      <c r="H22165" s="18"/>
    </row>
    <row r="22166">
      <c r="C22166" s="18"/>
      <c r="D22166" s="19"/>
      <c r="E22166" s="57"/>
      <c r="H22166" s="18"/>
    </row>
    <row r="22167">
      <c r="C22167" s="18"/>
      <c r="D22167" s="19"/>
      <c r="E22167" s="57"/>
      <c r="H22167" s="18"/>
    </row>
    <row r="22168">
      <c r="C22168" s="18"/>
      <c r="D22168" s="19"/>
      <c r="E22168" s="57"/>
      <c r="H22168" s="18"/>
    </row>
    <row r="22169">
      <c r="C22169" s="18"/>
      <c r="D22169" s="19"/>
      <c r="E22169" s="57"/>
      <c r="H22169" s="18"/>
    </row>
    <row r="22170">
      <c r="C22170" s="18"/>
      <c r="D22170" s="19"/>
      <c r="E22170" s="57"/>
      <c r="H22170" s="18"/>
    </row>
    <row r="22171">
      <c r="C22171" s="18"/>
      <c r="D22171" s="19"/>
      <c r="E22171" s="57"/>
      <c r="H22171" s="18"/>
    </row>
    <row r="22172">
      <c r="C22172" s="18"/>
      <c r="D22172" s="19"/>
      <c r="E22172" s="57"/>
      <c r="H22172" s="18"/>
    </row>
    <row r="22173">
      <c r="C22173" s="18"/>
      <c r="D22173" s="19"/>
      <c r="E22173" s="57"/>
      <c r="H22173" s="18"/>
    </row>
    <row r="22174">
      <c r="C22174" s="18"/>
      <c r="D22174" s="19"/>
      <c r="E22174" s="57"/>
      <c r="H22174" s="18"/>
    </row>
    <row r="22175">
      <c r="C22175" s="18"/>
      <c r="D22175" s="19"/>
      <c r="E22175" s="57"/>
      <c r="H22175" s="18"/>
    </row>
    <row r="22176">
      <c r="C22176" s="18"/>
      <c r="D22176" s="19"/>
      <c r="E22176" s="57"/>
      <c r="H22176" s="18"/>
    </row>
    <row r="22177">
      <c r="C22177" s="18"/>
      <c r="D22177" s="19"/>
      <c r="E22177" s="57"/>
      <c r="H22177" s="18"/>
    </row>
    <row r="22178">
      <c r="C22178" s="18"/>
      <c r="D22178" s="19"/>
      <c r="E22178" s="57"/>
      <c r="H22178" s="18"/>
    </row>
    <row r="22179">
      <c r="C22179" s="18"/>
      <c r="D22179" s="19"/>
      <c r="E22179" s="57"/>
      <c r="H22179" s="18"/>
    </row>
    <row r="22180">
      <c r="C22180" s="18"/>
      <c r="D22180" s="19"/>
      <c r="E22180" s="57"/>
      <c r="H22180" s="18"/>
    </row>
    <row r="22181">
      <c r="C22181" s="18"/>
      <c r="D22181" s="19"/>
      <c r="E22181" s="57"/>
      <c r="H22181" s="18"/>
    </row>
    <row r="22182">
      <c r="C22182" s="18"/>
      <c r="D22182" s="19"/>
      <c r="E22182" s="57"/>
      <c r="H22182" s="18"/>
    </row>
    <row r="22183">
      <c r="C22183" s="18"/>
      <c r="D22183" s="19"/>
      <c r="E22183" s="57"/>
      <c r="H22183" s="18"/>
    </row>
    <row r="22184">
      <c r="C22184" s="18"/>
      <c r="D22184" s="19"/>
      <c r="E22184" s="57"/>
      <c r="H22184" s="18"/>
    </row>
    <row r="22185">
      <c r="C22185" s="18"/>
      <c r="D22185" s="19"/>
      <c r="E22185" s="57"/>
      <c r="H22185" s="18"/>
    </row>
    <row r="22186">
      <c r="C22186" s="18"/>
      <c r="D22186" s="19"/>
      <c r="E22186" s="57"/>
      <c r="H22186" s="18"/>
    </row>
    <row r="22187">
      <c r="C22187" s="18"/>
      <c r="D22187" s="19"/>
      <c r="E22187" s="57"/>
      <c r="H22187" s="18"/>
    </row>
    <row r="22188">
      <c r="C22188" s="18"/>
      <c r="D22188" s="19"/>
      <c r="E22188" s="57"/>
      <c r="H22188" s="18"/>
    </row>
    <row r="22189">
      <c r="C22189" s="18"/>
      <c r="D22189" s="19"/>
      <c r="E22189" s="57"/>
      <c r="H22189" s="18"/>
    </row>
    <row r="22190">
      <c r="C22190" s="18"/>
      <c r="D22190" s="19"/>
      <c r="E22190" s="57"/>
      <c r="H22190" s="18"/>
    </row>
    <row r="22191">
      <c r="C22191" s="18"/>
      <c r="D22191" s="19"/>
      <c r="E22191" s="57"/>
      <c r="H22191" s="18"/>
    </row>
    <row r="22192">
      <c r="C22192" s="18"/>
      <c r="D22192" s="19"/>
      <c r="E22192" s="57"/>
      <c r="H22192" s="18"/>
    </row>
    <row r="22193">
      <c r="C22193" s="18"/>
      <c r="D22193" s="19"/>
      <c r="E22193" s="57"/>
      <c r="H22193" s="18"/>
    </row>
    <row r="22194">
      <c r="C22194" s="18"/>
      <c r="D22194" s="19"/>
      <c r="E22194" s="57"/>
      <c r="H22194" s="18"/>
    </row>
    <row r="22195">
      <c r="C22195" s="18"/>
      <c r="D22195" s="19"/>
      <c r="E22195" s="57"/>
      <c r="H22195" s="18"/>
    </row>
    <row r="22196">
      <c r="C22196" s="18"/>
      <c r="D22196" s="19"/>
      <c r="E22196" s="57"/>
      <c r="H22196" s="18"/>
    </row>
    <row r="22197">
      <c r="C22197" s="18"/>
      <c r="D22197" s="19"/>
      <c r="E22197" s="57"/>
      <c r="H22197" s="18"/>
    </row>
    <row r="22198">
      <c r="C22198" s="18"/>
      <c r="D22198" s="19"/>
      <c r="E22198" s="57"/>
      <c r="H22198" s="18"/>
    </row>
    <row r="22199">
      <c r="C22199" s="18"/>
      <c r="D22199" s="19"/>
      <c r="E22199" s="57"/>
      <c r="H22199" s="18"/>
    </row>
    <row r="22200">
      <c r="C22200" s="18"/>
      <c r="D22200" s="19"/>
      <c r="E22200" s="57"/>
      <c r="H22200" s="18"/>
    </row>
    <row r="22201">
      <c r="C22201" s="18"/>
      <c r="D22201" s="19"/>
      <c r="E22201" s="57"/>
      <c r="H22201" s="18"/>
    </row>
    <row r="22202">
      <c r="C22202" s="18"/>
      <c r="D22202" s="19"/>
      <c r="E22202" s="57"/>
      <c r="H22202" s="18"/>
    </row>
    <row r="22203">
      <c r="C22203" s="18"/>
      <c r="D22203" s="19"/>
      <c r="E22203" s="57"/>
      <c r="H22203" s="18"/>
    </row>
    <row r="22204">
      <c r="C22204" s="18"/>
      <c r="D22204" s="19"/>
      <c r="E22204" s="57"/>
      <c r="H22204" s="18"/>
    </row>
    <row r="22205">
      <c r="C22205" s="18"/>
      <c r="D22205" s="19"/>
      <c r="E22205" s="57"/>
      <c r="H22205" s="18"/>
    </row>
    <row r="22206">
      <c r="C22206" s="18"/>
      <c r="D22206" s="19"/>
      <c r="E22206" s="57"/>
      <c r="H22206" s="18"/>
    </row>
    <row r="22207">
      <c r="C22207" s="18"/>
      <c r="D22207" s="19"/>
      <c r="E22207" s="57"/>
      <c r="H22207" s="18"/>
    </row>
    <row r="22208">
      <c r="C22208" s="18"/>
      <c r="D22208" s="19"/>
      <c r="E22208" s="57"/>
      <c r="H22208" s="18"/>
    </row>
    <row r="22209">
      <c r="C22209" s="18"/>
      <c r="D22209" s="19"/>
      <c r="E22209" s="57"/>
      <c r="H22209" s="18"/>
    </row>
    <row r="22210">
      <c r="C22210" s="18"/>
      <c r="D22210" s="19"/>
      <c r="E22210" s="57"/>
      <c r="H22210" s="18"/>
    </row>
    <row r="22211">
      <c r="C22211" s="18"/>
      <c r="D22211" s="19"/>
      <c r="E22211" s="57"/>
      <c r="H22211" s="18"/>
    </row>
    <row r="22212">
      <c r="C22212" s="18"/>
      <c r="D22212" s="19"/>
      <c r="E22212" s="57"/>
      <c r="H22212" s="18"/>
    </row>
    <row r="22213">
      <c r="C22213" s="18"/>
      <c r="D22213" s="19"/>
      <c r="E22213" s="57"/>
      <c r="H22213" s="18"/>
    </row>
    <row r="22214">
      <c r="C22214" s="18"/>
      <c r="D22214" s="19"/>
      <c r="E22214" s="57"/>
      <c r="H22214" s="18"/>
    </row>
    <row r="22215">
      <c r="C22215" s="18"/>
      <c r="D22215" s="19"/>
      <c r="E22215" s="57"/>
      <c r="H22215" s="18"/>
    </row>
    <row r="22216">
      <c r="C22216" s="18"/>
      <c r="D22216" s="19"/>
      <c r="E22216" s="57"/>
      <c r="H22216" s="18"/>
    </row>
    <row r="22217">
      <c r="C22217" s="18"/>
      <c r="D22217" s="19"/>
      <c r="E22217" s="57"/>
      <c r="H22217" s="18"/>
    </row>
    <row r="22218">
      <c r="C22218" s="18"/>
      <c r="D22218" s="19"/>
      <c r="E22218" s="57"/>
      <c r="H22218" s="18"/>
    </row>
    <row r="22219">
      <c r="C22219" s="18"/>
      <c r="D22219" s="19"/>
      <c r="E22219" s="57"/>
      <c r="H22219" s="18"/>
    </row>
    <row r="22220">
      <c r="C22220" s="18"/>
      <c r="D22220" s="19"/>
      <c r="E22220" s="57"/>
      <c r="H22220" s="18"/>
    </row>
    <row r="22221">
      <c r="C22221" s="18"/>
      <c r="D22221" s="19"/>
      <c r="E22221" s="57"/>
      <c r="H22221" s="18"/>
    </row>
    <row r="22222">
      <c r="C22222" s="18"/>
      <c r="D22222" s="19"/>
      <c r="E22222" s="57"/>
      <c r="H22222" s="18"/>
    </row>
    <row r="22223">
      <c r="C22223" s="18"/>
      <c r="D22223" s="19"/>
      <c r="E22223" s="57"/>
      <c r="H22223" s="18"/>
    </row>
    <row r="22224">
      <c r="C22224" s="18"/>
      <c r="D22224" s="19"/>
      <c r="E22224" s="57"/>
      <c r="H22224" s="18"/>
    </row>
    <row r="22225">
      <c r="C22225" s="18"/>
      <c r="D22225" s="19"/>
      <c r="E22225" s="57"/>
      <c r="H22225" s="18"/>
    </row>
    <row r="22226">
      <c r="C22226" s="18"/>
      <c r="D22226" s="19"/>
      <c r="E22226" s="57"/>
      <c r="H22226" s="18"/>
    </row>
    <row r="22227">
      <c r="C22227" s="18"/>
      <c r="D22227" s="19"/>
      <c r="E22227" s="57"/>
      <c r="H22227" s="18"/>
    </row>
    <row r="22228">
      <c r="C22228" s="18"/>
      <c r="D22228" s="19"/>
      <c r="E22228" s="57"/>
      <c r="H22228" s="18"/>
    </row>
    <row r="22229">
      <c r="C22229" s="18"/>
      <c r="D22229" s="19"/>
      <c r="E22229" s="57"/>
      <c r="H22229" s="18"/>
    </row>
    <row r="22230">
      <c r="C22230" s="18"/>
      <c r="D22230" s="19"/>
      <c r="E22230" s="57"/>
      <c r="H22230" s="18"/>
    </row>
    <row r="22231">
      <c r="C22231" s="18"/>
      <c r="D22231" s="19"/>
      <c r="E22231" s="57"/>
      <c r="H22231" s="18"/>
    </row>
    <row r="22232">
      <c r="C22232" s="18"/>
      <c r="D22232" s="19"/>
      <c r="E22232" s="57"/>
      <c r="H22232" s="18"/>
    </row>
    <row r="22233">
      <c r="C22233" s="18"/>
      <c r="D22233" s="19"/>
      <c r="E22233" s="57"/>
      <c r="H22233" s="18"/>
    </row>
    <row r="22234">
      <c r="C22234" s="18"/>
      <c r="D22234" s="19"/>
      <c r="E22234" s="57"/>
      <c r="H22234" s="18"/>
    </row>
    <row r="22235">
      <c r="C22235" s="18"/>
      <c r="D22235" s="19"/>
      <c r="E22235" s="57"/>
      <c r="H22235" s="18"/>
    </row>
    <row r="22236">
      <c r="C22236" s="18"/>
      <c r="D22236" s="19"/>
      <c r="E22236" s="57"/>
      <c r="H22236" s="18"/>
    </row>
    <row r="22237">
      <c r="C22237" s="18"/>
      <c r="D22237" s="19"/>
      <c r="E22237" s="57"/>
      <c r="H22237" s="18"/>
    </row>
    <row r="22238">
      <c r="C22238" s="18"/>
      <c r="D22238" s="19"/>
      <c r="E22238" s="57"/>
      <c r="H22238" s="18"/>
    </row>
    <row r="22239">
      <c r="C22239" s="18"/>
      <c r="D22239" s="19"/>
      <c r="E22239" s="57"/>
      <c r="H22239" s="18"/>
    </row>
    <row r="22240">
      <c r="C22240" s="18"/>
      <c r="D22240" s="19"/>
      <c r="E22240" s="57"/>
      <c r="H22240" s="18"/>
    </row>
    <row r="22241">
      <c r="C22241" s="18"/>
      <c r="D22241" s="19"/>
      <c r="E22241" s="57"/>
      <c r="H22241" s="18"/>
    </row>
    <row r="22242">
      <c r="C22242" s="18"/>
      <c r="D22242" s="19"/>
      <c r="E22242" s="57"/>
      <c r="H22242" s="18"/>
    </row>
    <row r="22243">
      <c r="C22243" s="18"/>
      <c r="D22243" s="19"/>
      <c r="E22243" s="57"/>
      <c r="H22243" s="18"/>
    </row>
    <row r="22244">
      <c r="C22244" s="18"/>
      <c r="D22244" s="19"/>
      <c r="E22244" s="57"/>
      <c r="H22244" s="18"/>
    </row>
    <row r="22245">
      <c r="C22245" s="18"/>
      <c r="D22245" s="19"/>
      <c r="E22245" s="57"/>
      <c r="H22245" s="18"/>
    </row>
    <row r="22246">
      <c r="C22246" s="18"/>
      <c r="D22246" s="19"/>
      <c r="E22246" s="57"/>
      <c r="H22246" s="18"/>
    </row>
    <row r="22247">
      <c r="C22247" s="18"/>
      <c r="D22247" s="19"/>
      <c r="E22247" s="57"/>
      <c r="H22247" s="18"/>
    </row>
    <row r="22248">
      <c r="C22248" s="18"/>
      <c r="D22248" s="19"/>
      <c r="E22248" s="57"/>
      <c r="H22248" s="18"/>
    </row>
    <row r="22249">
      <c r="C22249" s="18"/>
      <c r="D22249" s="19"/>
      <c r="E22249" s="57"/>
      <c r="H22249" s="18"/>
    </row>
    <row r="22250">
      <c r="C22250" s="18"/>
      <c r="D22250" s="19"/>
      <c r="E22250" s="57"/>
      <c r="H22250" s="18"/>
    </row>
    <row r="22251">
      <c r="C22251" s="18"/>
      <c r="D22251" s="19"/>
      <c r="E22251" s="57"/>
      <c r="H22251" s="18"/>
    </row>
    <row r="22252">
      <c r="C22252" s="18"/>
      <c r="D22252" s="19"/>
      <c r="E22252" s="57"/>
      <c r="H22252" s="18"/>
    </row>
    <row r="22253">
      <c r="C22253" s="18"/>
      <c r="D22253" s="19"/>
      <c r="E22253" s="57"/>
      <c r="H22253" s="18"/>
    </row>
    <row r="22254">
      <c r="C22254" s="18"/>
      <c r="D22254" s="19"/>
      <c r="E22254" s="57"/>
      <c r="H22254" s="18"/>
    </row>
    <row r="22255">
      <c r="C22255" s="18"/>
      <c r="D22255" s="19"/>
      <c r="E22255" s="57"/>
      <c r="H22255" s="18"/>
    </row>
    <row r="22256">
      <c r="C22256" s="18"/>
      <c r="D22256" s="19"/>
      <c r="E22256" s="57"/>
      <c r="H22256" s="18"/>
    </row>
    <row r="22257">
      <c r="C22257" s="18"/>
      <c r="D22257" s="19"/>
      <c r="E22257" s="57"/>
      <c r="H22257" s="18"/>
    </row>
    <row r="22258">
      <c r="C22258" s="18"/>
      <c r="D22258" s="19"/>
      <c r="E22258" s="57"/>
      <c r="H22258" s="18"/>
    </row>
    <row r="22259">
      <c r="C22259" s="18"/>
      <c r="D22259" s="19"/>
      <c r="E22259" s="57"/>
      <c r="H22259" s="18"/>
    </row>
    <row r="22260">
      <c r="C22260" s="18"/>
      <c r="D22260" s="19"/>
      <c r="E22260" s="57"/>
      <c r="H22260" s="18"/>
    </row>
    <row r="22261">
      <c r="C22261" s="18"/>
      <c r="D22261" s="19"/>
      <c r="E22261" s="57"/>
      <c r="H22261" s="18"/>
    </row>
    <row r="22262">
      <c r="C22262" s="18"/>
      <c r="D22262" s="19"/>
      <c r="E22262" s="57"/>
      <c r="H22262" s="18"/>
    </row>
    <row r="22263">
      <c r="C22263" s="18"/>
      <c r="D22263" s="19"/>
      <c r="E22263" s="57"/>
      <c r="H22263" s="18"/>
    </row>
    <row r="22264">
      <c r="C22264" s="18"/>
      <c r="D22264" s="19"/>
      <c r="E22264" s="57"/>
      <c r="H22264" s="18"/>
    </row>
    <row r="22265">
      <c r="C22265" s="18"/>
      <c r="D22265" s="19"/>
      <c r="E22265" s="57"/>
      <c r="H22265" s="18"/>
    </row>
    <row r="22266">
      <c r="C22266" s="18"/>
      <c r="D22266" s="19"/>
      <c r="E22266" s="57"/>
      <c r="H22266" s="18"/>
    </row>
    <row r="22267">
      <c r="C22267" s="18"/>
      <c r="D22267" s="19"/>
      <c r="E22267" s="57"/>
      <c r="H22267" s="18"/>
    </row>
    <row r="22268">
      <c r="C22268" s="18"/>
      <c r="D22268" s="19"/>
      <c r="E22268" s="57"/>
      <c r="H22268" s="18"/>
    </row>
    <row r="22269">
      <c r="C22269" s="18"/>
      <c r="D22269" s="19"/>
      <c r="E22269" s="57"/>
      <c r="H22269" s="18"/>
    </row>
    <row r="22270">
      <c r="C22270" s="18"/>
      <c r="D22270" s="19"/>
      <c r="E22270" s="57"/>
      <c r="H22270" s="18"/>
    </row>
    <row r="22271">
      <c r="C22271" s="18"/>
      <c r="D22271" s="19"/>
      <c r="E22271" s="57"/>
      <c r="H22271" s="18"/>
    </row>
    <row r="22272">
      <c r="C22272" s="18"/>
      <c r="D22272" s="19"/>
      <c r="E22272" s="57"/>
      <c r="H22272" s="18"/>
    </row>
    <row r="22273">
      <c r="C22273" s="18"/>
      <c r="D22273" s="19"/>
      <c r="E22273" s="57"/>
      <c r="H22273" s="18"/>
    </row>
    <row r="22274">
      <c r="C22274" s="18"/>
      <c r="D22274" s="19"/>
      <c r="E22274" s="57"/>
      <c r="H22274" s="18"/>
    </row>
    <row r="22275">
      <c r="C22275" s="18"/>
      <c r="D22275" s="19"/>
      <c r="E22275" s="57"/>
      <c r="H22275" s="18"/>
    </row>
    <row r="22276">
      <c r="C22276" s="18"/>
      <c r="D22276" s="19"/>
      <c r="E22276" s="57"/>
      <c r="H22276" s="18"/>
    </row>
    <row r="22277">
      <c r="C22277" s="18"/>
      <c r="D22277" s="19"/>
      <c r="E22277" s="57"/>
      <c r="H22277" s="18"/>
    </row>
    <row r="22278">
      <c r="C22278" s="18"/>
      <c r="D22278" s="19"/>
      <c r="E22278" s="57"/>
      <c r="H22278" s="18"/>
    </row>
    <row r="22279">
      <c r="C22279" s="18"/>
      <c r="D22279" s="19"/>
      <c r="E22279" s="57"/>
      <c r="H22279" s="18"/>
    </row>
    <row r="22280">
      <c r="C22280" s="18"/>
      <c r="D22280" s="19"/>
      <c r="E22280" s="57"/>
      <c r="H22280" s="18"/>
    </row>
    <row r="22281">
      <c r="C22281" s="18"/>
      <c r="D22281" s="19"/>
      <c r="E22281" s="57"/>
      <c r="H22281" s="18"/>
    </row>
    <row r="22282">
      <c r="C22282" s="18"/>
      <c r="D22282" s="19"/>
      <c r="E22282" s="57"/>
      <c r="H22282" s="18"/>
    </row>
    <row r="22283">
      <c r="C22283" s="18"/>
      <c r="D22283" s="19"/>
      <c r="E22283" s="57"/>
      <c r="H22283" s="18"/>
    </row>
    <row r="22284">
      <c r="C22284" s="18"/>
      <c r="D22284" s="19"/>
      <c r="E22284" s="57"/>
      <c r="H22284" s="18"/>
    </row>
    <row r="22285">
      <c r="C22285" s="18"/>
      <c r="D22285" s="19"/>
      <c r="E22285" s="57"/>
      <c r="H22285" s="18"/>
    </row>
    <row r="22286">
      <c r="C22286" s="18"/>
      <c r="D22286" s="19"/>
      <c r="E22286" s="57"/>
      <c r="H22286" s="18"/>
    </row>
    <row r="22287">
      <c r="C22287" s="18"/>
      <c r="D22287" s="19"/>
      <c r="E22287" s="57"/>
      <c r="H22287" s="18"/>
    </row>
    <row r="22288">
      <c r="C22288" s="18"/>
      <c r="D22288" s="19"/>
      <c r="E22288" s="57"/>
      <c r="H22288" s="18"/>
    </row>
    <row r="22289">
      <c r="C22289" s="18"/>
      <c r="D22289" s="19"/>
      <c r="E22289" s="57"/>
      <c r="H22289" s="18"/>
    </row>
    <row r="22290">
      <c r="C22290" s="18"/>
      <c r="D22290" s="19"/>
      <c r="E22290" s="57"/>
      <c r="H22290" s="18"/>
    </row>
    <row r="22291">
      <c r="C22291" s="18"/>
      <c r="D22291" s="19"/>
      <c r="E22291" s="57"/>
      <c r="H22291" s="18"/>
    </row>
    <row r="22292">
      <c r="C22292" s="18"/>
      <c r="D22292" s="19"/>
      <c r="E22292" s="57"/>
      <c r="H22292" s="18"/>
    </row>
    <row r="22293">
      <c r="C22293" s="18"/>
      <c r="D22293" s="19"/>
      <c r="E22293" s="57"/>
      <c r="H22293" s="18"/>
    </row>
    <row r="22294">
      <c r="C22294" s="18"/>
      <c r="D22294" s="19"/>
      <c r="E22294" s="57"/>
      <c r="H22294" s="18"/>
    </row>
    <row r="22295">
      <c r="C22295" s="18"/>
      <c r="D22295" s="19"/>
      <c r="E22295" s="57"/>
      <c r="H22295" s="18"/>
    </row>
    <row r="22296">
      <c r="C22296" s="18"/>
      <c r="D22296" s="19"/>
      <c r="E22296" s="57"/>
      <c r="H22296" s="18"/>
    </row>
    <row r="22297">
      <c r="C22297" s="18"/>
      <c r="D22297" s="19"/>
      <c r="E22297" s="57"/>
      <c r="H22297" s="18"/>
    </row>
    <row r="22298">
      <c r="C22298" s="18"/>
      <c r="D22298" s="19"/>
      <c r="E22298" s="57"/>
      <c r="H22298" s="18"/>
    </row>
    <row r="22299">
      <c r="C22299" s="18"/>
      <c r="D22299" s="19"/>
      <c r="E22299" s="57"/>
      <c r="H22299" s="18"/>
    </row>
    <row r="22300">
      <c r="C22300" s="18"/>
      <c r="D22300" s="19"/>
      <c r="E22300" s="57"/>
      <c r="H22300" s="18"/>
    </row>
    <row r="22301">
      <c r="C22301" s="18"/>
      <c r="D22301" s="19"/>
      <c r="E22301" s="57"/>
      <c r="H22301" s="18"/>
    </row>
    <row r="22302">
      <c r="C22302" s="18"/>
      <c r="D22302" s="19"/>
      <c r="E22302" s="57"/>
      <c r="H22302" s="18"/>
    </row>
    <row r="22303">
      <c r="C22303" s="18"/>
      <c r="D22303" s="19"/>
      <c r="E22303" s="57"/>
      <c r="H22303" s="18"/>
    </row>
    <row r="22304">
      <c r="C22304" s="18"/>
      <c r="D22304" s="19"/>
      <c r="E22304" s="57"/>
      <c r="H22304" s="18"/>
    </row>
    <row r="22305">
      <c r="C22305" s="18"/>
      <c r="D22305" s="19"/>
      <c r="E22305" s="57"/>
      <c r="H22305" s="18"/>
    </row>
    <row r="22306">
      <c r="C22306" s="18"/>
      <c r="D22306" s="19"/>
      <c r="E22306" s="57"/>
      <c r="H22306" s="18"/>
    </row>
    <row r="22307">
      <c r="C22307" s="18"/>
      <c r="D22307" s="19"/>
      <c r="E22307" s="57"/>
      <c r="H22307" s="18"/>
    </row>
    <row r="22308">
      <c r="C22308" s="18"/>
      <c r="D22308" s="19"/>
      <c r="E22308" s="57"/>
      <c r="H22308" s="18"/>
    </row>
    <row r="22309">
      <c r="C22309" s="18"/>
      <c r="D22309" s="19"/>
      <c r="E22309" s="57"/>
      <c r="H22309" s="18"/>
    </row>
    <row r="22310">
      <c r="C22310" s="18"/>
      <c r="D22310" s="19"/>
      <c r="E22310" s="57"/>
      <c r="H22310" s="18"/>
    </row>
    <row r="22311">
      <c r="C22311" s="18"/>
      <c r="D22311" s="19"/>
      <c r="E22311" s="57"/>
      <c r="H22311" s="18"/>
    </row>
    <row r="22312">
      <c r="C22312" s="18"/>
      <c r="D22312" s="19"/>
      <c r="E22312" s="57"/>
      <c r="H22312" s="18"/>
    </row>
    <row r="22313">
      <c r="C22313" s="18"/>
      <c r="D22313" s="19"/>
      <c r="E22313" s="57"/>
      <c r="H22313" s="18"/>
    </row>
    <row r="22314">
      <c r="C22314" s="18"/>
      <c r="D22314" s="19"/>
      <c r="E22314" s="57"/>
      <c r="H22314" s="18"/>
    </row>
    <row r="22315">
      <c r="C22315" s="18"/>
      <c r="D22315" s="19"/>
      <c r="E22315" s="57"/>
      <c r="H22315" s="18"/>
    </row>
    <row r="22316">
      <c r="C22316" s="18"/>
      <c r="D22316" s="19"/>
      <c r="E22316" s="57"/>
      <c r="H22316" s="18"/>
    </row>
    <row r="22317">
      <c r="C22317" s="18"/>
      <c r="D22317" s="19"/>
      <c r="E22317" s="57"/>
      <c r="H22317" s="18"/>
    </row>
    <row r="22318">
      <c r="C22318" s="18"/>
      <c r="D22318" s="19"/>
      <c r="E22318" s="57"/>
      <c r="H22318" s="18"/>
    </row>
    <row r="22319">
      <c r="C22319" s="18"/>
      <c r="D22319" s="19"/>
      <c r="E22319" s="57"/>
      <c r="H22319" s="18"/>
    </row>
    <row r="22320">
      <c r="C22320" s="18"/>
      <c r="D22320" s="19"/>
      <c r="E22320" s="57"/>
      <c r="H22320" s="18"/>
    </row>
    <row r="22321">
      <c r="C22321" s="18"/>
      <c r="D22321" s="19"/>
      <c r="E22321" s="57"/>
      <c r="H22321" s="18"/>
    </row>
    <row r="22322">
      <c r="C22322" s="18"/>
      <c r="D22322" s="19"/>
      <c r="E22322" s="57"/>
      <c r="H22322" s="18"/>
    </row>
    <row r="22323">
      <c r="C22323" s="18"/>
      <c r="D22323" s="19"/>
      <c r="E22323" s="57"/>
      <c r="H22323" s="18"/>
    </row>
    <row r="22324">
      <c r="C22324" s="18"/>
      <c r="D22324" s="19"/>
      <c r="E22324" s="57"/>
      <c r="H22324" s="18"/>
    </row>
    <row r="22325">
      <c r="C22325" s="18"/>
      <c r="D22325" s="19"/>
      <c r="E22325" s="57"/>
      <c r="H22325" s="18"/>
    </row>
    <row r="22326">
      <c r="C22326" s="18"/>
      <c r="D22326" s="19"/>
      <c r="E22326" s="57"/>
      <c r="H22326" s="18"/>
    </row>
    <row r="22327">
      <c r="C22327" s="18"/>
      <c r="D22327" s="19"/>
      <c r="E22327" s="57"/>
      <c r="H22327" s="18"/>
    </row>
    <row r="22328">
      <c r="C22328" s="18"/>
      <c r="D22328" s="19"/>
      <c r="E22328" s="57"/>
      <c r="H22328" s="18"/>
    </row>
    <row r="22329">
      <c r="C22329" s="18"/>
      <c r="D22329" s="19"/>
      <c r="E22329" s="57"/>
      <c r="H22329" s="18"/>
    </row>
    <row r="22330">
      <c r="C22330" s="18"/>
      <c r="D22330" s="19"/>
      <c r="E22330" s="57"/>
      <c r="H22330" s="18"/>
    </row>
    <row r="22331">
      <c r="C22331" s="18"/>
      <c r="D22331" s="19"/>
      <c r="E22331" s="57"/>
      <c r="H22331" s="18"/>
    </row>
    <row r="22332">
      <c r="C22332" s="18"/>
      <c r="D22332" s="19"/>
      <c r="E22332" s="57"/>
      <c r="H22332" s="18"/>
    </row>
    <row r="22333">
      <c r="C22333" s="18"/>
      <c r="D22333" s="19"/>
      <c r="E22333" s="57"/>
      <c r="H22333" s="18"/>
    </row>
    <row r="22334">
      <c r="C22334" s="18"/>
      <c r="D22334" s="19"/>
      <c r="E22334" s="57"/>
      <c r="H22334" s="18"/>
    </row>
    <row r="22335">
      <c r="C22335" s="18"/>
      <c r="D22335" s="19"/>
      <c r="E22335" s="57"/>
      <c r="H22335" s="18"/>
    </row>
    <row r="22336">
      <c r="C22336" s="18"/>
      <c r="D22336" s="19"/>
      <c r="E22336" s="57"/>
      <c r="H22336" s="18"/>
    </row>
    <row r="22337">
      <c r="C22337" s="18"/>
      <c r="D22337" s="19"/>
      <c r="E22337" s="57"/>
      <c r="H22337" s="18"/>
    </row>
    <row r="22338">
      <c r="C22338" s="18"/>
      <c r="D22338" s="19"/>
      <c r="E22338" s="57"/>
      <c r="H22338" s="18"/>
    </row>
    <row r="22339">
      <c r="C22339" s="18"/>
      <c r="D22339" s="19"/>
      <c r="E22339" s="57"/>
      <c r="H22339" s="18"/>
    </row>
    <row r="22340">
      <c r="C22340" s="18"/>
      <c r="D22340" s="19"/>
      <c r="E22340" s="57"/>
      <c r="H22340" s="18"/>
    </row>
    <row r="22341">
      <c r="C22341" s="18"/>
      <c r="D22341" s="19"/>
      <c r="E22341" s="57"/>
      <c r="H22341" s="18"/>
    </row>
    <row r="22342">
      <c r="C22342" s="18"/>
      <c r="D22342" s="19"/>
      <c r="E22342" s="57"/>
      <c r="H22342" s="18"/>
    </row>
    <row r="22343">
      <c r="C22343" s="18"/>
      <c r="D22343" s="19"/>
      <c r="E22343" s="57"/>
      <c r="H22343" s="18"/>
    </row>
    <row r="22344">
      <c r="C22344" s="18"/>
      <c r="D22344" s="19"/>
      <c r="E22344" s="57"/>
      <c r="H22344" s="18"/>
    </row>
    <row r="22345">
      <c r="C22345" s="18"/>
      <c r="D22345" s="19"/>
      <c r="E22345" s="57"/>
      <c r="H22345" s="18"/>
    </row>
    <row r="22346">
      <c r="C22346" s="18"/>
      <c r="D22346" s="19"/>
      <c r="E22346" s="57"/>
      <c r="H22346" s="18"/>
    </row>
    <row r="22347">
      <c r="C22347" s="18"/>
      <c r="D22347" s="19"/>
      <c r="E22347" s="57"/>
      <c r="H22347" s="18"/>
    </row>
    <row r="22348">
      <c r="C22348" s="18"/>
      <c r="D22348" s="19"/>
      <c r="E22348" s="57"/>
      <c r="H22348" s="18"/>
    </row>
    <row r="22349">
      <c r="C22349" s="18"/>
      <c r="D22349" s="19"/>
      <c r="E22349" s="57"/>
      <c r="H22349" s="18"/>
    </row>
    <row r="22350">
      <c r="C22350" s="18"/>
      <c r="D22350" s="19"/>
      <c r="E22350" s="57"/>
      <c r="H22350" s="18"/>
    </row>
    <row r="22351">
      <c r="C22351" s="18"/>
      <c r="D22351" s="19"/>
      <c r="E22351" s="57"/>
      <c r="H22351" s="18"/>
    </row>
    <row r="22352">
      <c r="C22352" s="18"/>
      <c r="D22352" s="19"/>
      <c r="E22352" s="57"/>
      <c r="H22352" s="18"/>
    </row>
    <row r="22353">
      <c r="C22353" s="18"/>
      <c r="D22353" s="19"/>
      <c r="E22353" s="57"/>
      <c r="H22353" s="18"/>
    </row>
    <row r="22354">
      <c r="C22354" s="18"/>
      <c r="D22354" s="19"/>
      <c r="E22354" s="57"/>
      <c r="H22354" s="18"/>
    </row>
    <row r="22355">
      <c r="C22355" s="18"/>
      <c r="D22355" s="19"/>
      <c r="E22355" s="57"/>
      <c r="H22355" s="18"/>
    </row>
    <row r="22356">
      <c r="C22356" s="18"/>
      <c r="D22356" s="19"/>
      <c r="E22356" s="57"/>
      <c r="H22356" s="18"/>
    </row>
    <row r="22357">
      <c r="C22357" s="18"/>
      <c r="D22357" s="19"/>
      <c r="E22357" s="57"/>
      <c r="H22357" s="18"/>
    </row>
    <row r="22358">
      <c r="C22358" s="18"/>
      <c r="D22358" s="19"/>
      <c r="E22358" s="57"/>
      <c r="H22358" s="18"/>
    </row>
    <row r="22359">
      <c r="C22359" s="18"/>
      <c r="D22359" s="19"/>
      <c r="E22359" s="57"/>
      <c r="H22359" s="18"/>
    </row>
    <row r="22360">
      <c r="C22360" s="18"/>
      <c r="D22360" s="19"/>
      <c r="E22360" s="57"/>
      <c r="H22360" s="18"/>
    </row>
    <row r="22361">
      <c r="C22361" s="18"/>
      <c r="D22361" s="19"/>
      <c r="E22361" s="57"/>
      <c r="H22361" s="18"/>
    </row>
    <row r="22362">
      <c r="C22362" s="18"/>
      <c r="D22362" s="19"/>
      <c r="E22362" s="57"/>
      <c r="H22362" s="18"/>
    </row>
    <row r="22363">
      <c r="C22363" s="18"/>
      <c r="D22363" s="19"/>
      <c r="E22363" s="57"/>
      <c r="H22363" s="18"/>
    </row>
    <row r="22364">
      <c r="C22364" s="18"/>
      <c r="D22364" s="19"/>
      <c r="E22364" s="57"/>
      <c r="H22364" s="18"/>
    </row>
    <row r="22365">
      <c r="C22365" s="18"/>
      <c r="D22365" s="19"/>
      <c r="E22365" s="57"/>
      <c r="H22365" s="18"/>
    </row>
    <row r="22366">
      <c r="C22366" s="18"/>
      <c r="D22366" s="19"/>
      <c r="E22366" s="57"/>
      <c r="H22366" s="18"/>
    </row>
    <row r="22367">
      <c r="C22367" s="18"/>
      <c r="D22367" s="19"/>
      <c r="E22367" s="57"/>
      <c r="H22367" s="18"/>
    </row>
    <row r="22368">
      <c r="C22368" s="18"/>
      <c r="D22368" s="19"/>
      <c r="E22368" s="57"/>
      <c r="H22368" s="18"/>
    </row>
    <row r="22369">
      <c r="C22369" s="18"/>
      <c r="D22369" s="19"/>
      <c r="E22369" s="57"/>
      <c r="H22369" s="18"/>
    </row>
    <row r="22370">
      <c r="C22370" s="18"/>
      <c r="D22370" s="19"/>
      <c r="E22370" s="57"/>
      <c r="H22370" s="18"/>
    </row>
    <row r="22371">
      <c r="C22371" s="18"/>
      <c r="D22371" s="19"/>
      <c r="E22371" s="57"/>
      <c r="H22371" s="18"/>
    </row>
    <row r="22372">
      <c r="C22372" s="18"/>
      <c r="D22372" s="19"/>
      <c r="E22372" s="57"/>
      <c r="H22372" s="18"/>
    </row>
    <row r="22373">
      <c r="C22373" s="18"/>
      <c r="D22373" s="19"/>
      <c r="E22373" s="57"/>
      <c r="H22373" s="18"/>
    </row>
    <row r="22374">
      <c r="C22374" s="18"/>
      <c r="D22374" s="19"/>
      <c r="E22374" s="57"/>
      <c r="H22374" s="18"/>
    </row>
    <row r="22375">
      <c r="C22375" s="18"/>
      <c r="D22375" s="19"/>
      <c r="E22375" s="57"/>
      <c r="H22375" s="18"/>
    </row>
    <row r="22376">
      <c r="C22376" s="18"/>
      <c r="D22376" s="19"/>
      <c r="E22376" s="57"/>
      <c r="H22376" s="18"/>
    </row>
    <row r="22377">
      <c r="C22377" s="18"/>
      <c r="D22377" s="19"/>
      <c r="E22377" s="57"/>
      <c r="H22377" s="18"/>
    </row>
    <row r="22378">
      <c r="C22378" s="18"/>
      <c r="D22378" s="19"/>
      <c r="E22378" s="57"/>
      <c r="H22378" s="18"/>
    </row>
    <row r="22379">
      <c r="C22379" s="18"/>
      <c r="D22379" s="19"/>
      <c r="E22379" s="57"/>
      <c r="H22379" s="18"/>
    </row>
    <row r="22380">
      <c r="C22380" s="18"/>
      <c r="D22380" s="19"/>
      <c r="E22380" s="57"/>
      <c r="H22380" s="18"/>
    </row>
    <row r="22381">
      <c r="C22381" s="18"/>
      <c r="D22381" s="19"/>
      <c r="E22381" s="57"/>
      <c r="H22381" s="18"/>
    </row>
    <row r="22382">
      <c r="C22382" s="18"/>
      <c r="D22382" s="19"/>
      <c r="E22382" s="57"/>
      <c r="H22382" s="18"/>
    </row>
    <row r="22383">
      <c r="C22383" s="18"/>
      <c r="D22383" s="19"/>
      <c r="E22383" s="57"/>
      <c r="H22383" s="18"/>
    </row>
    <row r="22384">
      <c r="C22384" s="18"/>
      <c r="D22384" s="19"/>
      <c r="E22384" s="57"/>
      <c r="H22384" s="18"/>
    </row>
    <row r="22385">
      <c r="C22385" s="18"/>
      <c r="D22385" s="19"/>
      <c r="E22385" s="57"/>
      <c r="H22385" s="18"/>
    </row>
    <row r="22386">
      <c r="C22386" s="18"/>
      <c r="D22386" s="19"/>
      <c r="E22386" s="57"/>
      <c r="H22386" s="18"/>
    </row>
    <row r="22387">
      <c r="C22387" s="18"/>
      <c r="D22387" s="19"/>
      <c r="E22387" s="57"/>
      <c r="H22387" s="18"/>
    </row>
    <row r="22388">
      <c r="C22388" s="18"/>
      <c r="D22388" s="19"/>
      <c r="E22388" s="57"/>
      <c r="H22388" s="18"/>
    </row>
    <row r="22389">
      <c r="C22389" s="18"/>
      <c r="D22389" s="19"/>
      <c r="E22389" s="57"/>
      <c r="H22389" s="18"/>
    </row>
    <row r="22390">
      <c r="C22390" s="18"/>
      <c r="D22390" s="19"/>
      <c r="E22390" s="57"/>
      <c r="H22390" s="18"/>
    </row>
    <row r="22391">
      <c r="C22391" s="18"/>
      <c r="D22391" s="19"/>
      <c r="E22391" s="57"/>
      <c r="H22391" s="18"/>
    </row>
    <row r="22392">
      <c r="C22392" s="18"/>
      <c r="D22392" s="19"/>
      <c r="E22392" s="57"/>
      <c r="H22392" s="18"/>
    </row>
    <row r="22393">
      <c r="C22393" s="18"/>
      <c r="D22393" s="19"/>
      <c r="E22393" s="57"/>
      <c r="H22393" s="18"/>
    </row>
    <row r="22394">
      <c r="C22394" s="18"/>
      <c r="D22394" s="19"/>
      <c r="E22394" s="57"/>
      <c r="H22394" s="18"/>
    </row>
    <row r="22395">
      <c r="C22395" s="18"/>
      <c r="D22395" s="19"/>
      <c r="E22395" s="57"/>
      <c r="H22395" s="18"/>
    </row>
    <row r="22396">
      <c r="C22396" s="18"/>
      <c r="D22396" s="19"/>
      <c r="E22396" s="57"/>
      <c r="H22396" s="18"/>
    </row>
    <row r="22397">
      <c r="C22397" s="18"/>
      <c r="D22397" s="19"/>
      <c r="E22397" s="57"/>
      <c r="H22397" s="18"/>
    </row>
    <row r="22398">
      <c r="C22398" s="18"/>
      <c r="D22398" s="19"/>
      <c r="E22398" s="57"/>
      <c r="H22398" s="18"/>
    </row>
    <row r="22399">
      <c r="C22399" s="18"/>
      <c r="D22399" s="19"/>
      <c r="E22399" s="57"/>
      <c r="H22399" s="18"/>
    </row>
    <row r="22400">
      <c r="C22400" s="18"/>
      <c r="D22400" s="19"/>
      <c r="E22400" s="57"/>
      <c r="H22400" s="18"/>
    </row>
    <row r="22401">
      <c r="C22401" s="18"/>
      <c r="D22401" s="19"/>
      <c r="E22401" s="57"/>
      <c r="H22401" s="18"/>
    </row>
    <row r="22402">
      <c r="C22402" s="18"/>
      <c r="D22402" s="19"/>
      <c r="E22402" s="57"/>
      <c r="H22402" s="18"/>
    </row>
    <row r="22403">
      <c r="C22403" s="18"/>
      <c r="D22403" s="19"/>
      <c r="E22403" s="57"/>
      <c r="H22403" s="18"/>
    </row>
    <row r="22404">
      <c r="C22404" s="18"/>
      <c r="D22404" s="19"/>
      <c r="E22404" s="57"/>
      <c r="H22404" s="18"/>
    </row>
    <row r="22405">
      <c r="C22405" s="18"/>
      <c r="D22405" s="19"/>
      <c r="E22405" s="57"/>
      <c r="H22405" s="18"/>
    </row>
    <row r="22406">
      <c r="C22406" s="18"/>
      <c r="D22406" s="19"/>
      <c r="E22406" s="57"/>
      <c r="H22406" s="18"/>
    </row>
    <row r="22407">
      <c r="C22407" s="18"/>
      <c r="D22407" s="19"/>
      <c r="E22407" s="57"/>
      <c r="H22407" s="18"/>
    </row>
    <row r="22408">
      <c r="C22408" s="18"/>
      <c r="D22408" s="19"/>
      <c r="E22408" s="57"/>
      <c r="H22408" s="18"/>
    </row>
    <row r="22409">
      <c r="C22409" s="18"/>
      <c r="D22409" s="19"/>
      <c r="E22409" s="57"/>
      <c r="H22409" s="18"/>
    </row>
    <row r="22410">
      <c r="C22410" s="18"/>
      <c r="D22410" s="19"/>
      <c r="E22410" s="57"/>
      <c r="H22410" s="18"/>
    </row>
    <row r="22411">
      <c r="C22411" s="18"/>
      <c r="D22411" s="19"/>
      <c r="E22411" s="57"/>
      <c r="H22411" s="18"/>
    </row>
    <row r="22412">
      <c r="C22412" s="18"/>
      <c r="D22412" s="19"/>
      <c r="E22412" s="57"/>
      <c r="H22412" s="18"/>
    </row>
    <row r="22413">
      <c r="C22413" s="18"/>
      <c r="D22413" s="19"/>
      <c r="E22413" s="57"/>
      <c r="H22413" s="18"/>
    </row>
    <row r="22414">
      <c r="C22414" s="18"/>
      <c r="D22414" s="19"/>
      <c r="E22414" s="57"/>
      <c r="H22414" s="18"/>
    </row>
    <row r="22415">
      <c r="C22415" s="18"/>
      <c r="D22415" s="19"/>
      <c r="E22415" s="57"/>
      <c r="H22415" s="18"/>
    </row>
    <row r="22416">
      <c r="C22416" s="18"/>
      <c r="D22416" s="19"/>
      <c r="E22416" s="57"/>
      <c r="H22416" s="18"/>
    </row>
    <row r="22417">
      <c r="C22417" s="18"/>
      <c r="D22417" s="19"/>
      <c r="E22417" s="57"/>
      <c r="H22417" s="18"/>
    </row>
    <row r="22418">
      <c r="C22418" s="18"/>
      <c r="D22418" s="19"/>
      <c r="E22418" s="57"/>
      <c r="H22418" s="18"/>
    </row>
    <row r="22419">
      <c r="C22419" s="18"/>
      <c r="D22419" s="19"/>
      <c r="E22419" s="57"/>
      <c r="H22419" s="18"/>
    </row>
    <row r="22420">
      <c r="C22420" s="18"/>
      <c r="D22420" s="19"/>
      <c r="E22420" s="57"/>
      <c r="H22420" s="18"/>
    </row>
    <row r="22421">
      <c r="C22421" s="18"/>
      <c r="D22421" s="19"/>
      <c r="E22421" s="57"/>
      <c r="H22421" s="18"/>
    </row>
    <row r="22422">
      <c r="C22422" s="18"/>
      <c r="D22422" s="19"/>
      <c r="E22422" s="57"/>
      <c r="H22422" s="18"/>
    </row>
    <row r="22423">
      <c r="C22423" s="18"/>
      <c r="D22423" s="19"/>
      <c r="E22423" s="57"/>
      <c r="H22423" s="18"/>
    </row>
    <row r="22424">
      <c r="C22424" s="18"/>
      <c r="D22424" s="19"/>
      <c r="E22424" s="57"/>
      <c r="H22424" s="18"/>
    </row>
    <row r="22425">
      <c r="C22425" s="18"/>
      <c r="D22425" s="19"/>
      <c r="E22425" s="57"/>
      <c r="H22425" s="18"/>
    </row>
    <row r="22426">
      <c r="C22426" s="18"/>
      <c r="D22426" s="19"/>
      <c r="E22426" s="57"/>
      <c r="H22426" s="18"/>
    </row>
    <row r="22427">
      <c r="C22427" s="18"/>
      <c r="D22427" s="19"/>
      <c r="E22427" s="57"/>
      <c r="H22427" s="18"/>
    </row>
    <row r="22428">
      <c r="C22428" s="18"/>
      <c r="D22428" s="19"/>
      <c r="E22428" s="57"/>
      <c r="H22428" s="18"/>
    </row>
    <row r="22429">
      <c r="C22429" s="18"/>
      <c r="D22429" s="19"/>
      <c r="E22429" s="57"/>
      <c r="H22429" s="18"/>
    </row>
    <row r="22430">
      <c r="C22430" s="18"/>
      <c r="D22430" s="19"/>
      <c r="E22430" s="57"/>
      <c r="H22430" s="18"/>
    </row>
    <row r="22431">
      <c r="C22431" s="18"/>
      <c r="D22431" s="19"/>
      <c r="E22431" s="57"/>
      <c r="H22431" s="18"/>
    </row>
    <row r="22432">
      <c r="C22432" s="18"/>
      <c r="D22432" s="19"/>
      <c r="E22432" s="57"/>
      <c r="H22432" s="18"/>
    </row>
    <row r="22433">
      <c r="C22433" s="18"/>
      <c r="D22433" s="19"/>
      <c r="E22433" s="57"/>
      <c r="H22433" s="18"/>
    </row>
    <row r="22434">
      <c r="C22434" s="18"/>
      <c r="D22434" s="19"/>
      <c r="E22434" s="57"/>
      <c r="H22434" s="18"/>
    </row>
    <row r="22435">
      <c r="C22435" s="18"/>
      <c r="D22435" s="19"/>
      <c r="E22435" s="57"/>
      <c r="H22435" s="18"/>
    </row>
    <row r="22436">
      <c r="C22436" s="18"/>
      <c r="D22436" s="19"/>
      <c r="E22436" s="57"/>
      <c r="H22436" s="18"/>
    </row>
    <row r="22437">
      <c r="C22437" s="18"/>
      <c r="D22437" s="19"/>
      <c r="E22437" s="57"/>
      <c r="H22437" s="18"/>
    </row>
    <row r="22438">
      <c r="C22438" s="18"/>
      <c r="D22438" s="19"/>
      <c r="E22438" s="57"/>
      <c r="H22438" s="18"/>
    </row>
    <row r="22439">
      <c r="C22439" s="18"/>
      <c r="D22439" s="19"/>
      <c r="E22439" s="57"/>
      <c r="H22439" s="18"/>
    </row>
    <row r="22440">
      <c r="C22440" s="18"/>
      <c r="D22440" s="19"/>
      <c r="E22440" s="57"/>
      <c r="H22440" s="18"/>
    </row>
    <row r="22441">
      <c r="C22441" s="18"/>
      <c r="D22441" s="19"/>
      <c r="E22441" s="57"/>
      <c r="H22441" s="18"/>
    </row>
    <row r="22442">
      <c r="C22442" s="18"/>
      <c r="D22442" s="19"/>
      <c r="E22442" s="57"/>
      <c r="H22442" s="18"/>
    </row>
    <row r="22443">
      <c r="C22443" s="18"/>
      <c r="D22443" s="19"/>
      <c r="E22443" s="57"/>
      <c r="H22443" s="18"/>
    </row>
    <row r="22444">
      <c r="C22444" s="18"/>
      <c r="D22444" s="19"/>
      <c r="E22444" s="57"/>
      <c r="H22444" s="18"/>
    </row>
    <row r="22445">
      <c r="C22445" s="18"/>
      <c r="D22445" s="19"/>
      <c r="E22445" s="57"/>
      <c r="H22445" s="18"/>
    </row>
    <row r="22446">
      <c r="C22446" s="18"/>
      <c r="D22446" s="19"/>
      <c r="E22446" s="57"/>
      <c r="H22446" s="18"/>
    </row>
    <row r="22447">
      <c r="C22447" s="18"/>
      <c r="D22447" s="19"/>
      <c r="E22447" s="57"/>
      <c r="H22447" s="18"/>
    </row>
    <row r="22448">
      <c r="C22448" s="18"/>
      <c r="D22448" s="19"/>
      <c r="E22448" s="57"/>
      <c r="H22448" s="18"/>
    </row>
    <row r="22449">
      <c r="C22449" s="18"/>
      <c r="D22449" s="19"/>
      <c r="E22449" s="57"/>
      <c r="H22449" s="18"/>
    </row>
    <row r="22450">
      <c r="C22450" s="18"/>
      <c r="D22450" s="19"/>
      <c r="E22450" s="57"/>
      <c r="H22450" s="18"/>
    </row>
    <row r="22451">
      <c r="C22451" s="18"/>
      <c r="D22451" s="19"/>
      <c r="E22451" s="57"/>
      <c r="H22451" s="18"/>
    </row>
    <row r="22452">
      <c r="C22452" s="18"/>
      <c r="D22452" s="19"/>
      <c r="E22452" s="57"/>
      <c r="H22452" s="18"/>
    </row>
    <row r="22453">
      <c r="C22453" s="18"/>
      <c r="D22453" s="19"/>
      <c r="E22453" s="57"/>
      <c r="H22453" s="18"/>
    </row>
    <row r="22454">
      <c r="C22454" s="18"/>
      <c r="D22454" s="19"/>
      <c r="E22454" s="57"/>
      <c r="H22454" s="18"/>
    </row>
    <row r="22455">
      <c r="C22455" s="18"/>
      <c r="D22455" s="19"/>
      <c r="E22455" s="57"/>
      <c r="H22455" s="18"/>
    </row>
    <row r="22456">
      <c r="C22456" s="18"/>
      <c r="D22456" s="19"/>
      <c r="E22456" s="57"/>
      <c r="H22456" s="18"/>
    </row>
    <row r="22457">
      <c r="C22457" s="18"/>
      <c r="D22457" s="19"/>
      <c r="E22457" s="57"/>
      <c r="H22457" s="18"/>
    </row>
    <row r="22458">
      <c r="C22458" s="18"/>
      <c r="D22458" s="19"/>
      <c r="E22458" s="57"/>
      <c r="H22458" s="18"/>
    </row>
    <row r="22459">
      <c r="C22459" s="18"/>
      <c r="D22459" s="19"/>
      <c r="E22459" s="57"/>
      <c r="H22459" s="18"/>
    </row>
    <row r="22460">
      <c r="C22460" s="18"/>
      <c r="D22460" s="19"/>
      <c r="E22460" s="57"/>
      <c r="H22460" s="18"/>
    </row>
    <row r="22461">
      <c r="C22461" s="18"/>
      <c r="D22461" s="19"/>
      <c r="E22461" s="57"/>
      <c r="H22461" s="18"/>
    </row>
    <row r="22462">
      <c r="C22462" s="18"/>
      <c r="D22462" s="19"/>
      <c r="E22462" s="57"/>
      <c r="H22462" s="18"/>
    </row>
    <row r="22463">
      <c r="C22463" s="18"/>
      <c r="D22463" s="19"/>
      <c r="E22463" s="57"/>
      <c r="H22463" s="18"/>
    </row>
    <row r="22464">
      <c r="C22464" s="18"/>
      <c r="D22464" s="19"/>
      <c r="E22464" s="57"/>
      <c r="H22464" s="18"/>
    </row>
    <row r="22465">
      <c r="C22465" s="18"/>
      <c r="D22465" s="19"/>
      <c r="E22465" s="57"/>
      <c r="H22465" s="18"/>
    </row>
    <row r="22466">
      <c r="C22466" s="18"/>
      <c r="D22466" s="19"/>
      <c r="E22466" s="57"/>
      <c r="H22466" s="18"/>
    </row>
    <row r="22467">
      <c r="C22467" s="18"/>
      <c r="D22467" s="19"/>
      <c r="E22467" s="57"/>
      <c r="H22467" s="18"/>
    </row>
    <row r="22468">
      <c r="C22468" s="18"/>
      <c r="D22468" s="19"/>
      <c r="E22468" s="57"/>
      <c r="H22468" s="18"/>
    </row>
    <row r="22469">
      <c r="C22469" s="18"/>
      <c r="D22469" s="19"/>
      <c r="E22469" s="57"/>
      <c r="H22469" s="18"/>
    </row>
    <row r="22470">
      <c r="C22470" s="18"/>
      <c r="D22470" s="19"/>
      <c r="E22470" s="57"/>
      <c r="H22470" s="18"/>
    </row>
    <row r="22471">
      <c r="C22471" s="18"/>
      <c r="D22471" s="19"/>
      <c r="E22471" s="57"/>
      <c r="H22471" s="18"/>
    </row>
    <row r="22472">
      <c r="C22472" s="18"/>
      <c r="D22472" s="19"/>
      <c r="E22472" s="57"/>
      <c r="H22472" s="18"/>
    </row>
    <row r="22473">
      <c r="C22473" s="18"/>
      <c r="D22473" s="19"/>
      <c r="E22473" s="57"/>
      <c r="H22473" s="18"/>
    </row>
    <row r="22474">
      <c r="C22474" s="18"/>
      <c r="D22474" s="19"/>
      <c r="E22474" s="57"/>
      <c r="H22474" s="18"/>
    </row>
    <row r="22475">
      <c r="C22475" s="18"/>
      <c r="D22475" s="19"/>
      <c r="E22475" s="57"/>
      <c r="H22475" s="18"/>
    </row>
    <row r="22476">
      <c r="C22476" s="18"/>
      <c r="D22476" s="19"/>
      <c r="E22476" s="57"/>
      <c r="H22476" s="18"/>
    </row>
    <row r="22477">
      <c r="C22477" s="18"/>
      <c r="D22477" s="19"/>
      <c r="E22477" s="57"/>
      <c r="H22477" s="18"/>
    </row>
    <row r="22478">
      <c r="C22478" s="18"/>
      <c r="D22478" s="19"/>
      <c r="E22478" s="57"/>
      <c r="H22478" s="18"/>
    </row>
    <row r="22479">
      <c r="C22479" s="18"/>
      <c r="D22479" s="19"/>
      <c r="E22479" s="57"/>
      <c r="H22479" s="18"/>
    </row>
    <row r="22480">
      <c r="C22480" s="18"/>
      <c r="D22480" s="19"/>
      <c r="E22480" s="57"/>
      <c r="H22480" s="18"/>
    </row>
    <row r="22481">
      <c r="C22481" s="18"/>
      <c r="D22481" s="19"/>
      <c r="E22481" s="57"/>
      <c r="H22481" s="18"/>
    </row>
    <row r="22482">
      <c r="C22482" s="18"/>
      <c r="D22482" s="19"/>
      <c r="E22482" s="57"/>
      <c r="H22482" s="18"/>
    </row>
    <row r="22483">
      <c r="C22483" s="18"/>
      <c r="D22483" s="19"/>
      <c r="E22483" s="57"/>
      <c r="H22483" s="18"/>
    </row>
    <row r="22484">
      <c r="C22484" s="18"/>
      <c r="D22484" s="19"/>
      <c r="E22484" s="57"/>
      <c r="H22484" s="18"/>
    </row>
    <row r="22485">
      <c r="C22485" s="18"/>
      <c r="D22485" s="19"/>
      <c r="E22485" s="57"/>
      <c r="H22485" s="18"/>
    </row>
    <row r="22486">
      <c r="C22486" s="18"/>
      <c r="D22486" s="19"/>
      <c r="E22486" s="57"/>
      <c r="H22486" s="18"/>
    </row>
    <row r="22487">
      <c r="C22487" s="18"/>
      <c r="D22487" s="19"/>
      <c r="E22487" s="57"/>
      <c r="H22487" s="18"/>
    </row>
    <row r="22488">
      <c r="C22488" s="18"/>
      <c r="D22488" s="19"/>
      <c r="E22488" s="57"/>
      <c r="H22488" s="18"/>
    </row>
    <row r="22489">
      <c r="C22489" s="18"/>
      <c r="D22489" s="19"/>
      <c r="E22489" s="57"/>
      <c r="H22489" s="18"/>
    </row>
    <row r="22490">
      <c r="C22490" s="18"/>
      <c r="D22490" s="19"/>
      <c r="E22490" s="57"/>
      <c r="H22490" s="18"/>
    </row>
    <row r="22491">
      <c r="C22491" s="18"/>
      <c r="D22491" s="19"/>
      <c r="E22491" s="57"/>
      <c r="H22491" s="18"/>
    </row>
    <row r="22492">
      <c r="C22492" s="18"/>
      <c r="D22492" s="19"/>
      <c r="E22492" s="57"/>
      <c r="H22492" s="18"/>
    </row>
    <row r="22493">
      <c r="C22493" s="18"/>
      <c r="D22493" s="19"/>
      <c r="E22493" s="57"/>
      <c r="H22493" s="18"/>
    </row>
    <row r="22494">
      <c r="C22494" s="18"/>
      <c r="D22494" s="19"/>
      <c r="E22494" s="57"/>
      <c r="H22494" s="18"/>
    </row>
    <row r="22495">
      <c r="C22495" s="18"/>
      <c r="D22495" s="19"/>
      <c r="E22495" s="57"/>
      <c r="H22495" s="18"/>
    </row>
    <row r="22496">
      <c r="C22496" s="18"/>
      <c r="D22496" s="19"/>
      <c r="E22496" s="57"/>
      <c r="H22496" s="18"/>
    </row>
    <row r="22497">
      <c r="C22497" s="18"/>
      <c r="D22497" s="19"/>
      <c r="E22497" s="57"/>
      <c r="H22497" s="18"/>
    </row>
    <row r="22498">
      <c r="C22498" s="18"/>
      <c r="D22498" s="19"/>
      <c r="E22498" s="57"/>
      <c r="H22498" s="18"/>
    </row>
    <row r="22499">
      <c r="C22499" s="18"/>
      <c r="D22499" s="19"/>
      <c r="E22499" s="57"/>
      <c r="H22499" s="18"/>
    </row>
    <row r="22500">
      <c r="C22500" s="18"/>
      <c r="D22500" s="19"/>
      <c r="E22500" s="57"/>
      <c r="H22500" s="18"/>
    </row>
    <row r="22501">
      <c r="C22501" s="18"/>
      <c r="D22501" s="19"/>
      <c r="E22501" s="57"/>
      <c r="H22501" s="18"/>
    </row>
    <row r="22502">
      <c r="C22502" s="18"/>
      <c r="D22502" s="19"/>
      <c r="E22502" s="57"/>
      <c r="H22502" s="18"/>
    </row>
    <row r="22503">
      <c r="C22503" s="18"/>
      <c r="D22503" s="19"/>
      <c r="E22503" s="57"/>
      <c r="H22503" s="18"/>
    </row>
    <row r="22504">
      <c r="C22504" s="18"/>
      <c r="D22504" s="19"/>
      <c r="E22504" s="57"/>
      <c r="H22504" s="18"/>
    </row>
    <row r="22505">
      <c r="C22505" s="18"/>
      <c r="D22505" s="19"/>
      <c r="E22505" s="57"/>
      <c r="H22505" s="18"/>
    </row>
    <row r="22506">
      <c r="C22506" s="18"/>
      <c r="D22506" s="19"/>
      <c r="E22506" s="57"/>
      <c r="H22506" s="18"/>
    </row>
    <row r="22507">
      <c r="C22507" s="18"/>
      <c r="D22507" s="19"/>
      <c r="E22507" s="57"/>
      <c r="H22507" s="18"/>
    </row>
    <row r="22508">
      <c r="C22508" s="18"/>
      <c r="D22508" s="19"/>
      <c r="E22508" s="57"/>
      <c r="H22508" s="18"/>
    </row>
    <row r="22509">
      <c r="C22509" s="18"/>
      <c r="D22509" s="19"/>
      <c r="E22509" s="57"/>
      <c r="H22509" s="18"/>
    </row>
    <row r="22510">
      <c r="C22510" s="18"/>
      <c r="D22510" s="19"/>
      <c r="E22510" s="57"/>
      <c r="H22510" s="18"/>
    </row>
    <row r="22511">
      <c r="C22511" s="18"/>
      <c r="D22511" s="19"/>
      <c r="E22511" s="57"/>
      <c r="H22511" s="18"/>
    </row>
    <row r="22512">
      <c r="C22512" s="18"/>
      <c r="D22512" s="19"/>
      <c r="E22512" s="57"/>
      <c r="H22512" s="18"/>
    </row>
    <row r="22513">
      <c r="C22513" s="18"/>
      <c r="D22513" s="19"/>
      <c r="E22513" s="57"/>
      <c r="H22513" s="18"/>
    </row>
    <row r="22514">
      <c r="C22514" s="18"/>
      <c r="D22514" s="19"/>
      <c r="E22514" s="57"/>
      <c r="H22514" s="18"/>
    </row>
    <row r="22515">
      <c r="C22515" s="18"/>
      <c r="D22515" s="19"/>
      <c r="E22515" s="57"/>
      <c r="H22515" s="18"/>
    </row>
    <row r="22516">
      <c r="C22516" s="18"/>
      <c r="D22516" s="19"/>
      <c r="E22516" s="57"/>
      <c r="H22516" s="18"/>
    </row>
    <row r="22517">
      <c r="C22517" s="18"/>
      <c r="D22517" s="19"/>
      <c r="E22517" s="57"/>
      <c r="H22517" s="18"/>
    </row>
    <row r="22518">
      <c r="C22518" s="18"/>
      <c r="D22518" s="19"/>
      <c r="E22518" s="57"/>
      <c r="H22518" s="18"/>
    </row>
    <row r="22519">
      <c r="C22519" s="18"/>
      <c r="D22519" s="19"/>
      <c r="E22519" s="57"/>
      <c r="H22519" s="18"/>
    </row>
    <row r="22520">
      <c r="C22520" s="18"/>
      <c r="D22520" s="19"/>
      <c r="E22520" s="57"/>
      <c r="H22520" s="18"/>
    </row>
    <row r="22521">
      <c r="C22521" s="18"/>
      <c r="D22521" s="19"/>
      <c r="E22521" s="57"/>
      <c r="H22521" s="18"/>
    </row>
    <row r="22522">
      <c r="C22522" s="18"/>
      <c r="D22522" s="19"/>
      <c r="E22522" s="57"/>
      <c r="H22522" s="18"/>
    </row>
    <row r="22523">
      <c r="C22523" s="18"/>
      <c r="D22523" s="19"/>
      <c r="E22523" s="57"/>
      <c r="H22523" s="18"/>
    </row>
    <row r="22524">
      <c r="C22524" s="18"/>
      <c r="D22524" s="19"/>
      <c r="E22524" s="57"/>
      <c r="H22524" s="18"/>
    </row>
    <row r="22525">
      <c r="C22525" s="18"/>
      <c r="D22525" s="19"/>
      <c r="E22525" s="57"/>
      <c r="H22525" s="18"/>
    </row>
    <row r="22526">
      <c r="C22526" s="18"/>
      <c r="D22526" s="19"/>
      <c r="E22526" s="57"/>
      <c r="H22526" s="18"/>
    </row>
    <row r="22527">
      <c r="C22527" s="18"/>
      <c r="D22527" s="19"/>
      <c r="E22527" s="57"/>
      <c r="H22527" s="18"/>
    </row>
    <row r="22528">
      <c r="C22528" s="18"/>
      <c r="D22528" s="19"/>
      <c r="E22528" s="57"/>
      <c r="H22528" s="18"/>
    </row>
    <row r="22529">
      <c r="C22529" s="18"/>
      <c r="D22529" s="19"/>
      <c r="E22529" s="57"/>
      <c r="H22529" s="18"/>
    </row>
    <row r="22530">
      <c r="C22530" s="18"/>
      <c r="D22530" s="19"/>
      <c r="E22530" s="57"/>
      <c r="H22530" s="18"/>
    </row>
    <row r="22531">
      <c r="C22531" s="18"/>
      <c r="D22531" s="19"/>
      <c r="E22531" s="57"/>
      <c r="H22531" s="18"/>
    </row>
    <row r="22532">
      <c r="C22532" s="18"/>
      <c r="D22532" s="19"/>
      <c r="E22532" s="57"/>
      <c r="H22532" s="18"/>
    </row>
    <row r="22533">
      <c r="C22533" s="18"/>
      <c r="D22533" s="19"/>
      <c r="E22533" s="57"/>
      <c r="H22533" s="18"/>
    </row>
    <row r="22534">
      <c r="C22534" s="18"/>
      <c r="D22534" s="19"/>
      <c r="E22534" s="57"/>
      <c r="H22534" s="18"/>
    </row>
    <row r="22535">
      <c r="C22535" s="18"/>
      <c r="D22535" s="19"/>
      <c r="E22535" s="57"/>
      <c r="H22535" s="18"/>
    </row>
    <row r="22536">
      <c r="C22536" s="18"/>
      <c r="D22536" s="19"/>
      <c r="E22536" s="57"/>
      <c r="H22536" s="18"/>
    </row>
    <row r="22537">
      <c r="C22537" s="18"/>
      <c r="D22537" s="19"/>
      <c r="E22537" s="57"/>
      <c r="H22537" s="18"/>
    </row>
    <row r="22538">
      <c r="C22538" s="18"/>
      <c r="D22538" s="19"/>
      <c r="E22538" s="57"/>
      <c r="H22538" s="18"/>
    </row>
    <row r="22539">
      <c r="C22539" s="18"/>
      <c r="D22539" s="19"/>
      <c r="E22539" s="57"/>
      <c r="H22539" s="18"/>
    </row>
    <row r="22540">
      <c r="C22540" s="18"/>
      <c r="D22540" s="19"/>
      <c r="E22540" s="57"/>
      <c r="H22540" s="18"/>
    </row>
    <row r="22541">
      <c r="C22541" s="18"/>
      <c r="D22541" s="19"/>
      <c r="E22541" s="57"/>
      <c r="H22541" s="18"/>
    </row>
    <row r="22542">
      <c r="C22542" s="18"/>
      <c r="D22542" s="19"/>
      <c r="E22542" s="57"/>
      <c r="H22542" s="18"/>
    </row>
    <row r="22543">
      <c r="C22543" s="18"/>
      <c r="D22543" s="19"/>
      <c r="E22543" s="57"/>
      <c r="H22543" s="18"/>
    </row>
    <row r="22544">
      <c r="C22544" s="18"/>
      <c r="D22544" s="19"/>
      <c r="E22544" s="57"/>
      <c r="H22544" s="18"/>
    </row>
    <row r="22545">
      <c r="C22545" s="18"/>
      <c r="D22545" s="19"/>
      <c r="E22545" s="57"/>
      <c r="H22545" s="18"/>
    </row>
    <row r="22546">
      <c r="C22546" s="18"/>
      <c r="D22546" s="19"/>
      <c r="E22546" s="57"/>
      <c r="H22546" s="18"/>
    </row>
    <row r="22547">
      <c r="C22547" s="18"/>
      <c r="D22547" s="19"/>
      <c r="E22547" s="57"/>
      <c r="H22547" s="18"/>
    </row>
    <row r="22548">
      <c r="C22548" s="18"/>
      <c r="D22548" s="19"/>
      <c r="E22548" s="57"/>
      <c r="H22548" s="18"/>
    </row>
    <row r="22549">
      <c r="C22549" s="18"/>
      <c r="D22549" s="19"/>
      <c r="E22549" s="57"/>
      <c r="H22549" s="18"/>
    </row>
    <row r="22550">
      <c r="C22550" s="18"/>
      <c r="D22550" s="19"/>
      <c r="E22550" s="57"/>
      <c r="H22550" s="18"/>
    </row>
    <row r="22551">
      <c r="C22551" s="18"/>
      <c r="D22551" s="19"/>
      <c r="E22551" s="57"/>
      <c r="H22551" s="18"/>
    </row>
    <row r="22552">
      <c r="C22552" s="18"/>
      <c r="D22552" s="19"/>
      <c r="E22552" s="57"/>
      <c r="H22552" s="18"/>
    </row>
    <row r="22553">
      <c r="C22553" s="18"/>
      <c r="D22553" s="19"/>
      <c r="E22553" s="57"/>
      <c r="H22553" s="18"/>
    </row>
    <row r="22554">
      <c r="C22554" s="18"/>
      <c r="D22554" s="19"/>
      <c r="E22554" s="57"/>
      <c r="H22554" s="18"/>
    </row>
    <row r="22555">
      <c r="C22555" s="18"/>
      <c r="D22555" s="19"/>
      <c r="E22555" s="57"/>
      <c r="H22555" s="18"/>
    </row>
    <row r="22556">
      <c r="C22556" s="18"/>
      <c r="D22556" s="19"/>
      <c r="E22556" s="57"/>
      <c r="H22556" s="18"/>
    </row>
    <row r="22557">
      <c r="C22557" s="18"/>
      <c r="D22557" s="19"/>
      <c r="E22557" s="57"/>
      <c r="H22557" s="18"/>
    </row>
    <row r="22558">
      <c r="C22558" s="18"/>
      <c r="D22558" s="19"/>
      <c r="E22558" s="57"/>
      <c r="H22558" s="18"/>
    </row>
    <row r="22559">
      <c r="C22559" s="18"/>
      <c r="D22559" s="19"/>
      <c r="E22559" s="57"/>
      <c r="H22559" s="18"/>
    </row>
    <row r="22560">
      <c r="C22560" s="18"/>
      <c r="D22560" s="19"/>
      <c r="E22560" s="57"/>
      <c r="H22560" s="18"/>
    </row>
    <row r="22561">
      <c r="C22561" s="18"/>
      <c r="D22561" s="19"/>
      <c r="E22561" s="57"/>
      <c r="H22561" s="18"/>
    </row>
    <row r="22562">
      <c r="C22562" s="18"/>
      <c r="D22562" s="19"/>
      <c r="E22562" s="57"/>
      <c r="H22562" s="18"/>
    </row>
    <row r="22563">
      <c r="C22563" s="18"/>
      <c r="D22563" s="19"/>
      <c r="E22563" s="57"/>
      <c r="H22563" s="18"/>
    </row>
    <row r="22564">
      <c r="C22564" s="18"/>
      <c r="D22564" s="19"/>
      <c r="E22564" s="57"/>
      <c r="H22564" s="18"/>
    </row>
    <row r="22565">
      <c r="C22565" s="18"/>
      <c r="D22565" s="19"/>
      <c r="E22565" s="57"/>
      <c r="H22565" s="18"/>
    </row>
    <row r="22566">
      <c r="C22566" s="18"/>
      <c r="D22566" s="19"/>
      <c r="E22566" s="57"/>
      <c r="H22566" s="18"/>
    </row>
    <row r="22567">
      <c r="C22567" s="18"/>
      <c r="D22567" s="19"/>
      <c r="E22567" s="57"/>
      <c r="H22567" s="18"/>
    </row>
    <row r="22568">
      <c r="C22568" s="18"/>
      <c r="D22568" s="19"/>
      <c r="E22568" s="57"/>
      <c r="H22568" s="18"/>
    </row>
    <row r="22569">
      <c r="C22569" s="18"/>
      <c r="D22569" s="19"/>
      <c r="E22569" s="57"/>
      <c r="H22569" s="18"/>
    </row>
    <row r="22570">
      <c r="C22570" s="18"/>
      <c r="D22570" s="19"/>
      <c r="E22570" s="57"/>
      <c r="H22570" s="18"/>
    </row>
    <row r="22571">
      <c r="C22571" s="18"/>
      <c r="D22571" s="19"/>
      <c r="E22571" s="57"/>
      <c r="H22571" s="18"/>
    </row>
    <row r="22572">
      <c r="C22572" s="18"/>
      <c r="D22572" s="19"/>
      <c r="E22572" s="57"/>
      <c r="H22572" s="18"/>
    </row>
    <row r="22573">
      <c r="C22573" s="18"/>
      <c r="D22573" s="19"/>
      <c r="E22573" s="57"/>
      <c r="H22573" s="18"/>
    </row>
    <row r="22574">
      <c r="C22574" s="18"/>
      <c r="D22574" s="19"/>
      <c r="E22574" s="57"/>
      <c r="H22574" s="18"/>
    </row>
    <row r="22575">
      <c r="C22575" s="18"/>
      <c r="D22575" s="19"/>
      <c r="E22575" s="57"/>
      <c r="H22575" s="18"/>
    </row>
    <row r="22576">
      <c r="C22576" s="18"/>
      <c r="D22576" s="19"/>
      <c r="E22576" s="57"/>
      <c r="H22576" s="18"/>
    </row>
    <row r="22577">
      <c r="C22577" s="18"/>
      <c r="D22577" s="19"/>
      <c r="E22577" s="57"/>
      <c r="H22577" s="18"/>
    </row>
    <row r="22578">
      <c r="C22578" s="18"/>
      <c r="D22578" s="19"/>
      <c r="E22578" s="57"/>
      <c r="H22578" s="18"/>
    </row>
    <row r="22579">
      <c r="C22579" s="18"/>
      <c r="D22579" s="19"/>
      <c r="E22579" s="57"/>
      <c r="H22579" s="18"/>
    </row>
    <row r="22580">
      <c r="C22580" s="18"/>
      <c r="D22580" s="19"/>
      <c r="E22580" s="57"/>
      <c r="H22580" s="18"/>
    </row>
    <row r="22581">
      <c r="C22581" s="18"/>
      <c r="D22581" s="19"/>
      <c r="E22581" s="57"/>
      <c r="H22581" s="18"/>
    </row>
    <row r="22582">
      <c r="C22582" s="18"/>
      <c r="D22582" s="19"/>
      <c r="E22582" s="57"/>
      <c r="H22582" s="18"/>
    </row>
    <row r="22583">
      <c r="C22583" s="18"/>
      <c r="D22583" s="19"/>
      <c r="E22583" s="57"/>
      <c r="H22583" s="18"/>
    </row>
    <row r="22584">
      <c r="C22584" s="18"/>
      <c r="D22584" s="19"/>
      <c r="E22584" s="57"/>
      <c r="H22584" s="18"/>
    </row>
    <row r="22585">
      <c r="C22585" s="18"/>
      <c r="D22585" s="19"/>
      <c r="E22585" s="57"/>
      <c r="H22585" s="18"/>
    </row>
    <row r="22586">
      <c r="C22586" s="18"/>
      <c r="D22586" s="19"/>
      <c r="E22586" s="57"/>
      <c r="H22586" s="18"/>
    </row>
    <row r="22587">
      <c r="C22587" s="18"/>
      <c r="D22587" s="19"/>
      <c r="E22587" s="57"/>
      <c r="H22587" s="18"/>
    </row>
    <row r="22588">
      <c r="C22588" s="18"/>
      <c r="D22588" s="19"/>
      <c r="E22588" s="57"/>
      <c r="H22588" s="18"/>
    </row>
    <row r="22589">
      <c r="C22589" s="18"/>
      <c r="D22589" s="19"/>
      <c r="E22589" s="57"/>
      <c r="H22589" s="18"/>
    </row>
    <row r="22590">
      <c r="C22590" s="18"/>
      <c r="D22590" s="19"/>
      <c r="E22590" s="57"/>
      <c r="H22590" s="18"/>
    </row>
    <row r="22591">
      <c r="C22591" s="18"/>
      <c r="D22591" s="19"/>
      <c r="E22591" s="57"/>
      <c r="H22591" s="18"/>
    </row>
    <row r="22592">
      <c r="C22592" s="18"/>
      <c r="D22592" s="19"/>
      <c r="E22592" s="57"/>
      <c r="H22592" s="18"/>
    </row>
    <row r="22593">
      <c r="C22593" s="18"/>
      <c r="D22593" s="19"/>
      <c r="E22593" s="57"/>
      <c r="H22593" s="18"/>
    </row>
    <row r="22594">
      <c r="C22594" s="18"/>
      <c r="D22594" s="19"/>
      <c r="E22594" s="57"/>
      <c r="H22594" s="18"/>
    </row>
    <row r="22595">
      <c r="C22595" s="18"/>
      <c r="D22595" s="19"/>
      <c r="E22595" s="57"/>
      <c r="H22595" s="18"/>
    </row>
    <row r="22596">
      <c r="C22596" s="18"/>
      <c r="D22596" s="19"/>
      <c r="E22596" s="57"/>
      <c r="H22596" s="18"/>
    </row>
    <row r="22597">
      <c r="C22597" s="18"/>
      <c r="D22597" s="19"/>
      <c r="E22597" s="57"/>
      <c r="H22597" s="18"/>
    </row>
    <row r="22598">
      <c r="C22598" s="18"/>
      <c r="D22598" s="19"/>
      <c r="E22598" s="57"/>
      <c r="H22598" s="18"/>
    </row>
    <row r="22599">
      <c r="C22599" s="18"/>
      <c r="D22599" s="19"/>
      <c r="E22599" s="57"/>
      <c r="H22599" s="18"/>
    </row>
    <row r="22600">
      <c r="C22600" s="18"/>
      <c r="D22600" s="19"/>
      <c r="E22600" s="57"/>
      <c r="H22600" s="18"/>
    </row>
    <row r="22601">
      <c r="C22601" s="18"/>
      <c r="D22601" s="19"/>
      <c r="E22601" s="57"/>
      <c r="H22601" s="18"/>
    </row>
    <row r="22602">
      <c r="C22602" s="18"/>
      <c r="D22602" s="19"/>
      <c r="E22602" s="57"/>
      <c r="H22602" s="18"/>
    </row>
    <row r="22603">
      <c r="C22603" s="18"/>
      <c r="D22603" s="19"/>
      <c r="E22603" s="57"/>
      <c r="H22603" s="18"/>
    </row>
    <row r="22604">
      <c r="C22604" s="18"/>
      <c r="D22604" s="19"/>
      <c r="E22604" s="57"/>
      <c r="H22604" s="18"/>
    </row>
    <row r="22605">
      <c r="C22605" s="18"/>
      <c r="D22605" s="19"/>
      <c r="E22605" s="57"/>
      <c r="H22605" s="18"/>
    </row>
    <row r="22606">
      <c r="C22606" s="18"/>
      <c r="D22606" s="19"/>
      <c r="E22606" s="57"/>
      <c r="H22606" s="18"/>
    </row>
    <row r="22607">
      <c r="C22607" s="18"/>
      <c r="D22607" s="19"/>
      <c r="E22607" s="57"/>
      <c r="H22607" s="18"/>
    </row>
    <row r="22608">
      <c r="C22608" s="18"/>
      <c r="D22608" s="19"/>
      <c r="E22608" s="57"/>
      <c r="H22608" s="18"/>
    </row>
    <row r="22609">
      <c r="C22609" s="18"/>
      <c r="D22609" s="19"/>
      <c r="E22609" s="57"/>
      <c r="H22609" s="18"/>
    </row>
    <row r="22610">
      <c r="C22610" s="18"/>
      <c r="D22610" s="19"/>
      <c r="E22610" s="57"/>
      <c r="H22610" s="18"/>
    </row>
    <row r="22611">
      <c r="C22611" s="18"/>
      <c r="D22611" s="19"/>
      <c r="E22611" s="57"/>
      <c r="H22611" s="18"/>
    </row>
    <row r="22612">
      <c r="C22612" s="18"/>
      <c r="D22612" s="19"/>
      <c r="E22612" s="57"/>
      <c r="H22612" s="18"/>
    </row>
    <row r="22613">
      <c r="C22613" s="18"/>
      <c r="D22613" s="19"/>
      <c r="E22613" s="57"/>
      <c r="H22613" s="18"/>
    </row>
    <row r="22614">
      <c r="C22614" s="18"/>
      <c r="D22614" s="19"/>
      <c r="E22614" s="57"/>
      <c r="H22614" s="18"/>
    </row>
    <row r="22615">
      <c r="C22615" s="18"/>
      <c r="D22615" s="19"/>
      <c r="E22615" s="57"/>
      <c r="H22615" s="18"/>
    </row>
    <row r="22616">
      <c r="C22616" s="18"/>
      <c r="D22616" s="19"/>
      <c r="E22616" s="57"/>
      <c r="H22616" s="18"/>
    </row>
    <row r="22617">
      <c r="C22617" s="18"/>
      <c r="D22617" s="19"/>
      <c r="E22617" s="57"/>
      <c r="H22617" s="18"/>
    </row>
    <row r="22618">
      <c r="C22618" s="18"/>
      <c r="D22618" s="19"/>
      <c r="E22618" s="57"/>
      <c r="H22618" s="18"/>
    </row>
    <row r="22619">
      <c r="C22619" s="18"/>
      <c r="D22619" s="19"/>
      <c r="E22619" s="57"/>
      <c r="H22619" s="18"/>
    </row>
    <row r="22620">
      <c r="C22620" s="18"/>
      <c r="D22620" s="19"/>
      <c r="E22620" s="57"/>
      <c r="H22620" s="18"/>
    </row>
    <row r="22621">
      <c r="C22621" s="18"/>
      <c r="D22621" s="19"/>
      <c r="E22621" s="57"/>
      <c r="H22621" s="18"/>
    </row>
    <row r="22622">
      <c r="C22622" s="18"/>
      <c r="D22622" s="19"/>
      <c r="E22622" s="57"/>
      <c r="H22622" s="18"/>
    </row>
    <row r="22623">
      <c r="C22623" s="18"/>
      <c r="D22623" s="19"/>
      <c r="E22623" s="57"/>
      <c r="H22623" s="18"/>
    </row>
    <row r="22624">
      <c r="C22624" s="18"/>
      <c r="D22624" s="19"/>
      <c r="E22624" s="57"/>
      <c r="H22624" s="18"/>
    </row>
    <row r="22625">
      <c r="C22625" s="18"/>
      <c r="D22625" s="19"/>
      <c r="E22625" s="57"/>
      <c r="H22625" s="18"/>
    </row>
    <row r="22626">
      <c r="C22626" s="18"/>
      <c r="D22626" s="19"/>
      <c r="E22626" s="57"/>
      <c r="H22626" s="18"/>
    </row>
    <row r="22627">
      <c r="C22627" s="18"/>
      <c r="D22627" s="19"/>
      <c r="E22627" s="57"/>
      <c r="H22627" s="18"/>
    </row>
    <row r="22628">
      <c r="C22628" s="18"/>
      <c r="D22628" s="19"/>
      <c r="E22628" s="57"/>
      <c r="H22628" s="18"/>
    </row>
    <row r="22629">
      <c r="C22629" s="18"/>
      <c r="D22629" s="19"/>
      <c r="E22629" s="57"/>
      <c r="H22629" s="18"/>
    </row>
    <row r="22630">
      <c r="C22630" s="18"/>
      <c r="D22630" s="19"/>
      <c r="E22630" s="57"/>
      <c r="H22630" s="18"/>
    </row>
    <row r="22631">
      <c r="C22631" s="18"/>
      <c r="D22631" s="19"/>
      <c r="E22631" s="57"/>
      <c r="H22631" s="18"/>
    </row>
    <row r="22632">
      <c r="C22632" s="18"/>
      <c r="D22632" s="19"/>
      <c r="E22632" s="57"/>
      <c r="H22632" s="18"/>
    </row>
    <row r="22633">
      <c r="C22633" s="18"/>
      <c r="D22633" s="19"/>
      <c r="E22633" s="57"/>
      <c r="H22633" s="18"/>
    </row>
    <row r="22634">
      <c r="C22634" s="18"/>
      <c r="D22634" s="19"/>
      <c r="E22634" s="57"/>
      <c r="H22634" s="18"/>
    </row>
    <row r="22635">
      <c r="C22635" s="18"/>
      <c r="D22635" s="19"/>
      <c r="E22635" s="57"/>
      <c r="H22635" s="18"/>
    </row>
    <row r="22636">
      <c r="C22636" s="18"/>
      <c r="D22636" s="19"/>
      <c r="E22636" s="57"/>
      <c r="H22636" s="18"/>
    </row>
    <row r="22637">
      <c r="C22637" s="18"/>
      <c r="D22637" s="19"/>
      <c r="E22637" s="57"/>
      <c r="H22637" s="18"/>
    </row>
    <row r="22638">
      <c r="C22638" s="18"/>
      <c r="D22638" s="19"/>
      <c r="E22638" s="57"/>
      <c r="H22638" s="18"/>
    </row>
    <row r="22639">
      <c r="C22639" s="18"/>
      <c r="D22639" s="19"/>
      <c r="E22639" s="57"/>
      <c r="H22639" s="18"/>
    </row>
    <row r="22640">
      <c r="C22640" s="18"/>
      <c r="D22640" s="19"/>
      <c r="E22640" s="57"/>
      <c r="H22640" s="18"/>
    </row>
    <row r="22641">
      <c r="C22641" s="18"/>
      <c r="D22641" s="19"/>
      <c r="E22641" s="57"/>
      <c r="H22641" s="18"/>
    </row>
    <row r="22642">
      <c r="C22642" s="18"/>
      <c r="D22642" s="19"/>
      <c r="E22642" s="57"/>
      <c r="H22642" s="18"/>
    </row>
    <row r="22643">
      <c r="C22643" s="18"/>
      <c r="D22643" s="19"/>
      <c r="E22643" s="57"/>
      <c r="H22643" s="18"/>
    </row>
    <row r="22644">
      <c r="C22644" s="18"/>
      <c r="D22644" s="19"/>
      <c r="E22644" s="57"/>
      <c r="H22644" s="18"/>
    </row>
    <row r="22645">
      <c r="C22645" s="18"/>
      <c r="D22645" s="19"/>
      <c r="E22645" s="57"/>
      <c r="H22645" s="18"/>
    </row>
    <row r="22646">
      <c r="C22646" s="18"/>
      <c r="D22646" s="19"/>
      <c r="E22646" s="57"/>
      <c r="H22646" s="18"/>
    </row>
    <row r="22647">
      <c r="C22647" s="18"/>
      <c r="D22647" s="19"/>
      <c r="E22647" s="57"/>
      <c r="H22647" s="18"/>
    </row>
    <row r="22648">
      <c r="C22648" s="18"/>
      <c r="D22648" s="19"/>
      <c r="E22648" s="57"/>
      <c r="H22648" s="18"/>
    </row>
    <row r="22649">
      <c r="C22649" s="18"/>
      <c r="D22649" s="19"/>
      <c r="E22649" s="57"/>
      <c r="H22649" s="18"/>
    </row>
    <row r="22650">
      <c r="C22650" s="18"/>
      <c r="D22650" s="19"/>
      <c r="E22650" s="57"/>
      <c r="H22650" s="18"/>
    </row>
    <row r="22651">
      <c r="C22651" s="18"/>
      <c r="D22651" s="19"/>
      <c r="E22651" s="57"/>
      <c r="H22651" s="18"/>
    </row>
    <row r="22652">
      <c r="C22652" s="18"/>
      <c r="D22652" s="19"/>
      <c r="E22652" s="57"/>
      <c r="H22652" s="18"/>
    </row>
    <row r="22653">
      <c r="C22653" s="18"/>
      <c r="D22653" s="19"/>
      <c r="E22653" s="57"/>
      <c r="H22653" s="18"/>
    </row>
    <row r="22654">
      <c r="C22654" s="18"/>
      <c r="D22654" s="19"/>
      <c r="E22654" s="57"/>
      <c r="H22654" s="18"/>
    </row>
    <row r="22655">
      <c r="C22655" s="18"/>
      <c r="D22655" s="19"/>
      <c r="E22655" s="57"/>
      <c r="H22655" s="18"/>
    </row>
    <row r="22656">
      <c r="C22656" s="18"/>
      <c r="D22656" s="19"/>
      <c r="E22656" s="57"/>
      <c r="H22656" s="18"/>
    </row>
    <row r="22657">
      <c r="C22657" s="18"/>
      <c r="D22657" s="19"/>
      <c r="E22657" s="57"/>
      <c r="H22657" s="18"/>
    </row>
    <row r="22658">
      <c r="C22658" s="18"/>
      <c r="D22658" s="19"/>
      <c r="E22658" s="57"/>
      <c r="H22658" s="18"/>
    </row>
    <row r="22659">
      <c r="C22659" s="18"/>
      <c r="D22659" s="19"/>
      <c r="E22659" s="57"/>
      <c r="H22659" s="18"/>
    </row>
    <row r="22660">
      <c r="C22660" s="18"/>
      <c r="D22660" s="19"/>
      <c r="E22660" s="57"/>
      <c r="H22660" s="18"/>
    </row>
    <row r="22661">
      <c r="C22661" s="18"/>
      <c r="D22661" s="19"/>
      <c r="E22661" s="57"/>
      <c r="H22661" s="18"/>
    </row>
    <row r="22662">
      <c r="C22662" s="18"/>
      <c r="D22662" s="19"/>
      <c r="E22662" s="57"/>
      <c r="H22662" s="18"/>
    </row>
    <row r="22663">
      <c r="C22663" s="18"/>
      <c r="D22663" s="19"/>
      <c r="E22663" s="57"/>
      <c r="H22663" s="18"/>
    </row>
    <row r="22664">
      <c r="C22664" s="18"/>
      <c r="D22664" s="19"/>
      <c r="E22664" s="57"/>
      <c r="H22664" s="18"/>
    </row>
    <row r="22665">
      <c r="C22665" s="18"/>
      <c r="D22665" s="19"/>
      <c r="E22665" s="57"/>
      <c r="H22665" s="18"/>
    </row>
    <row r="22666">
      <c r="C22666" s="18"/>
      <c r="D22666" s="19"/>
      <c r="E22666" s="57"/>
      <c r="H22666" s="18"/>
    </row>
    <row r="22667">
      <c r="C22667" s="18"/>
      <c r="D22667" s="19"/>
      <c r="E22667" s="57"/>
      <c r="H22667" s="18"/>
    </row>
    <row r="22668">
      <c r="C22668" s="18"/>
      <c r="D22668" s="19"/>
      <c r="E22668" s="57"/>
      <c r="H22668" s="18"/>
    </row>
    <row r="22669">
      <c r="C22669" s="18"/>
      <c r="D22669" s="19"/>
      <c r="E22669" s="57"/>
      <c r="H22669" s="18"/>
    </row>
    <row r="22670">
      <c r="C22670" s="18"/>
      <c r="D22670" s="19"/>
      <c r="E22670" s="57"/>
      <c r="H22670" s="18"/>
    </row>
    <row r="22671">
      <c r="C22671" s="18"/>
      <c r="D22671" s="19"/>
      <c r="E22671" s="57"/>
      <c r="H22671" s="18"/>
    </row>
    <row r="22672">
      <c r="C22672" s="18"/>
      <c r="D22672" s="19"/>
      <c r="E22672" s="57"/>
      <c r="H22672" s="18"/>
    </row>
    <row r="22673">
      <c r="C22673" s="18"/>
      <c r="D22673" s="19"/>
      <c r="E22673" s="57"/>
      <c r="H22673" s="18"/>
    </row>
    <row r="22674">
      <c r="C22674" s="18"/>
      <c r="D22674" s="19"/>
      <c r="E22674" s="57"/>
      <c r="H22674" s="18"/>
    </row>
    <row r="22675">
      <c r="C22675" s="18"/>
      <c r="D22675" s="19"/>
      <c r="E22675" s="57"/>
      <c r="H22675" s="18"/>
    </row>
    <row r="22676">
      <c r="C22676" s="18"/>
      <c r="D22676" s="19"/>
      <c r="E22676" s="57"/>
      <c r="H22676" s="18"/>
    </row>
    <row r="22677">
      <c r="C22677" s="18"/>
      <c r="D22677" s="19"/>
      <c r="E22677" s="57"/>
      <c r="H22677" s="18"/>
    </row>
    <row r="22678">
      <c r="C22678" s="18"/>
      <c r="D22678" s="19"/>
      <c r="E22678" s="57"/>
      <c r="H22678" s="18"/>
    </row>
    <row r="22679">
      <c r="C22679" s="18"/>
      <c r="D22679" s="19"/>
      <c r="E22679" s="57"/>
      <c r="H22679" s="18"/>
    </row>
    <row r="22680">
      <c r="C22680" s="18"/>
      <c r="D22680" s="19"/>
      <c r="E22680" s="57"/>
      <c r="H22680" s="18"/>
    </row>
    <row r="22681">
      <c r="C22681" s="18"/>
      <c r="D22681" s="19"/>
      <c r="E22681" s="57"/>
      <c r="H22681" s="18"/>
    </row>
    <row r="22682">
      <c r="C22682" s="18"/>
      <c r="D22682" s="19"/>
      <c r="E22682" s="57"/>
      <c r="H22682" s="18"/>
    </row>
    <row r="22683">
      <c r="C22683" s="18"/>
      <c r="D22683" s="19"/>
      <c r="E22683" s="57"/>
      <c r="H22683" s="18"/>
    </row>
    <row r="22684">
      <c r="C22684" s="18"/>
      <c r="D22684" s="19"/>
      <c r="E22684" s="57"/>
      <c r="H22684" s="18"/>
    </row>
    <row r="22685">
      <c r="C22685" s="18"/>
      <c r="D22685" s="19"/>
      <c r="E22685" s="57"/>
      <c r="H22685" s="18"/>
    </row>
    <row r="22686">
      <c r="C22686" s="18"/>
      <c r="D22686" s="19"/>
      <c r="E22686" s="57"/>
      <c r="H22686" s="18"/>
    </row>
    <row r="22687">
      <c r="C22687" s="18"/>
      <c r="D22687" s="19"/>
      <c r="E22687" s="57"/>
      <c r="H22687" s="18"/>
    </row>
    <row r="22688">
      <c r="C22688" s="18"/>
      <c r="D22688" s="19"/>
      <c r="E22688" s="57"/>
      <c r="H22688" s="18"/>
    </row>
    <row r="22689">
      <c r="C22689" s="18"/>
      <c r="D22689" s="19"/>
      <c r="E22689" s="57"/>
      <c r="H22689" s="18"/>
    </row>
    <row r="22690">
      <c r="C22690" s="18"/>
      <c r="D22690" s="19"/>
      <c r="E22690" s="57"/>
      <c r="H22690" s="18"/>
    </row>
    <row r="22691">
      <c r="C22691" s="18"/>
      <c r="D22691" s="19"/>
      <c r="E22691" s="57"/>
      <c r="H22691" s="18"/>
    </row>
    <row r="22692">
      <c r="C22692" s="18"/>
      <c r="D22692" s="19"/>
      <c r="E22692" s="57"/>
      <c r="H22692" s="18"/>
    </row>
    <row r="22693">
      <c r="C22693" s="18"/>
      <c r="D22693" s="19"/>
      <c r="E22693" s="57"/>
      <c r="H22693" s="18"/>
    </row>
    <row r="22694">
      <c r="C22694" s="18"/>
      <c r="D22694" s="19"/>
      <c r="E22694" s="57"/>
      <c r="H22694" s="18"/>
    </row>
    <row r="22695">
      <c r="C22695" s="18"/>
      <c r="D22695" s="19"/>
      <c r="E22695" s="57"/>
      <c r="H22695" s="18"/>
    </row>
    <row r="22696">
      <c r="C22696" s="18"/>
      <c r="D22696" s="19"/>
      <c r="E22696" s="57"/>
      <c r="H22696" s="18"/>
    </row>
    <row r="22697">
      <c r="C22697" s="18"/>
      <c r="D22697" s="19"/>
      <c r="E22697" s="57"/>
      <c r="H22697" s="18"/>
    </row>
    <row r="22698">
      <c r="C22698" s="18"/>
      <c r="D22698" s="19"/>
      <c r="E22698" s="57"/>
      <c r="H22698" s="18"/>
    </row>
    <row r="22699">
      <c r="C22699" s="18"/>
      <c r="D22699" s="19"/>
      <c r="E22699" s="57"/>
      <c r="H22699" s="18"/>
    </row>
    <row r="22700">
      <c r="C22700" s="18"/>
      <c r="D22700" s="19"/>
      <c r="E22700" s="57"/>
      <c r="H22700" s="18"/>
    </row>
    <row r="22701">
      <c r="C22701" s="18"/>
      <c r="D22701" s="19"/>
      <c r="E22701" s="57"/>
      <c r="H22701" s="18"/>
    </row>
    <row r="22702">
      <c r="C22702" s="18"/>
      <c r="D22702" s="19"/>
      <c r="E22702" s="57"/>
      <c r="H22702" s="18"/>
    </row>
    <row r="22703">
      <c r="C22703" s="18"/>
      <c r="D22703" s="19"/>
      <c r="E22703" s="57"/>
      <c r="H22703" s="18"/>
    </row>
    <row r="22704">
      <c r="C22704" s="18"/>
      <c r="D22704" s="19"/>
      <c r="E22704" s="57"/>
      <c r="H22704" s="18"/>
    </row>
    <row r="22705">
      <c r="C22705" s="18"/>
      <c r="D22705" s="19"/>
      <c r="E22705" s="57"/>
      <c r="H22705" s="18"/>
    </row>
    <row r="22706">
      <c r="C22706" s="18"/>
      <c r="D22706" s="19"/>
      <c r="E22706" s="57"/>
      <c r="H22706" s="18"/>
    </row>
    <row r="22707">
      <c r="C22707" s="18"/>
      <c r="D22707" s="19"/>
      <c r="E22707" s="57"/>
      <c r="H22707" s="18"/>
    </row>
    <row r="22708">
      <c r="C22708" s="18"/>
      <c r="D22708" s="19"/>
      <c r="E22708" s="57"/>
      <c r="H22708" s="18"/>
    </row>
    <row r="22709">
      <c r="C22709" s="18"/>
      <c r="D22709" s="19"/>
      <c r="E22709" s="57"/>
      <c r="H22709" s="18"/>
    </row>
    <row r="22710">
      <c r="C22710" s="18"/>
      <c r="D22710" s="19"/>
      <c r="E22710" s="57"/>
      <c r="H22710" s="18"/>
    </row>
    <row r="22711">
      <c r="C22711" s="18"/>
      <c r="D22711" s="19"/>
      <c r="E22711" s="57"/>
      <c r="H22711" s="18"/>
    </row>
    <row r="22712">
      <c r="C22712" s="18"/>
      <c r="D22712" s="19"/>
      <c r="E22712" s="57"/>
      <c r="H22712" s="18"/>
    </row>
    <row r="22713">
      <c r="C22713" s="18"/>
      <c r="D22713" s="19"/>
      <c r="E22713" s="57"/>
      <c r="H22713" s="18"/>
    </row>
    <row r="22714">
      <c r="C22714" s="18"/>
      <c r="D22714" s="19"/>
      <c r="E22714" s="57"/>
      <c r="H22714" s="18"/>
    </row>
    <row r="22715">
      <c r="C22715" s="18"/>
      <c r="D22715" s="19"/>
      <c r="E22715" s="57"/>
      <c r="H22715" s="18"/>
    </row>
    <row r="22716">
      <c r="C22716" s="18"/>
      <c r="D22716" s="19"/>
      <c r="E22716" s="57"/>
      <c r="H22716" s="18"/>
    </row>
    <row r="22717">
      <c r="C22717" s="18"/>
      <c r="D22717" s="19"/>
      <c r="E22717" s="57"/>
      <c r="H22717" s="18"/>
    </row>
    <row r="22718">
      <c r="C22718" s="18"/>
      <c r="D22718" s="19"/>
      <c r="E22718" s="57"/>
      <c r="H22718" s="18"/>
    </row>
    <row r="22719">
      <c r="C22719" s="18"/>
      <c r="D22719" s="19"/>
      <c r="E22719" s="57"/>
      <c r="H22719" s="18"/>
    </row>
    <row r="22720">
      <c r="C22720" s="18"/>
      <c r="D22720" s="19"/>
      <c r="E22720" s="57"/>
      <c r="H22720" s="18"/>
    </row>
    <row r="22721">
      <c r="C22721" s="18"/>
      <c r="D22721" s="19"/>
      <c r="E22721" s="57"/>
      <c r="H22721" s="18"/>
    </row>
    <row r="22722">
      <c r="C22722" s="18"/>
      <c r="D22722" s="19"/>
      <c r="E22722" s="57"/>
      <c r="H22722" s="18"/>
    </row>
    <row r="22723">
      <c r="C22723" s="18"/>
      <c r="D22723" s="19"/>
      <c r="E22723" s="57"/>
      <c r="H22723" s="18"/>
    </row>
    <row r="22724">
      <c r="C22724" s="18"/>
      <c r="D22724" s="19"/>
      <c r="E22724" s="57"/>
      <c r="H22724" s="18"/>
    </row>
    <row r="22725">
      <c r="C22725" s="18"/>
      <c r="D22725" s="19"/>
      <c r="E22725" s="57"/>
      <c r="H22725" s="18"/>
    </row>
    <row r="22726">
      <c r="C22726" s="18"/>
      <c r="D22726" s="19"/>
      <c r="E22726" s="57"/>
      <c r="H22726" s="18"/>
    </row>
    <row r="22727">
      <c r="C22727" s="18"/>
      <c r="D22727" s="19"/>
      <c r="E22727" s="57"/>
      <c r="H22727" s="18"/>
    </row>
    <row r="22728">
      <c r="C22728" s="18"/>
      <c r="D22728" s="19"/>
      <c r="E22728" s="57"/>
      <c r="H22728" s="18"/>
    </row>
    <row r="22729">
      <c r="C22729" s="18"/>
      <c r="D22729" s="19"/>
      <c r="E22729" s="57"/>
      <c r="H22729" s="18"/>
    </row>
    <row r="22730">
      <c r="C22730" s="18"/>
      <c r="D22730" s="19"/>
      <c r="E22730" s="57"/>
      <c r="H22730" s="18"/>
    </row>
    <row r="22731">
      <c r="C22731" s="18"/>
      <c r="D22731" s="19"/>
      <c r="E22731" s="57"/>
      <c r="H22731" s="18"/>
    </row>
    <row r="22732">
      <c r="C22732" s="18"/>
      <c r="D22732" s="19"/>
      <c r="E22732" s="57"/>
      <c r="H22732" s="18"/>
    </row>
    <row r="22733">
      <c r="C22733" s="18"/>
      <c r="D22733" s="19"/>
      <c r="E22733" s="57"/>
      <c r="H22733" s="18"/>
    </row>
    <row r="22734">
      <c r="C22734" s="18"/>
      <c r="D22734" s="19"/>
      <c r="E22734" s="57"/>
      <c r="H22734" s="18"/>
    </row>
    <row r="22735">
      <c r="C22735" s="18"/>
      <c r="D22735" s="19"/>
      <c r="E22735" s="57"/>
      <c r="H22735" s="18"/>
    </row>
    <row r="22736">
      <c r="C22736" s="18"/>
      <c r="D22736" s="19"/>
      <c r="E22736" s="57"/>
      <c r="H22736" s="18"/>
    </row>
    <row r="22737">
      <c r="C22737" s="18"/>
      <c r="D22737" s="19"/>
      <c r="E22737" s="57"/>
      <c r="H22737" s="18"/>
    </row>
    <row r="22738">
      <c r="C22738" s="18"/>
      <c r="D22738" s="19"/>
      <c r="E22738" s="57"/>
      <c r="H22738" s="18"/>
    </row>
    <row r="22739">
      <c r="C22739" s="18"/>
      <c r="D22739" s="19"/>
      <c r="E22739" s="57"/>
      <c r="H22739" s="18"/>
    </row>
    <row r="22740">
      <c r="C22740" s="18"/>
      <c r="D22740" s="19"/>
      <c r="E22740" s="57"/>
      <c r="H22740" s="18"/>
    </row>
    <row r="22741">
      <c r="C22741" s="18"/>
      <c r="D22741" s="19"/>
      <c r="E22741" s="57"/>
      <c r="H22741" s="18"/>
    </row>
    <row r="22742">
      <c r="C22742" s="18"/>
      <c r="D22742" s="19"/>
      <c r="E22742" s="57"/>
      <c r="H22742" s="18"/>
    </row>
    <row r="22743">
      <c r="C22743" s="18"/>
      <c r="D22743" s="19"/>
      <c r="E22743" s="57"/>
      <c r="H22743" s="18"/>
    </row>
    <row r="22744">
      <c r="C22744" s="18"/>
      <c r="D22744" s="19"/>
      <c r="E22744" s="57"/>
      <c r="H22744" s="18"/>
    </row>
    <row r="22745">
      <c r="C22745" s="18"/>
      <c r="D22745" s="19"/>
      <c r="E22745" s="57"/>
      <c r="H22745" s="18"/>
    </row>
    <row r="22746">
      <c r="C22746" s="18"/>
      <c r="D22746" s="19"/>
      <c r="E22746" s="57"/>
      <c r="H22746" s="18"/>
    </row>
    <row r="22747">
      <c r="C22747" s="18"/>
      <c r="D22747" s="19"/>
      <c r="E22747" s="57"/>
      <c r="H22747" s="18"/>
    </row>
    <row r="22748">
      <c r="C22748" s="18"/>
      <c r="D22748" s="19"/>
      <c r="E22748" s="57"/>
      <c r="H22748" s="18"/>
    </row>
    <row r="22749">
      <c r="C22749" s="18"/>
      <c r="D22749" s="19"/>
      <c r="E22749" s="57"/>
      <c r="H22749" s="18"/>
    </row>
    <row r="22750">
      <c r="C22750" s="18"/>
      <c r="D22750" s="19"/>
      <c r="E22750" s="57"/>
      <c r="H22750" s="18"/>
    </row>
    <row r="22751">
      <c r="C22751" s="18"/>
      <c r="D22751" s="19"/>
      <c r="E22751" s="57"/>
      <c r="H22751" s="18"/>
    </row>
    <row r="22752">
      <c r="C22752" s="18"/>
      <c r="D22752" s="19"/>
      <c r="E22752" s="57"/>
      <c r="H22752" s="18"/>
    </row>
    <row r="22753">
      <c r="C22753" s="18"/>
      <c r="D22753" s="19"/>
      <c r="E22753" s="57"/>
      <c r="H22753" s="18"/>
    </row>
    <row r="22754">
      <c r="C22754" s="18"/>
      <c r="D22754" s="19"/>
      <c r="E22754" s="57"/>
      <c r="H22754" s="18"/>
    </row>
    <row r="22755">
      <c r="C22755" s="18"/>
      <c r="D22755" s="19"/>
      <c r="E22755" s="57"/>
      <c r="H22755" s="18"/>
    </row>
    <row r="22756">
      <c r="C22756" s="18"/>
      <c r="D22756" s="19"/>
      <c r="E22756" s="57"/>
      <c r="H22756" s="18"/>
    </row>
    <row r="22757">
      <c r="C22757" s="18"/>
      <c r="D22757" s="19"/>
      <c r="E22757" s="57"/>
      <c r="H22757" s="18"/>
    </row>
    <row r="22758">
      <c r="C22758" s="18"/>
      <c r="D22758" s="19"/>
      <c r="E22758" s="57"/>
      <c r="H22758" s="18"/>
    </row>
    <row r="22759">
      <c r="C22759" s="18"/>
      <c r="D22759" s="19"/>
      <c r="E22759" s="57"/>
      <c r="H22759" s="18"/>
    </row>
    <row r="22760">
      <c r="C22760" s="18"/>
      <c r="D22760" s="19"/>
      <c r="E22760" s="57"/>
      <c r="H22760" s="18"/>
    </row>
    <row r="22761">
      <c r="C22761" s="18"/>
      <c r="D22761" s="19"/>
      <c r="E22761" s="57"/>
      <c r="H22761" s="18"/>
    </row>
    <row r="22762">
      <c r="C22762" s="18"/>
      <c r="D22762" s="19"/>
      <c r="E22762" s="57"/>
      <c r="H22762" s="18"/>
    </row>
    <row r="22763">
      <c r="C22763" s="18"/>
      <c r="D22763" s="19"/>
      <c r="E22763" s="57"/>
      <c r="H22763" s="18"/>
    </row>
    <row r="22764">
      <c r="C22764" s="18"/>
      <c r="D22764" s="19"/>
      <c r="E22764" s="57"/>
      <c r="H22764" s="18"/>
    </row>
    <row r="22765">
      <c r="C22765" s="18"/>
      <c r="D22765" s="19"/>
      <c r="E22765" s="57"/>
      <c r="H22765" s="18"/>
    </row>
    <row r="22766">
      <c r="C22766" s="18"/>
      <c r="D22766" s="19"/>
      <c r="E22766" s="57"/>
      <c r="H22766" s="18"/>
    </row>
    <row r="22767">
      <c r="C22767" s="18"/>
      <c r="D22767" s="19"/>
      <c r="E22767" s="57"/>
      <c r="H22767" s="18"/>
    </row>
    <row r="22768">
      <c r="C22768" s="18"/>
      <c r="D22768" s="19"/>
      <c r="E22768" s="57"/>
      <c r="H22768" s="18"/>
    </row>
    <row r="22769">
      <c r="C22769" s="18"/>
      <c r="D22769" s="19"/>
      <c r="E22769" s="57"/>
      <c r="H22769" s="18"/>
    </row>
    <row r="22770">
      <c r="C22770" s="18"/>
      <c r="D22770" s="19"/>
      <c r="E22770" s="57"/>
      <c r="H22770" s="18"/>
    </row>
    <row r="22771">
      <c r="C22771" s="18"/>
      <c r="D22771" s="19"/>
      <c r="E22771" s="57"/>
      <c r="H22771" s="18"/>
    </row>
    <row r="22772">
      <c r="C22772" s="18"/>
      <c r="D22772" s="19"/>
      <c r="E22772" s="57"/>
      <c r="H22772" s="18"/>
    </row>
    <row r="22773">
      <c r="C22773" s="18"/>
      <c r="D22773" s="19"/>
      <c r="E22773" s="57"/>
      <c r="H22773" s="18"/>
    </row>
    <row r="22774">
      <c r="C22774" s="18"/>
      <c r="D22774" s="19"/>
      <c r="E22774" s="57"/>
      <c r="H22774" s="18"/>
    </row>
    <row r="22775">
      <c r="C22775" s="18"/>
      <c r="D22775" s="19"/>
      <c r="E22775" s="57"/>
      <c r="H22775" s="18"/>
    </row>
    <row r="22776">
      <c r="C22776" s="18"/>
      <c r="D22776" s="19"/>
      <c r="E22776" s="57"/>
      <c r="H22776" s="18"/>
    </row>
    <row r="22777">
      <c r="C22777" s="18"/>
      <c r="D22777" s="19"/>
      <c r="E22777" s="57"/>
      <c r="H22777" s="18"/>
    </row>
    <row r="22778">
      <c r="C22778" s="18"/>
      <c r="D22778" s="19"/>
      <c r="E22778" s="57"/>
      <c r="H22778" s="18"/>
    </row>
    <row r="22779">
      <c r="C22779" s="18"/>
      <c r="D22779" s="19"/>
      <c r="E22779" s="57"/>
      <c r="H22779" s="18"/>
    </row>
    <row r="22780">
      <c r="C22780" s="18"/>
      <c r="D22780" s="19"/>
      <c r="E22780" s="57"/>
      <c r="H22780" s="18"/>
    </row>
    <row r="22781">
      <c r="C22781" s="18"/>
      <c r="D22781" s="19"/>
      <c r="E22781" s="57"/>
      <c r="H22781" s="18"/>
    </row>
    <row r="22782">
      <c r="C22782" s="18"/>
      <c r="D22782" s="19"/>
      <c r="E22782" s="57"/>
      <c r="H22782" s="18"/>
    </row>
    <row r="22783">
      <c r="C22783" s="18"/>
      <c r="D22783" s="19"/>
      <c r="E22783" s="57"/>
      <c r="H22783" s="18"/>
    </row>
    <row r="22784">
      <c r="C22784" s="18"/>
      <c r="D22784" s="19"/>
      <c r="E22784" s="57"/>
      <c r="H22784" s="18"/>
    </row>
    <row r="22785">
      <c r="C22785" s="18"/>
      <c r="D22785" s="19"/>
      <c r="E22785" s="57"/>
      <c r="H22785" s="18"/>
    </row>
    <row r="22786">
      <c r="C22786" s="18"/>
      <c r="D22786" s="19"/>
      <c r="E22786" s="57"/>
      <c r="H22786" s="18"/>
    </row>
    <row r="22787">
      <c r="C22787" s="18"/>
      <c r="D22787" s="19"/>
      <c r="E22787" s="57"/>
      <c r="H22787" s="18"/>
    </row>
    <row r="22788">
      <c r="C22788" s="18"/>
      <c r="D22788" s="19"/>
      <c r="E22788" s="57"/>
      <c r="H22788" s="18"/>
    </row>
    <row r="22789">
      <c r="C22789" s="18"/>
      <c r="D22789" s="19"/>
      <c r="E22789" s="57"/>
      <c r="H22789" s="18"/>
    </row>
    <row r="22790">
      <c r="C22790" s="18"/>
      <c r="D22790" s="19"/>
      <c r="E22790" s="57"/>
      <c r="H22790" s="18"/>
    </row>
    <row r="22791">
      <c r="C22791" s="18"/>
      <c r="D22791" s="19"/>
      <c r="E22791" s="57"/>
      <c r="H22791" s="18"/>
    </row>
    <row r="22792">
      <c r="C22792" s="18"/>
      <c r="D22792" s="19"/>
      <c r="E22792" s="57"/>
      <c r="H22792" s="18"/>
    </row>
    <row r="22793">
      <c r="C22793" s="18"/>
      <c r="D22793" s="19"/>
      <c r="E22793" s="57"/>
      <c r="H22793" s="18"/>
    </row>
    <row r="22794">
      <c r="C22794" s="18"/>
      <c r="D22794" s="19"/>
      <c r="E22794" s="57"/>
      <c r="H22794" s="18"/>
    </row>
    <row r="22795">
      <c r="C22795" s="18"/>
      <c r="D22795" s="19"/>
      <c r="E22795" s="57"/>
      <c r="H22795" s="18"/>
    </row>
    <row r="22796">
      <c r="C22796" s="18"/>
      <c r="D22796" s="19"/>
      <c r="E22796" s="57"/>
      <c r="H22796" s="18"/>
    </row>
    <row r="22797">
      <c r="C22797" s="18"/>
      <c r="D22797" s="19"/>
      <c r="E22797" s="57"/>
      <c r="H22797" s="18"/>
    </row>
    <row r="22798">
      <c r="C22798" s="18"/>
      <c r="D22798" s="19"/>
      <c r="E22798" s="57"/>
      <c r="H22798" s="18"/>
    </row>
    <row r="22799">
      <c r="C22799" s="18"/>
      <c r="D22799" s="19"/>
      <c r="E22799" s="57"/>
      <c r="H22799" s="18"/>
    </row>
    <row r="22800">
      <c r="C22800" s="18"/>
      <c r="D22800" s="19"/>
      <c r="E22800" s="57"/>
      <c r="H22800" s="18"/>
    </row>
    <row r="22801">
      <c r="C22801" s="18"/>
      <c r="D22801" s="19"/>
      <c r="E22801" s="57"/>
      <c r="H22801" s="18"/>
    </row>
    <row r="22802">
      <c r="C22802" s="18"/>
      <c r="D22802" s="19"/>
      <c r="E22802" s="57"/>
      <c r="H22802" s="18"/>
    </row>
    <row r="22803">
      <c r="C22803" s="18"/>
      <c r="D22803" s="19"/>
      <c r="E22803" s="57"/>
      <c r="H22803" s="18"/>
    </row>
    <row r="22804">
      <c r="C22804" s="18"/>
      <c r="D22804" s="19"/>
      <c r="E22804" s="57"/>
      <c r="H22804" s="18"/>
    </row>
    <row r="22805">
      <c r="C22805" s="18"/>
      <c r="D22805" s="19"/>
      <c r="E22805" s="57"/>
      <c r="H22805" s="18"/>
    </row>
    <row r="22806">
      <c r="C22806" s="18"/>
      <c r="D22806" s="19"/>
      <c r="E22806" s="57"/>
      <c r="H22806" s="18"/>
    </row>
    <row r="22807">
      <c r="C22807" s="18"/>
      <c r="D22807" s="19"/>
      <c r="E22807" s="57"/>
      <c r="H22807" s="18"/>
    </row>
    <row r="22808">
      <c r="C22808" s="18"/>
      <c r="D22808" s="19"/>
      <c r="E22808" s="57"/>
      <c r="H22808" s="18"/>
    </row>
    <row r="22809">
      <c r="C22809" s="18"/>
      <c r="D22809" s="19"/>
      <c r="E22809" s="57"/>
      <c r="H22809" s="18"/>
    </row>
    <row r="22810">
      <c r="C22810" s="18"/>
      <c r="D22810" s="19"/>
      <c r="E22810" s="57"/>
      <c r="H22810" s="18"/>
    </row>
    <row r="22811">
      <c r="C22811" s="18"/>
      <c r="D22811" s="19"/>
      <c r="E22811" s="57"/>
      <c r="H22811" s="18"/>
    </row>
    <row r="22812">
      <c r="C22812" s="18"/>
      <c r="D22812" s="19"/>
      <c r="E22812" s="57"/>
      <c r="H22812" s="18"/>
    </row>
    <row r="22813">
      <c r="C22813" s="18"/>
      <c r="D22813" s="19"/>
      <c r="E22813" s="57"/>
      <c r="H22813" s="18"/>
    </row>
    <row r="22814">
      <c r="C22814" s="18"/>
      <c r="D22814" s="19"/>
      <c r="E22814" s="57"/>
      <c r="H22814" s="18"/>
    </row>
    <row r="22815">
      <c r="C22815" s="18"/>
      <c r="D22815" s="19"/>
      <c r="E22815" s="57"/>
      <c r="H22815" s="18"/>
    </row>
    <row r="22816">
      <c r="C22816" s="18"/>
      <c r="D22816" s="19"/>
      <c r="E22816" s="57"/>
      <c r="H22816" s="18"/>
    </row>
    <row r="22817">
      <c r="C22817" s="18"/>
      <c r="D22817" s="19"/>
      <c r="E22817" s="57"/>
      <c r="H22817" s="18"/>
    </row>
    <row r="22818">
      <c r="C22818" s="18"/>
      <c r="D22818" s="19"/>
      <c r="E22818" s="57"/>
      <c r="H22818" s="18"/>
    </row>
    <row r="22819">
      <c r="C22819" s="18"/>
      <c r="D22819" s="19"/>
      <c r="E22819" s="57"/>
      <c r="H22819" s="18"/>
    </row>
    <row r="22820">
      <c r="C22820" s="18"/>
      <c r="D22820" s="19"/>
      <c r="E22820" s="57"/>
      <c r="H22820" s="18"/>
    </row>
    <row r="22821">
      <c r="C22821" s="18"/>
      <c r="D22821" s="19"/>
      <c r="E22821" s="57"/>
      <c r="H22821" s="18"/>
    </row>
    <row r="22822">
      <c r="C22822" s="18"/>
      <c r="D22822" s="19"/>
      <c r="E22822" s="57"/>
      <c r="H22822" s="18"/>
    </row>
    <row r="22823">
      <c r="C22823" s="18"/>
      <c r="D22823" s="19"/>
      <c r="E22823" s="57"/>
      <c r="H22823" s="18"/>
    </row>
    <row r="22824">
      <c r="C22824" s="18"/>
      <c r="D22824" s="19"/>
      <c r="E22824" s="57"/>
      <c r="H22824" s="18"/>
    </row>
    <row r="22825">
      <c r="C22825" s="18"/>
      <c r="D22825" s="19"/>
      <c r="E22825" s="57"/>
      <c r="H22825" s="18"/>
    </row>
    <row r="22826">
      <c r="C22826" s="18"/>
      <c r="D22826" s="19"/>
      <c r="E22826" s="57"/>
      <c r="H22826" s="18"/>
    </row>
    <row r="22827">
      <c r="C22827" s="18"/>
      <c r="D22827" s="19"/>
      <c r="E22827" s="57"/>
      <c r="H22827" s="18"/>
    </row>
    <row r="22828">
      <c r="C22828" s="18"/>
      <c r="D22828" s="19"/>
      <c r="E22828" s="57"/>
      <c r="H22828" s="18"/>
    </row>
    <row r="22829">
      <c r="C22829" s="18"/>
      <c r="D22829" s="19"/>
      <c r="E22829" s="57"/>
      <c r="H22829" s="18"/>
    </row>
    <row r="22830">
      <c r="C22830" s="18"/>
      <c r="D22830" s="19"/>
      <c r="E22830" s="57"/>
      <c r="H22830" s="18"/>
    </row>
    <row r="22831">
      <c r="C22831" s="18"/>
      <c r="D22831" s="19"/>
      <c r="E22831" s="57"/>
      <c r="H22831" s="18"/>
    </row>
    <row r="22832">
      <c r="C22832" s="18"/>
      <c r="D22832" s="19"/>
      <c r="E22832" s="57"/>
      <c r="H22832" s="18"/>
    </row>
    <row r="22833">
      <c r="C22833" s="18"/>
      <c r="D22833" s="19"/>
      <c r="E22833" s="57"/>
      <c r="H22833" s="18"/>
    </row>
    <row r="22834">
      <c r="C22834" s="18"/>
      <c r="D22834" s="19"/>
      <c r="E22834" s="57"/>
      <c r="H22834" s="18"/>
    </row>
    <row r="22835">
      <c r="C22835" s="18"/>
      <c r="D22835" s="19"/>
      <c r="E22835" s="57"/>
      <c r="H22835" s="18"/>
    </row>
    <row r="22836">
      <c r="C22836" s="18"/>
      <c r="D22836" s="19"/>
      <c r="E22836" s="57"/>
      <c r="H22836" s="18"/>
    </row>
    <row r="22837">
      <c r="C22837" s="18"/>
      <c r="D22837" s="19"/>
      <c r="E22837" s="57"/>
      <c r="H22837" s="18"/>
    </row>
    <row r="22838">
      <c r="C22838" s="18"/>
      <c r="D22838" s="19"/>
      <c r="E22838" s="57"/>
      <c r="H22838" s="18"/>
    </row>
    <row r="22839">
      <c r="C22839" s="18"/>
      <c r="D22839" s="19"/>
      <c r="E22839" s="57"/>
      <c r="H22839" s="18"/>
    </row>
    <row r="22840">
      <c r="C22840" s="18"/>
      <c r="D22840" s="19"/>
      <c r="E22840" s="57"/>
      <c r="H22840" s="18"/>
    </row>
    <row r="22841">
      <c r="C22841" s="18"/>
      <c r="D22841" s="19"/>
      <c r="E22841" s="57"/>
      <c r="H22841" s="18"/>
    </row>
    <row r="22842">
      <c r="C22842" s="18"/>
      <c r="D22842" s="19"/>
      <c r="E22842" s="57"/>
      <c r="H22842" s="18"/>
    </row>
    <row r="22843">
      <c r="C22843" s="18"/>
      <c r="D22843" s="19"/>
      <c r="E22843" s="57"/>
      <c r="H22843" s="18"/>
    </row>
    <row r="22844">
      <c r="C22844" s="18"/>
      <c r="D22844" s="19"/>
      <c r="E22844" s="57"/>
      <c r="H22844" s="18"/>
    </row>
    <row r="22845">
      <c r="C22845" s="18"/>
      <c r="D22845" s="19"/>
      <c r="E22845" s="57"/>
      <c r="H22845" s="18"/>
    </row>
    <row r="22846">
      <c r="C22846" s="18"/>
      <c r="D22846" s="19"/>
      <c r="E22846" s="57"/>
      <c r="H22846" s="18"/>
    </row>
    <row r="22847">
      <c r="C22847" s="18"/>
      <c r="D22847" s="19"/>
      <c r="E22847" s="57"/>
      <c r="H22847" s="18"/>
    </row>
    <row r="22848">
      <c r="C22848" s="18"/>
      <c r="D22848" s="19"/>
      <c r="E22848" s="57"/>
      <c r="H22848" s="18"/>
    </row>
    <row r="22849">
      <c r="C22849" s="18"/>
      <c r="D22849" s="19"/>
      <c r="E22849" s="57"/>
      <c r="H22849" s="18"/>
    </row>
    <row r="22850">
      <c r="C22850" s="18"/>
      <c r="D22850" s="19"/>
      <c r="E22850" s="57"/>
      <c r="H22850" s="18"/>
    </row>
    <row r="22851">
      <c r="C22851" s="18"/>
      <c r="D22851" s="19"/>
      <c r="E22851" s="57"/>
      <c r="H22851" s="18"/>
    </row>
    <row r="22852">
      <c r="C22852" s="18"/>
      <c r="D22852" s="19"/>
      <c r="E22852" s="57"/>
      <c r="H22852" s="18"/>
    </row>
    <row r="22853">
      <c r="C22853" s="18"/>
      <c r="D22853" s="19"/>
      <c r="E22853" s="57"/>
      <c r="H22853" s="18"/>
    </row>
    <row r="22854">
      <c r="C22854" s="18"/>
      <c r="D22854" s="19"/>
      <c r="E22854" s="57"/>
      <c r="H22854" s="18"/>
    </row>
    <row r="22855">
      <c r="C22855" s="18"/>
      <c r="D22855" s="19"/>
      <c r="E22855" s="57"/>
      <c r="H22855" s="18"/>
    </row>
    <row r="22856">
      <c r="C22856" s="18"/>
      <c r="D22856" s="19"/>
      <c r="E22856" s="57"/>
      <c r="H22856" s="18"/>
    </row>
    <row r="22857">
      <c r="C22857" s="18"/>
      <c r="D22857" s="19"/>
      <c r="E22857" s="57"/>
      <c r="H22857" s="18"/>
    </row>
    <row r="22858">
      <c r="C22858" s="18"/>
      <c r="D22858" s="19"/>
      <c r="E22858" s="57"/>
      <c r="H22858" s="18"/>
    </row>
    <row r="22859">
      <c r="C22859" s="18"/>
      <c r="D22859" s="19"/>
      <c r="E22859" s="57"/>
      <c r="H22859" s="18"/>
    </row>
    <row r="22860">
      <c r="C22860" s="18"/>
      <c r="D22860" s="19"/>
      <c r="E22860" s="57"/>
      <c r="H22860" s="18"/>
    </row>
    <row r="22861">
      <c r="C22861" s="18"/>
      <c r="D22861" s="19"/>
      <c r="E22861" s="57"/>
      <c r="H22861" s="18"/>
    </row>
    <row r="22862">
      <c r="C22862" s="18"/>
      <c r="D22862" s="19"/>
      <c r="E22862" s="57"/>
      <c r="H22862" s="18"/>
    </row>
    <row r="22863">
      <c r="C22863" s="18"/>
      <c r="D22863" s="19"/>
      <c r="E22863" s="57"/>
      <c r="H22863" s="18"/>
    </row>
    <row r="22864">
      <c r="C22864" s="18"/>
      <c r="D22864" s="19"/>
      <c r="E22864" s="57"/>
      <c r="H22864" s="18"/>
    </row>
    <row r="22865">
      <c r="C22865" s="18"/>
      <c r="D22865" s="19"/>
      <c r="E22865" s="57"/>
      <c r="H22865" s="18"/>
    </row>
    <row r="22866">
      <c r="C22866" s="18"/>
      <c r="D22866" s="19"/>
      <c r="E22866" s="57"/>
      <c r="H22866" s="18"/>
    </row>
    <row r="22867">
      <c r="C22867" s="18"/>
      <c r="D22867" s="19"/>
      <c r="E22867" s="57"/>
      <c r="H22867" s="18"/>
    </row>
    <row r="22868">
      <c r="C22868" s="18"/>
      <c r="D22868" s="19"/>
      <c r="E22868" s="57"/>
      <c r="H22868" s="18"/>
    </row>
    <row r="22869">
      <c r="C22869" s="18"/>
      <c r="D22869" s="19"/>
      <c r="E22869" s="57"/>
      <c r="H22869" s="18"/>
    </row>
    <row r="22870">
      <c r="C22870" s="18"/>
      <c r="D22870" s="19"/>
      <c r="E22870" s="57"/>
      <c r="H22870" s="18"/>
    </row>
    <row r="22871">
      <c r="C22871" s="18"/>
      <c r="D22871" s="19"/>
      <c r="E22871" s="57"/>
      <c r="H22871" s="18"/>
    </row>
    <row r="22872">
      <c r="C22872" s="18"/>
      <c r="D22872" s="19"/>
      <c r="E22872" s="57"/>
      <c r="H22872" s="18"/>
    </row>
    <row r="22873">
      <c r="C22873" s="18"/>
      <c r="D22873" s="19"/>
      <c r="E22873" s="57"/>
      <c r="H22873" s="18"/>
    </row>
    <row r="22874">
      <c r="C22874" s="18"/>
      <c r="D22874" s="19"/>
      <c r="E22874" s="57"/>
      <c r="H22874" s="18"/>
    </row>
    <row r="22875">
      <c r="C22875" s="18"/>
      <c r="D22875" s="19"/>
      <c r="E22875" s="57"/>
      <c r="H22875" s="18"/>
    </row>
    <row r="22876">
      <c r="C22876" s="18"/>
      <c r="D22876" s="19"/>
      <c r="E22876" s="57"/>
      <c r="H22876" s="18"/>
    </row>
    <row r="22877">
      <c r="C22877" s="18"/>
      <c r="D22877" s="19"/>
      <c r="E22877" s="57"/>
      <c r="H22877" s="18"/>
    </row>
    <row r="22878">
      <c r="C22878" s="18"/>
      <c r="D22878" s="19"/>
      <c r="E22878" s="57"/>
      <c r="H22878" s="18"/>
    </row>
    <row r="22879">
      <c r="C22879" s="18"/>
      <c r="D22879" s="19"/>
      <c r="E22879" s="57"/>
      <c r="H22879" s="18"/>
    </row>
    <row r="22880">
      <c r="C22880" s="18"/>
      <c r="D22880" s="19"/>
      <c r="E22880" s="57"/>
      <c r="H22880" s="18"/>
    </row>
    <row r="22881">
      <c r="C22881" s="18"/>
      <c r="D22881" s="19"/>
      <c r="E22881" s="57"/>
      <c r="H22881" s="18"/>
    </row>
    <row r="22882">
      <c r="C22882" s="18"/>
      <c r="D22882" s="19"/>
      <c r="E22882" s="57"/>
      <c r="H22882" s="18"/>
    </row>
    <row r="22883">
      <c r="C22883" s="18"/>
      <c r="D22883" s="19"/>
      <c r="E22883" s="57"/>
      <c r="H22883" s="18"/>
    </row>
    <row r="22884">
      <c r="C22884" s="18"/>
      <c r="D22884" s="19"/>
      <c r="E22884" s="57"/>
      <c r="H22884" s="18"/>
    </row>
    <row r="22885">
      <c r="C22885" s="18"/>
      <c r="D22885" s="19"/>
      <c r="E22885" s="57"/>
      <c r="H22885" s="18"/>
    </row>
    <row r="22886">
      <c r="C22886" s="18"/>
      <c r="D22886" s="19"/>
      <c r="E22886" s="57"/>
      <c r="H22886" s="18"/>
    </row>
    <row r="22887">
      <c r="C22887" s="18"/>
      <c r="D22887" s="19"/>
      <c r="E22887" s="57"/>
      <c r="H22887" s="18"/>
    </row>
    <row r="22888">
      <c r="C22888" s="18"/>
      <c r="D22888" s="19"/>
      <c r="E22888" s="57"/>
      <c r="H22888" s="18"/>
    </row>
    <row r="22889">
      <c r="C22889" s="18"/>
      <c r="D22889" s="19"/>
      <c r="E22889" s="57"/>
      <c r="H22889" s="18"/>
    </row>
    <row r="22890">
      <c r="C22890" s="18"/>
      <c r="D22890" s="19"/>
      <c r="E22890" s="57"/>
      <c r="H22890" s="18"/>
    </row>
    <row r="22891">
      <c r="C22891" s="18"/>
      <c r="D22891" s="19"/>
      <c r="E22891" s="57"/>
      <c r="H22891" s="18"/>
    </row>
    <row r="22892">
      <c r="C22892" s="18"/>
      <c r="D22892" s="19"/>
      <c r="E22892" s="57"/>
      <c r="H22892" s="18"/>
    </row>
    <row r="22893">
      <c r="C22893" s="18"/>
      <c r="D22893" s="19"/>
      <c r="E22893" s="57"/>
      <c r="H22893" s="18"/>
    </row>
    <row r="22894">
      <c r="C22894" s="18"/>
      <c r="D22894" s="19"/>
      <c r="E22894" s="57"/>
      <c r="H22894" s="18"/>
    </row>
    <row r="22895">
      <c r="C22895" s="18"/>
      <c r="D22895" s="19"/>
      <c r="E22895" s="57"/>
      <c r="H22895" s="18"/>
    </row>
    <row r="22896">
      <c r="C22896" s="18"/>
      <c r="D22896" s="19"/>
      <c r="E22896" s="57"/>
      <c r="H22896" s="18"/>
    </row>
    <row r="22897">
      <c r="C22897" s="18"/>
      <c r="D22897" s="19"/>
      <c r="E22897" s="57"/>
      <c r="H22897" s="18"/>
    </row>
    <row r="22898">
      <c r="C22898" s="18"/>
      <c r="D22898" s="19"/>
      <c r="E22898" s="57"/>
      <c r="H22898" s="18"/>
    </row>
    <row r="22899">
      <c r="C22899" s="18"/>
      <c r="D22899" s="19"/>
      <c r="E22899" s="57"/>
      <c r="H22899" s="18"/>
    </row>
    <row r="22900">
      <c r="C22900" s="18"/>
      <c r="D22900" s="19"/>
      <c r="E22900" s="57"/>
      <c r="H22900" s="18"/>
    </row>
    <row r="22901">
      <c r="C22901" s="18"/>
      <c r="D22901" s="19"/>
      <c r="E22901" s="57"/>
      <c r="H22901" s="18"/>
    </row>
    <row r="22902">
      <c r="C22902" s="18"/>
      <c r="D22902" s="19"/>
      <c r="E22902" s="57"/>
      <c r="H22902" s="18"/>
    </row>
    <row r="22903">
      <c r="C22903" s="18"/>
      <c r="D22903" s="19"/>
      <c r="E22903" s="57"/>
      <c r="H22903" s="18"/>
    </row>
    <row r="22904">
      <c r="C22904" s="18"/>
      <c r="D22904" s="19"/>
      <c r="E22904" s="57"/>
      <c r="H22904" s="18"/>
    </row>
    <row r="22905">
      <c r="C22905" s="18"/>
      <c r="D22905" s="19"/>
      <c r="E22905" s="57"/>
      <c r="H22905" s="18"/>
    </row>
    <row r="22906">
      <c r="C22906" s="18"/>
      <c r="D22906" s="19"/>
      <c r="E22906" s="57"/>
      <c r="H22906" s="18"/>
    </row>
    <row r="22907">
      <c r="C22907" s="18"/>
      <c r="D22907" s="19"/>
      <c r="E22907" s="57"/>
      <c r="H22907" s="18"/>
    </row>
    <row r="22908">
      <c r="C22908" s="18"/>
      <c r="D22908" s="19"/>
      <c r="E22908" s="57"/>
      <c r="H22908" s="18"/>
    </row>
    <row r="22909">
      <c r="C22909" s="18"/>
      <c r="D22909" s="19"/>
      <c r="E22909" s="57"/>
      <c r="H22909" s="18"/>
    </row>
    <row r="22910">
      <c r="C22910" s="18"/>
      <c r="D22910" s="19"/>
      <c r="E22910" s="57"/>
      <c r="H22910" s="18"/>
    </row>
    <row r="22911">
      <c r="C22911" s="18"/>
      <c r="D22911" s="19"/>
      <c r="E22911" s="57"/>
      <c r="H22911" s="18"/>
    </row>
    <row r="22912">
      <c r="C22912" s="18"/>
      <c r="D22912" s="19"/>
      <c r="E22912" s="57"/>
      <c r="H22912" s="18"/>
    </row>
    <row r="22913">
      <c r="C22913" s="18"/>
      <c r="D22913" s="19"/>
      <c r="E22913" s="57"/>
      <c r="H22913" s="18"/>
    </row>
    <row r="22914">
      <c r="C22914" s="18"/>
      <c r="D22914" s="19"/>
      <c r="E22914" s="57"/>
      <c r="H22914" s="18"/>
    </row>
    <row r="22915">
      <c r="C22915" s="18"/>
      <c r="D22915" s="19"/>
      <c r="E22915" s="57"/>
      <c r="H22915" s="18"/>
    </row>
    <row r="22916">
      <c r="C22916" s="18"/>
      <c r="D22916" s="19"/>
      <c r="E22916" s="57"/>
      <c r="H22916" s="18"/>
    </row>
    <row r="22917">
      <c r="C22917" s="18"/>
      <c r="D22917" s="19"/>
      <c r="E22917" s="57"/>
      <c r="H22917" s="18"/>
    </row>
    <row r="22918">
      <c r="C22918" s="18"/>
      <c r="D22918" s="19"/>
      <c r="E22918" s="57"/>
      <c r="H22918" s="18"/>
    </row>
    <row r="22919">
      <c r="C22919" s="18"/>
      <c r="D22919" s="19"/>
      <c r="E22919" s="57"/>
      <c r="H22919" s="18"/>
    </row>
    <row r="22920">
      <c r="C22920" s="18"/>
      <c r="D22920" s="19"/>
      <c r="E22920" s="57"/>
      <c r="H22920" s="18"/>
    </row>
    <row r="22921">
      <c r="C22921" s="18"/>
      <c r="D22921" s="19"/>
      <c r="E22921" s="57"/>
      <c r="H22921" s="18"/>
    </row>
    <row r="22922">
      <c r="C22922" s="18"/>
      <c r="D22922" s="19"/>
      <c r="E22922" s="57"/>
      <c r="H22922" s="18"/>
    </row>
    <row r="22923">
      <c r="C22923" s="18"/>
      <c r="D22923" s="19"/>
      <c r="E22923" s="57"/>
      <c r="H22923" s="18"/>
    </row>
    <row r="22924">
      <c r="C22924" s="18"/>
      <c r="D22924" s="19"/>
      <c r="E22924" s="57"/>
      <c r="H22924" s="18"/>
    </row>
    <row r="22925">
      <c r="C22925" s="18"/>
      <c r="D22925" s="19"/>
      <c r="E22925" s="57"/>
      <c r="H22925" s="18"/>
    </row>
    <row r="22926">
      <c r="C22926" s="18"/>
      <c r="D22926" s="19"/>
      <c r="E22926" s="57"/>
      <c r="H22926" s="18"/>
    </row>
    <row r="22927">
      <c r="C22927" s="18"/>
      <c r="D22927" s="19"/>
      <c r="E22927" s="57"/>
      <c r="H22927" s="18"/>
    </row>
    <row r="22928">
      <c r="C22928" s="18"/>
      <c r="D22928" s="19"/>
      <c r="E22928" s="57"/>
      <c r="H22928" s="18"/>
    </row>
    <row r="22929">
      <c r="C22929" s="18"/>
      <c r="D22929" s="19"/>
      <c r="E22929" s="57"/>
      <c r="H22929" s="18"/>
    </row>
    <row r="22930">
      <c r="C22930" s="18"/>
      <c r="D22930" s="19"/>
      <c r="E22930" s="57"/>
      <c r="H22930" s="18"/>
    </row>
    <row r="22931">
      <c r="C22931" s="18"/>
      <c r="D22931" s="19"/>
      <c r="E22931" s="57"/>
      <c r="H22931" s="18"/>
    </row>
    <row r="22932">
      <c r="C22932" s="18"/>
      <c r="D22932" s="19"/>
      <c r="E22932" s="57"/>
      <c r="H22932" s="18"/>
    </row>
    <row r="22933">
      <c r="C22933" s="18"/>
      <c r="D22933" s="19"/>
      <c r="E22933" s="57"/>
      <c r="H22933" s="18"/>
    </row>
    <row r="22934">
      <c r="C22934" s="18"/>
      <c r="D22934" s="19"/>
      <c r="E22934" s="57"/>
      <c r="H22934" s="18"/>
    </row>
    <row r="22935">
      <c r="C22935" s="18"/>
      <c r="D22935" s="19"/>
      <c r="E22935" s="57"/>
      <c r="H22935" s="18"/>
    </row>
    <row r="22936">
      <c r="C22936" s="18"/>
      <c r="D22936" s="19"/>
      <c r="E22936" s="57"/>
      <c r="H22936" s="18"/>
    </row>
    <row r="22937">
      <c r="C22937" s="18"/>
      <c r="D22937" s="19"/>
      <c r="E22937" s="57"/>
      <c r="H22937" s="18"/>
    </row>
    <row r="22938">
      <c r="C22938" s="18"/>
      <c r="D22938" s="19"/>
      <c r="E22938" s="57"/>
      <c r="H22938" s="18"/>
    </row>
    <row r="22939">
      <c r="C22939" s="18"/>
      <c r="D22939" s="19"/>
      <c r="E22939" s="57"/>
      <c r="H22939" s="18"/>
    </row>
    <row r="22940">
      <c r="C22940" s="18"/>
      <c r="D22940" s="19"/>
      <c r="E22940" s="57"/>
      <c r="H22940" s="18"/>
    </row>
    <row r="22941">
      <c r="C22941" s="18"/>
      <c r="D22941" s="19"/>
      <c r="E22941" s="57"/>
      <c r="H22941" s="18"/>
    </row>
    <row r="22942">
      <c r="C22942" s="18"/>
      <c r="D22942" s="19"/>
      <c r="E22942" s="57"/>
      <c r="H22942" s="18"/>
    </row>
    <row r="22943">
      <c r="C22943" s="18"/>
      <c r="D22943" s="19"/>
      <c r="E22943" s="57"/>
      <c r="H22943" s="18"/>
    </row>
    <row r="22944">
      <c r="C22944" s="18"/>
      <c r="D22944" s="19"/>
      <c r="E22944" s="57"/>
      <c r="H22944" s="18"/>
    </row>
    <row r="22945">
      <c r="C22945" s="18"/>
      <c r="D22945" s="19"/>
      <c r="E22945" s="57"/>
      <c r="H22945" s="18"/>
    </row>
    <row r="22946">
      <c r="C22946" s="18"/>
      <c r="D22946" s="19"/>
      <c r="E22946" s="57"/>
      <c r="H22946" s="18"/>
    </row>
    <row r="22947">
      <c r="C22947" s="18"/>
      <c r="D22947" s="19"/>
      <c r="E22947" s="57"/>
      <c r="H22947" s="18"/>
    </row>
    <row r="22948">
      <c r="C22948" s="18"/>
      <c r="D22948" s="19"/>
      <c r="E22948" s="57"/>
      <c r="H22948" s="18"/>
    </row>
    <row r="22949">
      <c r="C22949" s="18"/>
      <c r="D22949" s="19"/>
      <c r="E22949" s="57"/>
      <c r="H22949" s="18"/>
    </row>
    <row r="22950">
      <c r="C22950" s="18"/>
      <c r="D22950" s="19"/>
      <c r="E22950" s="57"/>
      <c r="H22950" s="18"/>
    </row>
    <row r="22951">
      <c r="C22951" s="18"/>
      <c r="D22951" s="19"/>
      <c r="E22951" s="57"/>
      <c r="H22951" s="18"/>
    </row>
    <row r="22952">
      <c r="C22952" s="18"/>
      <c r="D22952" s="19"/>
      <c r="E22952" s="57"/>
      <c r="H22952" s="18"/>
    </row>
    <row r="22953">
      <c r="C22953" s="18"/>
      <c r="D22953" s="19"/>
      <c r="E22953" s="57"/>
      <c r="H22953" s="18"/>
    </row>
    <row r="22954">
      <c r="C22954" s="18"/>
      <c r="D22954" s="19"/>
      <c r="E22954" s="57"/>
      <c r="H22954" s="18"/>
    </row>
    <row r="22955">
      <c r="C22955" s="18"/>
      <c r="D22955" s="19"/>
      <c r="E22955" s="57"/>
      <c r="H22955" s="18"/>
    </row>
    <row r="22956">
      <c r="C22956" s="18"/>
      <c r="D22956" s="19"/>
      <c r="E22956" s="57"/>
      <c r="H22956" s="18"/>
    </row>
    <row r="22957">
      <c r="C22957" s="18"/>
      <c r="D22957" s="19"/>
      <c r="E22957" s="57"/>
      <c r="H22957" s="18"/>
    </row>
    <row r="22958">
      <c r="C22958" s="18"/>
      <c r="D22958" s="19"/>
      <c r="E22958" s="57"/>
      <c r="H22958" s="18"/>
    </row>
    <row r="22959">
      <c r="C22959" s="18"/>
      <c r="D22959" s="19"/>
      <c r="E22959" s="57"/>
      <c r="H22959" s="18"/>
    </row>
    <row r="22960">
      <c r="C22960" s="18"/>
      <c r="D22960" s="19"/>
      <c r="E22960" s="57"/>
      <c r="H22960" s="18"/>
    </row>
    <row r="22961">
      <c r="C22961" s="18"/>
      <c r="D22961" s="19"/>
      <c r="E22961" s="57"/>
      <c r="H22961" s="18"/>
    </row>
    <row r="22962">
      <c r="C22962" s="18"/>
      <c r="D22962" s="19"/>
      <c r="E22962" s="57"/>
      <c r="H22962" s="18"/>
    </row>
    <row r="22963">
      <c r="C22963" s="18"/>
      <c r="D22963" s="19"/>
      <c r="E22963" s="57"/>
      <c r="H22963" s="18"/>
    </row>
    <row r="22964">
      <c r="C22964" s="18"/>
      <c r="D22964" s="19"/>
      <c r="E22964" s="57"/>
      <c r="H22964" s="18"/>
    </row>
    <row r="22965">
      <c r="C22965" s="18"/>
      <c r="D22965" s="19"/>
      <c r="E22965" s="57"/>
      <c r="H22965" s="18"/>
    </row>
    <row r="22966">
      <c r="C22966" s="18"/>
      <c r="D22966" s="19"/>
      <c r="E22966" s="57"/>
      <c r="H22966" s="18"/>
    </row>
    <row r="22967">
      <c r="C22967" s="18"/>
      <c r="D22967" s="19"/>
      <c r="E22967" s="57"/>
      <c r="H22967" s="18"/>
    </row>
    <row r="22968">
      <c r="C22968" s="18"/>
      <c r="D22968" s="19"/>
      <c r="E22968" s="57"/>
      <c r="H22968" s="18"/>
    </row>
    <row r="22969">
      <c r="C22969" s="18"/>
      <c r="D22969" s="19"/>
      <c r="E22969" s="57"/>
      <c r="H22969" s="18"/>
    </row>
    <row r="22970">
      <c r="C22970" s="18"/>
      <c r="D22970" s="19"/>
      <c r="E22970" s="57"/>
      <c r="H22970" s="18"/>
    </row>
    <row r="22971">
      <c r="C22971" s="18"/>
      <c r="D22971" s="19"/>
      <c r="E22971" s="57"/>
      <c r="H22971" s="18"/>
    </row>
    <row r="22972">
      <c r="C22972" s="18"/>
      <c r="D22972" s="19"/>
      <c r="E22972" s="57"/>
      <c r="H22972" s="18"/>
    </row>
    <row r="22973">
      <c r="C22973" s="18"/>
      <c r="D22973" s="19"/>
      <c r="E22973" s="57"/>
      <c r="H22973" s="18"/>
    </row>
    <row r="22974">
      <c r="C22974" s="18"/>
      <c r="D22974" s="19"/>
      <c r="E22974" s="57"/>
      <c r="H22974" s="18"/>
    </row>
    <row r="22975">
      <c r="C22975" s="18"/>
      <c r="D22975" s="19"/>
      <c r="E22975" s="57"/>
      <c r="H22975" s="18"/>
    </row>
    <row r="22976">
      <c r="C22976" s="18"/>
      <c r="D22976" s="19"/>
      <c r="E22976" s="57"/>
      <c r="H22976" s="18"/>
    </row>
    <row r="22977">
      <c r="C22977" s="18"/>
      <c r="D22977" s="19"/>
      <c r="E22977" s="57"/>
      <c r="H22977" s="18"/>
    </row>
    <row r="22978">
      <c r="C22978" s="18"/>
      <c r="D22978" s="19"/>
      <c r="E22978" s="57"/>
      <c r="H22978" s="18"/>
    </row>
    <row r="22979">
      <c r="C22979" s="18"/>
      <c r="D22979" s="19"/>
      <c r="E22979" s="57"/>
      <c r="H22979" s="18"/>
    </row>
    <row r="22980">
      <c r="C22980" s="18"/>
      <c r="D22980" s="19"/>
      <c r="E22980" s="57"/>
      <c r="H22980" s="18"/>
    </row>
    <row r="22981">
      <c r="C22981" s="18"/>
      <c r="D22981" s="19"/>
      <c r="E22981" s="57"/>
      <c r="H22981" s="18"/>
    </row>
    <row r="22982">
      <c r="C22982" s="18"/>
      <c r="D22982" s="19"/>
      <c r="E22982" s="57"/>
      <c r="H22982" s="18"/>
    </row>
    <row r="22983">
      <c r="C22983" s="18"/>
      <c r="D22983" s="19"/>
      <c r="E22983" s="57"/>
      <c r="H22983" s="18"/>
    </row>
    <row r="22984">
      <c r="C22984" s="18"/>
      <c r="D22984" s="19"/>
      <c r="E22984" s="57"/>
      <c r="H22984" s="18"/>
    </row>
    <row r="22985">
      <c r="C22985" s="18"/>
      <c r="D22985" s="19"/>
      <c r="E22985" s="57"/>
      <c r="H22985" s="18"/>
    </row>
    <row r="22986">
      <c r="C22986" s="18"/>
      <c r="D22986" s="19"/>
      <c r="E22986" s="57"/>
      <c r="H22986" s="18"/>
    </row>
    <row r="22987">
      <c r="C22987" s="18"/>
      <c r="D22987" s="19"/>
      <c r="E22987" s="57"/>
      <c r="H22987" s="18"/>
    </row>
    <row r="22988">
      <c r="C22988" s="18"/>
      <c r="D22988" s="19"/>
      <c r="E22988" s="57"/>
      <c r="H22988" s="18"/>
    </row>
    <row r="22989">
      <c r="C22989" s="18"/>
      <c r="D22989" s="19"/>
      <c r="E22989" s="57"/>
      <c r="H22989" s="18"/>
    </row>
    <row r="22990">
      <c r="C22990" s="18"/>
      <c r="D22990" s="19"/>
      <c r="E22990" s="57"/>
      <c r="H22990" s="18"/>
    </row>
    <row r="22991">
      <c r="C22991" s="18"/>
      <c r="D22991" s="19"/>
      <c r="E22991" s="57"/>
      <c r="H22991" s="18"/>
    </row>
    <row r="22992">
      <c r="C22992" s="18"/>
      <c r="D22992" s="19"/>
      <c r="E22992" s="57"/>
      <c r="H22992" s="18"/>
    </row>
    <row r="22993">
      <c r="C22993" s="18"/>
      <c r="D22993" s="19"/>
      <c r="E22993" s="57"/>
      <c r="H22993" s="18"/>
    </row>
    <row r="22994">
      <c r="C22994" s="18"/>
      <c r="D22994" s="19"/>
      <c r="E22994" s="57"/>
      <c r="H22994" s="18"/>
    </row>
    <row r="22995">
      <c r="C22995" s="18"/>
      <c r="D22995" s="19"/>
      <c r="E22995" s="57"/>
      <c r="H22995" s="18"/>
    </row>
    <row r="22996">
      <c r="C22996" s="18"/>
      <c r="D22996" s="19"/>
      <c r="E22996" s="57"/>
      <c r="H22996" s="18"/>
    </row>
    <row r="22997">
      <c r="C22997" s="18"/>
      <c r="D22997" s="19"/>
      <c r="E22997" s="57"/>
      <c r="H22997" s="18"/>
    </row>
    <row r="22998">
      <c r="C22998" s="18"/>
      <c r="D22998" s="19"/>
      <c r="E22998" s="57"/>
      <c r="H22998" s="18"/>
    </row>
    <row r="22999">
      <c r="C22999" s="18"/>
      <c r="D22999" s="19"/>
      <c r="E22999" s="57"/>
      <c r="H22999" s="18"/>
    </row>
    <row r="23000">
      <c r="C23000" s="18"/>
      <c r="D23000" s="19"/>
      <c r="E23000" s="57"/>
      <c r="H23000" s="18"/>
    </row>
    <row r="23001">
      <c r="C23001" s="18"/>
      <c r="D23001" s="19"/>
      <c r="E23001" s="57"/>
      <c r="H23001" s="18"/>
    </row>
    <row r="23002">
      <c r="C23002" s="18"/>
      <c r="D23002" s="19"/>
      <c r="E23002" s="57"/>
      <c r="H23002" s="18"/>
    </row>
    <row r="23003">
      <c r="C23003" s="18"/>
      <c r="D23003" s="19"/>
      <c r="E23003" s="57"/>
      <c r="H23003" s="18"/>
    </row>
    <row r="23004">
      <c r="C23004" s="18"/>
      <c r="D23004" s="19"/>
      <c r="E23004" s="57"/>
      <c r="H23004" s="18"/>
    </row>
    <row r="23005">
      <c r="C23005" s="18"/>
      <c r="D23005" s="19"/>
      <c r="E23005" s="57"/>
      <c r="H23005" s="18"/>
    </row>
    <row r="23006">
      <c r="C23006" s="18"/>
      <c r="D23006" s="19"/>
      <c r="E23006" s="57"/>
      <c r="H23006" s="18"/>
    </row>
    <row r="23007">
      <c r="C23007" s="18"/>
      <c r="D23007" s="19"/>
      <c r="E23007" s="57"/>
      <c r="H23007" s="18"/>
    </row>
    <row r="23008">
      <c r="C23008" s="18"/>
      <c r="D23008" s="19"/>
      <c r="E23008" s="57"/>
      <c r="H23008" s="18"/>
    </row>
    <row r="23009">
      <c r="C23009" s="18"/>
      <c r="D23009" s="19"/>
      <c r="E23009" s="57"/>
      <c r="H23009" s="18"/>
    </row>
    <row r="23010">
      <c r="C23010" s="18"/>
      <c r="D23010" s="19"/>
      <c r="E23010" s="57"/>
      <c r="H23010" s="18"/>
    </row>
    <row r="23011">
      <c r="C23011" s="18"/>
      <c r="D23011" s="19"/>
      <c r="E23011" s="57"/>
      <c r="H23011" s="18"/>
    </row>
    <row r="23012">
      <c r="C23012" s="18"/>
      <c r="D23012" s="19"/>
      <c r="E23012" s="57"/>
      <c r="H23012" s="18"/>
    </row>
    <row r="23013">
      <c r="C23013" s="18"/>
      <c r="D23013" s="19"/>
      <c r="E23013" s="57"/>
      <c r="H23013" s="18"/>
    </row>
    <row r="23014">
      <c r="C23014" s="18"/>
      <c r="D23014" s="19"/>
      <c r="E23014" s="57"/>
      <c r="H23014" s="18"/>
    </row>
    <row r="23015">
      <c r="C23015" s="18"/>
      <c r="D23015" s="19"/>
      <c r="E23015" s="57"/>
      <c r="H23015" s="18"/>
    </row>
    <row r="23016">
      <c r="C23016" s="18"/>
      <c r="D23016" s="19"/>
      <c r="E23016" s="57"/>
      <c r="H23016" s="18"/>
    </row>
    <row r="23017">
      <c r="C23017" s="18"/>
      <c r="D23017" s="19"/>
      <c r="E23017" s="57"/>
      <c r="H23017" s="18"/>
    </row>
    <row r="23018">
      <c r="C23018" s="18"/>
      <c r="D23018" s="19"/>
      <c r="E23018" s="57"/>
      <c r="H23018" s="18"/>
    </row>
    <row r="23019">
      <c r="C23019" s="18"/>
      <c r="D23019" s="19"/>
      <c r="E23019" s="57"/>
      <c r="H23019" s="18"/>
    </row>
    <row r="23020">
      <c r="C23020" s="18"/>
      <c r="D23020" s="19"/>
      <c r="E23020" s="57"/>
      <c r="H23020" s="18"/>
    </row>
    <row r="23021">
      <c r="C23021" s="18"/>
      <c r="D23021" s="19"/>
      <c r="E23021" s="57"/>
      <c r="H23021" s="18"/>
    </row>
    <row r="23022">
      <c r="C23022" s="18"/>
      <c r="D23022" s="19"/>
      <c r="E23022" s="57"/>
      <c r="H23022" s="18"/>
    </row>
    <row r="23023">
      <c r="C23023" s="18"/>
      <c r="D23023" s="19"/>
      <c r="E23023" s="57"/>
      <c r="H23023" s="18"/>
    </row>
    <row r="23024">
      <c r="C23024" s="18"/>
      <c r="D23024" s="19"/>
      <c r="E23024" s="57"/>
      <c r="H23024" s="18"/>
    </row>
    <row r="23025">
      <c r="C23025" s="18"/>
      <c r="D23025" s="19"/>
      <c r="E23025" s="57"/>
      <c r="H23025" s="18"/>
    </row>
    <row r="23026">
      <c r="C23026" s="18"/>
      <c r="D23026" s="19"/>
      <c r="E23026" s="57"/>
      <c r="H23026" s="18"/>
    </row>
    <row r="23027">
      <c r="C23027" s="18"/>
      <c r="D23027" s="19"/>
      <c r="E23027" s="57"/>
      <c r="H23027" s="18"/>
    </row>
    <row r="23028">
      <c r="C23028" s="18"/>
      <c r="D23028" s="19"/>
      <c r="E23028" s="57"/>
      <c r="H23028" s="18"/>
    </row>
    <row r="23029">
      <c r="C23029" s="18"/>
      <c r="D23029" s="19"/>
      <c r="E23029" s="57"/>
      <c r="H23029" s="18"/>
    </row>
    <row r="23030">
      <c r="C23030" s="18"/>
      <c r="D23030" s="19"/>
      <c r="E23030" s="57"/>
      <c r="H23030" s="18"/>
    </row>
    <row r="23031">
      <c r="C23031" s="18"/>
      <c r="D23031" s="19"/>
      <c r="E23031" s="57"/>
      <c r="H23031" s="18"/>
    </row>
    <row r="23032">
      <c r="C23032" s="18"/>
      <c r="D23032" s="19"/>
      <c r="E23032" s="57"/>
      <c r="H23032" s="18"/>
    </row>
    <row r="23033">
      <c r="C23033" s="18"/>
      <c r="D23033" s="19"/>
      <c r="E23033" s="57"/>
      <c r="H23033" s="18"/>
    </row>
    <row r="23034">
      <c r="C23034" s="18"/>
      <c r="D23034" s="19"/>
      <c r="E23034" s="57"/>
      <c r="H23034" s="18"/>
    </row>
    <row r="23035">
      <c r="C23035" s="18"/>
      <c r="D23035" s="19"/>
      <c r="E23035" s="57"/>
      <c r="H23035" s="18"/>
    </row>
    <row r="23036">
      <c r="C23036" s="18"/>
      <c r="D23036" s="19"/>
      <c r="E23036" s="57"/>
      <c r="H23036" s="18"/>
    </row>
    <row r="23037">
      <c r="C23037" s="18"/>
      <c r="D23037" s="19"/>
      <c r="E23037" s="57"/>
      <c r="H23037" s="18"/>
    </row>
    <row r="23038">
      <c r="C23038" s="18"/>
      <c r="D23038" s="19"/>
      <c r="E23038" s="57"/>
      <c r="H23038" s="18"/>
    </row>
    <row r="23039">
      <c r="C23039" s="18"/>
      <c r="D23039" s="19"/>
      <c r="E23039" s="57"/>
      <c r="H23039" s="18"/>
    </row>
    <row r="23040">
      <c r="C23040" s="18"/>
      <c r="D23040" s="19"/>
      <c r="E23040" s="57"/>
      <c r="H23040" s="18"/>
    </row>
    <row r="23041">
      <c r="C23041" s="18"/>
      <c r="D23041" s="19"/>
      <c r="E23041" s="57"/>
      <c r="H23041" s="18"/>
    </row>
    <row r="23042">
      <c r="C23042" s="18"/>
      <c r="D23042" s="19"/>
      <c r="E23042" s="57"/>
      <c r="H23042" s="18"/>
    </row>
    <row r="23043">
      <c r="C23043" s="18"/>
      <c r="D23043" s="19"/>
      <c r="E23043" s="57"/>
      <c r="H23043" s="18"/>
    </row>
    <row r="23044">
      <c r="C23044" s="18"/>
      <c r="D23044" s="19"/>
      <c r="E23044" s="57"/>
      <c r="H23044" s="18"/>
    </row>
    <row r="23045">
      <c r="C23045" s="18"/>
      <c r="D23045" s="19"/>
      <c r="E23045" s="57"/>
      <c r="H23045" s="18"/>
    </row>
    <row r="23046">
      <c r="C23046" s="18"/>
      <c r="D23046" s="19"/>
      <c r="E23046" s="57"/>
      <c r="H23046" s="18"/>
    </row>
    <row r="23047">
      <c r="C23047" s="18"/>
      <c r="D23047" s="19"/>
      <c r="E23047" s="57"/>
      <c r="H23047" s="18"/>
    </row>
    <row r="23048">
      <c r="C23048" s="18"/>
      <c r="D23048" s="19"/>
      <c r="E23048" s="57"/>
      <c r="H23048" s="18"/>
    </row>
    <row r="23049">
      <c r="C23049" s="18"/>
      <c r="D23049" s="19"/>
      <c r="E23049" s="57"/>
      <c r="H23049" s="18"/>
    </row>
    <row r="23050">
      <c r="C23050" s="18"/>
      <c r="D23050" s="19"/>
      <c r="E23050" s="57"/>
      <c r="H23050" s="18"/>
    </row>
    <row r="23051">
      <c r="C23051" s="18"/>
      <c r="D23051" s="19"/>
      <c r="E23051" s="57"/>
      <c r="H23051" s="18"/>
    </row>
    <row r="23052">
      <c r="C23052" s="18"/>
      <c r="D23052" s="19"/>
      <c r="E23052" s="57"/>
      <c r="H23052" s="18"/>
    </row>
    <row r="23053">
      <c r="C23053" s="18"/>
      <c r="D23053" s="19"/>
      <c r="E23053" s="57"/>
      <c r="H23053" s="18"/>
    </row>
    <row r="23054">
      <c r="C23054" s="18"/>
      <c r="D23054" s="19"/>
      <c r="E23054" s="57"/>
      <c r="H23054" s="18"/>
    </row>
    <row r="23055">
      <c r="C23055" s="18"/>
      <c r="D23055" s="19"/>
      <c r="E23055" s="57"/>
      <c r="H23055" s="18"/>
    </row>
    <row r="23056">
      <c r="C23056" s="18"/>
      <c r="D23056" s="19"/>
      <c r="E23056" s="57"/>
      <c r="H23056" s="18"/>
    </row>
    <row r="23057">
      <c r="C23057" s="18"/>
      <c r="D23057" s="19"/>
      <c r="E23057" s="57"/>
      <c r="H23057" s="18"/>
    </row>
    <row r="23058">
      <c r="C23058" s="18"/>
      <c r="D23058" s="19"/>
      <c r="E23058" s="57"/>
      <c r="H23058" s="18"/>
    </row>
    <row r="23059">
      <c r="C23059" s="18"/>
      <c r="D23059" s="19"/>
      <c r="E23059" s="57"/>
      <c r="H23059" s="18"/>
    </row>
    <row r="23060">
      <c r="C23060" s="18"/>
      <c r="D23060" s="19"/>
      <c r="E23060" s="57"/>
      <c r="H23060" s="18"/>
    </row>
    <row r="23061">
      <c r="C23061" s="18"/>
      <c r="D23061" s="19"/>
      <c r="E23061" s="57"/>
      <c r="H23061" s="18"/>
    </row>
    <row r="23062">
      <c r="C23062" s="18"/>
      <c r="D23062" s="19"/>
      <c r="E23062" s="57"/>
      <c r="H23062" s="18"/>
    </row>
    <row r="23063">
      <c r="C23063" s="18"/>
      <c r="D23063" s="19"/>
      <c r="E23063" s="57"/>
      <c r="H23063" s="18"/>
    </row>
    <row r="23064">
      <c r="C23064" s="18"/>
      <c r="D23064" s="19"/>
      <c r="E23064" s="57"/>
      <c r="H23064" s="18"/>
    </row>
    <row r="23065">
      <c r="C23065" s="18"/>
      <c r="D23065" s="19"/>
      <c r="E23065" s="57"/>
      <c r="H23065" s="18"/>
    </row>
    <row r="23066">
      <c r="C23066" s="18"/>
      <c r="D23066" s="19"/>
      <c r="E23066" s="57"/>
      <c r="H23066" s="18"/>
    </row>
    <row r="23067">
      <c r="C23067" s="18"/>
      <c r="D23067" s="19"/>
      <c r="E23067" s="57"/>
      <c r="H23067" s="18"/>
    </row>
    <row r="23068">
      <c r="C23068" s="18"/>
      <c r="D23068" s="19"/>
      <c r="E23068" s="57"/>
      <c r="H23068" s="18"/>
    </row>
    <row r="23069">
      <c r="C23069" s="18"/>
      <c r="D23069" s="19"/>
      <c r="E23069" s="57"/>
      <c r="H23069" s="18"/>
    </row>
    <row r="23070">
      <c r="C23070" s="18"/>
      <c r="D23070" s="19"/>
      <c r="E23070" s="57"/>
      <c r="H23070" s="18"/>
    </row>
    <row r="23071">
      <c r="C23071" s="18"/>
      <c r="D23071" s="19"/>
      <c r="E23071" s="57"/>
      <c r="H23071" s="18"/>
    </row>
    <row r="23072">
      <c r="C23072" s="18"/>
      <c r="D23072" s="19"/>
      <c r="E23072" s="57"/>
      <c r="H23072" s="18"/>
    </row>
    <row r="23073">
      <c r="C23073" s="18"/>
      <c r="D23073" s="19"/>
      <c r="E23073" s="57"/>
      <c r="H23073" s="18"/>
    </row>
    <row r="23074">
      <c r="C23074" s="18"/>
      <c r="D23074" s="19"/>
      <c r="E23074" s="57"/>
      <c r="H23074" s="18"/>
    </row>
    <row r="23075">
      <c r="C23075" s="18"/>
      <c r="D23075" s="19"/>
      <c r="E23075" s="57"/>
      <c r="H23075" s="18"/>
    </row>
    <row r="23076">
      <c r="C23076" s="18"/>
      <c r="D23076" s="19"/>
      <c r="E23076" s="57"/>
      <c r="H23076" s="18"/>
    </row>
    <row r="23077">
      <c r="C23077" s="18"/>
      <c r="D23077" s="19"/>
      <c r="E23077" s="57"/>
      <c r="H23077" s="18"/>
    </row>
    <row r="23078">
      <c r="C23078" s="18"/>
      <c r="D23078" s="19"/>
      <c r="E23078" s="57"/>
      <c r="H23078" s="18"/>
    </row>
    <row r="23079">
      <c r="C23079" s="18"/>
      <c r="D23079" s="19"/>
      <c r="E23079" s="57"/>
      <c r="H23079" s="18"/>
    </row>
    <row r="23080">
      <c r="C23080" s="18"/>
      <c r="D23080" s="19"/>
      <c r="E23080" s="57"/>
      <c r="H23080" s="18"/>
    </row>
    <row r="23081">
      <c r="C23081" s="18"/>
      <c r="D23081" s="19"/>
      <c r="E23081" s="57"/>
      <c r="H23081" s="18"/>
    </row>
    <row r="23082">
      <c r="C23082" s="18"/>
      <c r="D23082" s="19"/>
      <c r="E23082" s="57"/>
      <c r="H23082" s="18"/>
    </row>
    <row r="23083">
      <c r="C23083" s="18"/>
      <c r="D23083" s="19"/>
      <c r="E23083" s="57"/>
      <c r="H23083" s="18"/>
    </row>
    <row r="23084">
      <c r="C23084" s="18"/>
      <c r="D23084" s="19"/>
      <c r="E23084" s="57"/>
      <c r="H23084" s="18"/>
    </row>
    <row r="23085">
      <c r="C23085" s="18"/>
      <c r="D23085" s="19"/>
      <c r="E23085" s="57"/>
      <c r="H23085" s="18"/>
    </row>
    <row r="23086">
      <c r="C23086" s="18"/>
      <c r="D23086" s="19"/>
      <c r="E23086" s="57"/>
      <c r="H23086" s="18"/>
    </row>
    <row r="23087">
      <c r="C23087" s="18"/>
      <c r="D23087" s="19"/>
      <c r="E23087" s="57"/>
      <c r="H23087" s="18"/>
    </row>
    <row r="23088">
      <c r="C23088" s="18"/>
      <c r="D23088" s="19"/>
      <c r="E23088" s="57"/>
      <c r="H23088" s="18"/>
    </row>
    <row r="23089">
      <c r="C23089" s="18"/>
      <c r="D23089" s="19"/>
      <c r="E23089" s="57"/>
      <c r="H23089" s="18"/>
    </row>
    <row r="23090">
      <c r="C23090" s="18"/>
      <c r="D23090" s="19"/>
      <c r="E23090" s="57"/>
      <c r="H23090" s="18"/>
    </row>
    <row r="23091">
      <c r="C23091" s="18"/>
      <c r="D23091" s="19"/>
      <c r="E23091" s="57"/>
      <c r="H23091" s="18"/>
    </row>
    <row r="23092">
      <c r="C23092" s="18"/>
      <c r="D23092" s="19"/>
      <c r="E23092" s="57"/>
      <c r="H23092" s="18"/>
    </row>
    <row r="23093">
      <c r="C23093" s="18"/>
      <c r="D23093" s="19"/>
      <c r="E23093" s="57"/>
      <c r="H23093" s="18"/>
    </row>
    <row r="23094">
      <c r="C23094" s="18"/>
      <c r="D23094" s="19"/>
      <c r="E23094" s="57"/>
      <c r="H23094" s="18"/>
    </row>
    <row r="23095">
      <c r="C23095" s="18"/>
      <c r="D23095" s="19"/>
      <c r="E23095" s="57"/>
      <c r="H23095" s="18"/>
    </row>
    <row r="23096">
      <c r="C23096" s="18"/>
      <c r="D23096" s="19"/>
      <c r="E23096" s="57"/>
      <c r="H23096" s="18"/>
    </row>
    <row r="23097">
      <c r="C23097" s="18"/>
      <c r="D23097" s="19"/>
      <c r="E23097" s="57"/>
      <c r="H23097" s="18"/>
    </row>
    <row r="23098">
      <c r="C23098" s="18"/>
      <c r="D23098" s="19"/>
      <c r="E23098" s="57"/>
      <c r="H23098" s="18"/>
    </row>
    <row r="23099">
      <c r="C23099" s="18"/>
      <c r="D23099" s="19"/>
      <c r="E23099" s="57"/>
      <c r="H23099" s="18"/>
    </row>
    <row r="23100">
      <c r="C23100" s="18"/>
      <c r="D23100" s="19"/>
      <c r="E23100" s="57"/>
      <c r="H23100" s="18"/>
    </row>
    <row r="23101">
      <c r="C23101" s="18"/>
      <c r="D23101" s="19"/>
      <c r="E23101" s="57"/>
      <c r="H23101" s="18"/>
    </row>
    <row r="23102">
      <c r="C23102" s="18"/>
      <c r="D23102" s="19"/>
      <c r="E23102" s="57"/>
      <c r="H23102" s="18"/>
    </row>
    <row r="23103">
      <c r="C23103" s="18"/>
      <c r="D23103" s="19"/>
      <c r="E23103" s="57"/>
      <c r="H23103" s="18"/>
    </row>
    <row r="23104">
      <c r="C23104" s="18"/>
      <c r="D23104" s="19"/>
      <c r="E23104" s="57"/>
      <c r="H23104" s="18"/>
    </row>
    <row r="23105">
      <c r="C23105" s="18"/>
      <c r="D23105" s="19"/>
      <c r="E23105" s="57"/>
      <c r="H23105" s="18"/>
    </row>
    <row r="23106">
      <c r="C23106" s="18"/>
      <c r="D23106" s="19"/>
      <c r="E23106" s="57"/>
      <c r="H23106" s="18"/>
    </row>
    <row r="23107">
      <c r="C23107" s="18"/>
      <c r="D23107" s="19"/>
      <c r="E23107" s="57"/>
      <c r="H23107" s="18"/>
    </row>
    <row r="23108">
      <c r="C23108" s="18"/>
      <c r="D23108" s="19"/>
      <c r="E23108" s="57"/>
      <c r="H23108" s="18"/>
    </row>
    <row r="23109">
      <c r="C23109" s="18"/>
      <c r="D23109" s="19"/>
      <c r="E23109" s="57"/>
      <c r="H23109" s="18"/>
    </row>
    <row r="23110">
      <c r="C23110" s="18"/>
      <c r="D23110" s="19"/>
      <c r="E23110" s="57"/>
      <c r="H23110" s="18"/>
    </row>
    <row r="23111">
      <c r="C23111" s="18"/>
      <c r="D23111" s="19"/>
      <c r="E23111" s="57"/>
      <c r="H23111" s="18"/>
    </row>
    <row r="23112">
      <c r="C23112" s="18"/>
      <c r="D23112" s="19"/>
      <c r="E23112" s="57"/>
      <c r="H23112" s="18"/>
    </row>
    <row r="23113">
      <c r="C23113" s="18"/>
      <c r="D23113" s="19"/>
      <c r="E23113" s="57"/>
      <c r="H23113" s="18"/>
    </row>
    <row r="23114">
      <c r="C23114" s="18"/>
      <c r="D23114" s="19"/>
      <c r="E23114" s="57"/>
      <c r="H23114" s="18"/>
    </row>
    <row r="23115">
      <c r="C23115" s="18"/>
      <c r="D23115" s="19"/>
      <c r="E23115" s="57"/>
      <c r="H23115" s="18"/>
    </row>
    <row r="23116">
      <c r="C23116" s="18"/>
      <c r="D23116" s="19"/>
      <c r="E23116" s="57"/>
      <c r="H23116" s="18"/>
    </row>
    <row r="23117">
      <c r="C23117" s="18"/>
      <c r="D23117" s="19"/>
      <c r="E23117" s="57"/>
      <c r="H23117" s="18"/>
    </row>
    <row r="23118">
      <c r="C23118" s="18"/>
      <c r="D23118" s="19"/>
      <c r="E23118" s="57"/>
      <c r="H23118" s="18"/>
    </row>
    <row r="23119">
      <c r="C23119" s="18"/>
      <c r="D23119" s="19"/>
      <c r="E23119" s="57"/>
      <c r="H23119" s="18"/>
    </row>
    <row r="23120">
      <c r="C23120" s="18"/>
      <c r="D23120" s="19"/>
      <c r="E23120" s="57"/>
      <c r="H23120" s="18"/>
    </row>
    <row r="23121">
      <c r="C23121" s="18"/>
      <c r="D23121" s="19"/>
      <c r="E23121" s="57"/>
      <c r="H23121" s="18"/>
    </row>
    <row r="23122">
      <c r="C23122" s="18"/>
      <c r="D23122" s="19"/>
      <c r="E23122" s="57"/>
      <c r="H23122" s="18"/>
    </row>
    <row r="23123">
      <c r="C23123" s="18"/>
      <c r="D23123" s="19"/>
      <c r="E23123" s="57"/>
      <c r="H23123" s="18"/>
    </row>
    <row r="23124">
      <c r="C23124" s="18"/>
      <c r="D23124" s="19"/>
      <c r="E23124" s="57"/>
      <c r="H23124" s="18"/>
    </row>
    <row r="23125">
      <c r="C23125" s="18"/>
      <c r="D23125" s="19"/>
      <c r="E23125" s="57"/>
      <c r="H23125" s="18"/>
    </row>
    <row r="23126">
      <c r="C23126" s="18"/>
      <c r="D23126" s="19"/>
      <c r="E23126" s="57"/>
      <c r="H23126" s="18"/>
    </row>
    <row r="23127">
      <c r="C23127" s="18"/>
      <c r="D23127" s="19"/>
      <c r="E23127" s="57"/>
      <c r="H23127" s="18"/>
    </row>
    <row r="23128">
      <c r="C23128" s="18"/>
      <c r="D23128" s="19"/>
      <c r="E23128" s="57"/>
      <c r="H23128" s="18"/>
    </row>
    <row r="23129">
      <c r="C23129" s="18"/>
      <c r="D23129" s="19"/>
      <c r="E23129" s="57"/>
      <c r="H23129" s="18"/>
    </row>
    <row r="23130">
      <c r="C23130" s="18"/>
      <c r="D23130" s="19"/>
      <c r="E23130" s="57"/>
      <c r="H23130" s="18"/>
    </row>
    <row r="23131">
      <c r="C23131" s="18"/>
      <c r="D23131" s="19"/>
      <c r="E23131" s="57"/>
      <c r="H23131" s="18"/>
    </row>
    <row r="23132">
      <c r="C23132" s="18"/>
      <c r="D23132" s="19"/>
      <c r="E23132" s="57"/>
      <c r="H23132" s="18"/>
    </row>
    <row r="23133">
      <c r="C23133" s="18"/>
      <c r="D23133" s="19"/>
      <c r="E23133" s="57"/>
      <c r="H23133" s="18"/>
    </row>
    <row r="23134">
      <c r="C23134" s="18"/>
      <c r="D23134" s="19"/>
      <c r="E23134" s="57"/>
      <c r="H23134" s="18"/>
    </row>
    <row r="23135">
      <c r="C23135" s="18"/>
      <c r="D23135" s="19"/>
      <c r="E23135" s="57"/>
      <c r="H23135" s="18"/>
    </row>
    <row r="23136">
      <c r="C23136" s="18"/>
      <c r="D23136" s="19"/>
      <c r="E23136" s="57"/>
      <c r="H23136" s="18"/>
    </row>
    <row r="23137">
      <c r="C23137" s="18"/>
      <c r="D23137" s="19"/>
      <c r="E23137" s="57"/>
      <c r="H23137" s="18"/>
    </row>
    <row r="23138">
      <c r="C23138" s="18"/>
      <c r="D23138" s="19"/>
      <c r="E23138" s="57"/>
      <c r="H23138" s="18"/>
    </row>
    <row r="23139">
      <c r="C23139" s="18"/>
      <c r="D23139" s="19"/>
      <c r="E23139" s="57"/>
      <c r="H23139" s="18"/>
    </row>
    <row r="23140">
      <c r="C23140" s="18"/>
      <c r="D23140" s="19"/>
      <c r="E23140" s="57"/>
      <c r="H23140" s="18"/>
    </row>
    <row r="23141">
      <c r="C23141" s="18"/>
      <c r="D23141" s="19"/>
      <c r="E23141" s="57"/>
      <c r="H23141" s="18"/>
    </row>
    <row r="23142">
      <c r="C23142" s="18"/>
      <c r="D23142" s="19"/>
      <c r="E23142" s="57"/>
      <c r="H23142" s="18"/>
    </row>
    <row r="23143">
      <c r="C23143" s="18"/>
      <c r="D23143" s="19"/>
      <c r="E23143" s="57"/>
      <c r="H23143" s="18"/>
    </row>
    <row r="23144">
      <c r="C23144" s="18"/>
      <c r="D23144" s="19"/>
      <c r="E23144" s="57"/>
      <c r="H23144" s="18"/>
    </row>
    <row r="23145">
      <c r="C23145" s="18"/>
      <c r="D23145" s="19"/>
      <c r="E23145" s="57"/>
      <c r="H23145" s="18"/>
    </row>
    <row r="23146">
      <c r="C23146" s="18"/>
      <c r="D23146" s="19"/>
      <c r="E23146" s="57"/>
      <c r="H23146" s="18"/>
    </row>
    <row r="23147">
      <c r="C23147" s="18"/>
      <c r="D23147" s="19"/>
      <c r="E23147" s="57"/>
      <c r="H23147" s="18"/>
    </row>
    <row r="23148">
      <c r="C23148" s="18"/>
      <c r="D23148" s="19"/>
      <c r="E23148" s="57"/>
      <c r="H23148" s="18"/>
    </row>
    <row r="23149">
      <c r="C23149" s="18"/>
      <c r="D23149" s="19"/>
      <c r="E23149" s="57"/>
      <c r="H23149" s="18"/>
    </row>
    <row r="23150">
      <c r="C23150" s="18"/>
      <c r="D23150" s="19"/>
      <c r="E23150" s="57"/>
      <c r="H23150" s="18"/>
    </row>
    <row r="23151">
      <c r="C23151" s="18"/>
      <c r="D23151" s="19"/>
      <c r="E23151" s="57"/>
      <c r="H23151" s="18"/>
    </row>
    <row r="23152">
      <c r="C23152" s="18"/>
      <c r="D23152" s="19"/>
      <c r="E23152" s="57"/>
      <c r="H23152" s="18"/>
    </row>
    <row r="23153">
      <c r="C23153" s="18"/>
      <c r="D23153" s="19"/>
      <c r="E23153" s="57"/>
      <c r="H23153" s="18"/>
    </row>
    <row r="23154">
      <c r="C23154" s="18"/>
      <c r="D23154" s="19"/>
      <c r="E23154" s="57"/>
      <c r="H23154" s="18"/>
    </row>
    <row r="23155">
      <c r="C23155" s="18"/>
      <c r="D23155" s="19"/>
      <c r="E23155" s="57"/>
      <c r="H23155" s="18"/>
    </row>
    <row r="23156">
      <c r="C23156" s="18"/>
      <c r="D23156" s="19"/>
      <c r="E23156" s="57"/>
      <c r="H23156" s="18"/>
    </row>
    <row r="23157">
      <c r="C23157" s="18"/>
      <c r="D23157" s="19"/>
      <c r="E23157" s="57"/>
      <c r="H23157" s="18"/>
    </row>
    <row r="23158">
      <c r="C23158" s="18"/>
      <c r="D23158" s="19"/>
      <c r="E23158" s="57"/>
      <c r="H23158" s="18"/>
    </row>
    <row r="23159">
      <c r="C23159" s="18"/>
      <c r="D23159" s="19"/>
      <c r="E23159" s="57"/>
      <c r="H23159" s="18"/>
    </row>
    <row r="23160">
      <c r="C23160" s="18"/>
      <c r="D23160" s="19"/>
      <c r="E23160" s="57"/>
      <c r="H23160" s="18"/>
    </row>
    <row r="23161">
      <c r="C23161" s="18"/>
      <c r="D23161" s="19"/>
      <c r="E23161" s="57"/>
      <c r="H23161" s="18"/>
    </row>
    <row r="23162">
      <c r="C23162" s="18"/>
      <c r="D23162" s="19"/>
      <c r="E23162" s="57"/>
      <c r="H23162" s="18"/>
    </row>
    <row r="23163">
      <c r="C23163" s="18"/>
      <c r="D23163" s="19"/>
      <c r="E23163" s="57"/>
      <c r="H23163" s="18"/>
    </row>
    <row r="23164">
      <c r="C23164" s="18"/>
      <c r="D23164" s="19"/>
      <c r="E23164" s="57"/>
      <c r="H23164" s="18"/>
    </row>
    <row r="23165">
      <c r="C23165" s="18"/>
      <c r="D23165" s="19"/>
      <c r="E23165" s="57"/>
      <c r="H23165" s="18"/>
    </row>
    <row r="23166">
      <c r="C23166" s="18"/>
      <c r="D23166" s="19"/>
      <c r="E23166" s="57"/>
      <c r="H23166" s="18"/>
    </row>
    <row r="23167">
      <c r="C23167" s="18"/>
      <c r="D23167" s="19"/>
      <c r="E23167" s="57"/>
      <c r="H23167" s="18"/>
    </row>
    <row r="23168">
      <c r="C23168" s="18"/>
      <c r="D23168" s="19"/>
      <c r="E23168" s="57"/>
      <c r="H23168" s="18"/>
    </row>
    <row r="23169">
      <c r="C23169" s="18"/>
      <c r="D23169" s="19"/>
      <c r="E23169" s="57"/>
      <c r="H23169" s="18"/>
    </row>
    <row r="23170">
      <c r="C23170" s="18"/>
      <c r="D23170" s="19"/>
      <c r="E23170" s="57"/>
      <c r="H23170" s="18"/>
    </row>
    <row r="23171">
      <c r="C23171" s="18"/>
      <c r="D23171" s="19"/>
      <c r="E23171" s="57"/>
      <c r="H23171" s="18"/>
    </row>
    <row r="23172">
      <c r="C23172" s="18"/>
      <c r="D23172" s="19"/>
      <c r="E23172" s="57"/>
      <c r="H23172" s="18"/>
    </row>
    <row r="23173">
      <c r="C23173" s="18"/>
      <c r="D23173" s="19"/>
      <c r="E23173" s="57"/>
      <c r="H23173" s="18"/>
    </row>
    <row r="23174">
      <c r="C23174" s="18"/>
      <c r="D23174" s="19"/>
      <c r="E23174" s="57"/>
      <c r="H23174" s="18"/>
    </row>
    <row r="23175">
      <c r="C23175" s="18"/>
      <c r="D23175" s="19"/>
      <c r="E23175" s="57"/>
      <c r="H23175" s="18"/>
    </row>
    <row r="23176">
      <c r="C23176" s="18"/>
      <c r="D23176" s="19"/>
      <c r="E23176" s="57"/>
      <c r="H23176" s="18"/>
    </row>
    <row r="23177">
      <c r="C23177" s="18"/>
      <c r="D23177" s="19"/>
      <c r="E23177" s="57"/>
      <c r="H23177" s="18"/>
    </row>
    <row r="23178">
      <c r="C23178" s="18"/>
      <c r="D23178" s="19"/>
      <c r="E23178" s="57"/>
      <c r="H23178" s="18"/>
    </row>
    <row r="23179">
      <c r="C23179" s="18"/>
      <c r="D23179" s="19"/>
      <c r="E23179" s="57"/>
      <c r="H23179" s="18"/>
    </row>
    <row r="23180">
      <c r="C23180" s="18"/>
      <c r="D23180" s="19"/>
      <c r="E23180" s="57"/>
      <c r="H23180" s="18"/>
    </row>
    <row r="23181">
      <c r="C23181" s="18"/>
      <c r="D23181" s="19"/>
      <c r="E23181" s="57"/>
      <c r="H23181" s="18"/>
    </row>
    <row r="23182">
      <c r="C23182" s="18"/>
      <c r="D23182" s="19"/>
      <c r="E23182" s="57"/>
      <c r="H23182" s="18"/>
    </row>
    <row r="23183">
      <c r="C23183" s="18"/>
      <c r="D23183" s="19"/>
      <c r="E23183" s="57"/>
      <c r="H23183" s="18"/>
    </row>
    <row r="23184">
      <c r="C23184" s="18"/>
      <c r="D23184" s="19"/>
      <c r="E23184" s="57"/>
      <c r="H23184" s="18"/>
    </row>
    <row r="23185">
      <c r="C23185" s="18"/>
      <c r="D23185" s="19"/>
      <c r="E23185" s="57"/>
      <c r="H23185" s="18"/>
    </row>
    <row r="23186">
      <c r="C23186" s="18"/>
      <c r="D23186" s="19"/>
      <c r="E23186" s="57"/>
      <c r="H23186" s="18"/>
    </row>
    <row r="23187">
      <c r="C23187" s="18"/>
      <c r="D23187" s="19"/>
      <c r="E23187" s="57"/>
      <c r="H23187" s="18"/>
    </row>
    <row r="23188">
      <c r="C23188" s="18"/>
      <c r="D23188" s="19"/>
      <c r="E23188" s="57"/>
      <c r="H23188" s="18"/>
    </row>
    <row r="23189">
      <c r="C23189" s="18"/>
      <c r="D23189" s="19"/>
      <c r="E23189" s="57"/>
      <c r="H23189" s="18"/>
    </row>
    <row r="23190">
      <c r="C23190" s="18"/>
      <c r="D23190" s="19"/>
      <c r="E23190" s="57"/>
      <c r="H23190" s="18"/>
    </row>
    <row r="23191">
      <c r="C23191" s="18"/>
      <c r="D23191" s="19"/>
      <c r="E23191" s="57"/>
      <c r="H23191" s="18"/>
    </row>
    <row r="23192">
      <c r="C23192" s="18"/>
      <c r="D23192" s="19"/>
      <c r="E23192" s="57"/>
      <c r="H23192" s="18"/>
    </row>
    <row r="23193">
      <c r="C23193" s="18"/>
      <c r="D23193" s="19"/>
      <c r="E23193" s="57"/>
      <c r="H23193" s="18"/>
    </row>
    <row r="23194">
      <c r="C23194" s="18"/>
      <c r="D23194" s="19"/>
      <c r="E23194" s="57"/>
      <c r="H23194" s="18"/>
    </row>
    <row r="23195">
      <c r="C23195" s="18"/>
      <c r="D23195" s="19"/>
      <c r="E23195" s="57"/>
      <c r="H23195" s="18"/>
    </row>
    <row r="23196">
      <c r="C23196" s="18"/>
      <c r="D23196" s="19"/>
      <c r="E23196" s="57"/>
      <c r="H23196" s="18"/>
    </row>
    <row r="23197">
      <c r="C23197" s="18"/>
      <c r="D23197" s="19"/>
      <c r="E23197" s="57"/>
      <c r="H23197" s="18"/>
    </row>
    <row r="23198">
      <c r="C23198" s="18"/>
      <c r="D23198" s="19"/>
      <c r="E23198" s="57"/>
      <c r="H23198" s="18"/>
    </row>
    <row r="23199">
      <c r="C23199" s="18"/>
      <c r="D23199" s="19"/>
      <c r="E23199" s="57"/>
      <c r="H23199" s="18"/>
    </row>
    <row r="23200">
      <c r="C23200" s="18"/>
      <c r="D23200" s="19"/>
      <c r="E23200" s="57"/>
      <c r="H23200" s="18"/>
    </row>
    <row r="23201">
      <c r="C23201" s="18"/>
      <c r="D23201" s="19"/>
      <c r="E23201" s="57"/>
      <c r="H23201" s="18"/>
    </row>
    <row r="23202">
      <c r="C23202" s="18"/>
      <c r="D23202" s="19"/>
      <c r="E23202" s="57"/>
      <c r="H23202" s="18"/>
    </row>
    <row r="23203">
      <c r="C23203" s="18"/>
      <c r="D23203" s="19"/>
      <c r="E23203" s="57"/>
      <c r="H23203" s="18"/>
    </row>
    <row r="23204">
      <c r="C23204" s="18"/>
      <c r="D23204" s="19"/>
      <c r="E23204" s="57"/>
      <c r="H23204" s="18"/>
    </row>
    <row r="23205">
      <c r="C23205" s="18"/>
      <c r="D23205" s="19"/>
      <c r="E23205" s="57"/>
      <c r="H23205" s="18"/>
    </row>
    <row r="23206">
      <c r="C23206" s="18"/>
      <c r="D23206" s="19"/>
      <c r="E23206" s="57"/>
      <c r="H23206" s="18"/>
    </row>
    <row r="23207">
      <c r="C23207" s="18"/>
      <c r="D23207" s="19"/>
      <c r="E23207" s="57"/>
      <c r="H23207" s="18"/>
    </row>
    <row r="23208">
      <c r="C23208" s="18"/>
      <c r="D23208" s="19"/>
      <c r="E23208" s="57"/>
      <c r="H23208" s="18"/>
    </row>
    <row r="23209">
      <c r="C23209" s="18"/>
      <c r="D23209" s="19"/>
      <c r="E23209" s="57"/>
      <c r="H23209" s="18"/>
    </row>
    <row r="23210">
      <c r="C23210" s="18"/>
      <c r="D23210" s="19"/>
      <c r="E23210" s="57"/>
      <c r="H23210" s="18"/>
    </row>
    <row r="23211">
      <c r="C23211" s="18"/>
      <c r="D23211" s="19"/>
      <c r="E23211" s="57"/>
      <c r="H23211" s="18"/>
    </row>
    <row r="23212">
      <c r="C23212" s="18"/>
      <c r="D23212" s="19"/>
      <c r="E23212" s="57"/>
      <c r="H23212" s="18"/>
    </row>
    <row r="23213">
      <c r="C23213" s="18"/>
      <c r="D23213" s="19"/>
      <c r="E23213" s="57"/>
      <c r="H23213" s="18"/>
    </row>
    <row r="23214">
      <c r="C23214" s="18"/>
      <c r="D23214" s="19"/>
      <c r="E23214" s="57"/>
      <c r="H23214" s="18"/>
    </row>
    <row r="23215">
      <c r="C23215" s="18"/>
      <c r="D23215" s="19"/>
      <c r="E23215" s="57"/>
      <c r="H23215" s="18"/>
    </row>
    <row r="23216">
      <c r="C23216" s="18"/>
      <c r="D23216" s="19"/>
      <c r="E23216" s="57"/>
      <c r="H23216" s="18"/>
    </row>
    <row r="23217">
      <c r="C23217" s="18"/>
      <c r="D23217" s="19"/>
      <c r="E23217" s="57"/>
      <c r="H23217" s="18"/>
    </row>
    <row r="23218">
      <c r="C23218" s="18"/>
      <c r="D23218" s="19"/>
      <c r="E23218" s="57"/>
      <c r="H23218" s="18"/>
    </row>
    <row r="23219">
      <c r="C23219" s="18"/>
      <c r="D23219" s="19"/>
      <c r="E23219" s="57"/>
      <c r="H23219" s="18"/>
    </row>
    <row r="23220">
      <c r="C23220" s="18"/>
      <c r="D23220" s="19"/>
      <c r="E23220" s="57"/>
      <c r="H23220" s="18"/>
    </row>
    <row r="23221">
      <c r="C23221" s="18"/>
      <c r="D23221" s="19"/>
      <c r="E23221" s="57"/>
      <c r="H23221" s="18"/>
    </row>
    <row r="23222">
      <c r="C23222" s="18"/>
      <c r="D23222" s="19"/>
      <c r="E23222" s="57"/>
      <c r="H23222" s="18"/>
    </row>
    <row r="23223">
      <c r="C23223" s="18"/>
      <c r="D23223" s="19"/>
      <c r="E23223" s="57"/>
      <c r="H23223" s="18"/>
    </row>
    <row r="23224">
      <c r="C23224" s="18"/>
      <c r="D23224" s="19"/>
      <c r="E23224" s="57"/>
      <c r="H23224" s="18"/>
    </row>
    <row r="23225">
      <c r="C23225" s="18"/>
      <c r="D23225" s="19"/>
      <c r="E23225" s="57"/>
      <c r="H23225" s="18"/>
    </row>
    <row r="23226">
      <c r="C23226" s="18"/>
      <c r="D23226" s="19"/>
      <c r="E23226" s="57"/>
      <c r="H23226" s="18"/>
    </row>
    <row r="23227">
      <c r="C23227" s="18"/>
      <c r="D23227" s="19"/>
      <c r="E23227" s="57"/>
      <c r="H23227" s="18"/>
    </row>
    <row r="23228">
      <c r="C23228" s="18"/>
      <c r="D23228" s="19"/>
      <c r="E23228" s="57"/>
      <c r="H23228" s="18"/>
    </row>
    <row r="23229">
      <c r="C23229" s="18"/>
      <c r="D23229" s="19"/>
      <c r="E23229" s="57"/>
      <c r="H23229" s="18"/>
    </row>
    <row r="23230">
      <c r="C23230" s="18"/>
      <c r="D23230" s="19"/>
      <c r="E23230" s="57"/>
      <c r="H23230" s="18"/>
    </row>
    <row r="23231">
      <c r="C23231" s="18"/>
      <c r="D23231" s="19"/>
      <c r="E23231" s="57"/>
      <c r="H23231" s="18"/>
    </row>
    <row r="23232">
      <c r="C23232" s="18"/>
      <c r="D23232" s="19"/>
      <c r="E23232" s="57"/>
      <c r="H23232" s="18"/>
    </row>
    <row r="23233">
      <c r="C23233" s="18"/>
      <c r="D23233" s="19"/>
      <c r="E23233" s="57"/>
      <c r="H23233" s="18"/>
    </row>
    <row r="23234">
      <c r="C23234" s="18"/>
      <c r="D23234" s="19"/>
      <c r="E23234" s="57"/>
      <c r="H23234" s="18"/>
    </row>
    <row r="23235">
      <c r="C23235" s="18"/>
      <c r="D23235" s="19"/>
      <c r="E23235" s="57"/>
      <c r="H23235" s="18"/>
    </row>
    <row r="23236">
      <c r="C23236" s="18"/>
      <c r="D23236" s="19"/>
      <c r="E23236" s="57"/>
      <c r="H23236" s="18"/>
    </row>
    <row r="23237">
      <c r="C23237" s="18"/>
      <c r="D23237" s="19"/>
      <c r="E23237" s="57"/>
      <c r="H23237" s="18"/>
    </row>
    <row r="23238">
      <c r="C23238" s="18"/>
      <c r="D23238" s="19"/>
      <c r="E23238" s="57"/>
      <c r="H23238" s="18"/>
    </row>
    <row r="23239">
      <c r="C23239" s="18"/>
      <c r="D23239" s="19"/>
      <c r="E23239" s="57"/>
      <c r="H23239" s="18"/>
    </row>
    <row r="23240">
      <c r="C23240" s="18"/>
      <c r="D23240" s="19"/>
      <c r="E23240" s="57"/>
      <c r="H23240" s="18"/>
    </row>
    <row r="23241">
      <c r="C23241" s="18"/>
      <c r="D23241" s="19"/>
      <c r="E23241" s="57"/>
      <c r="H23241" s="18"/>
    </row>
    <row r="23242">
      <c r="C23242" s="18"/>
      <c r="D23242" s="19"/>
      <c r="E23242" s="57"/>
      <c r="H23242" s="18"/>
    </row>
    <row r="23243">
      <c r="C23243" s="18"/>
      <c r="D23243" s="19"/>
      <c r="E23243" s="57"/>
      <c r="H23243" s="18"/>
    </row>
    <row r="23244">
      <c r="C23244" s="18"/>
      <c r="D23244" s="19"/>
      <c r="E23244" s="57"/>
      <c r="H23244" s="18"/>
    </row>
    <row r="23245">
      <c r="C23245" s="18"/>
      <c r="D23245" s="19"/>
      <c r="E23245" s="57"/>
      <c r="H23245" s="18"/>
    </row>
    <row r="23246">
      <c r="C23246" s="18"/>
      <c r="D23246" s="19"/>
      <c r="E23246" s="57"/>
      <c r="H23246" s="18"/>
    </row>
    <row r="23247">
      <c r="C23247" s="18"/>
      <c r="D23247" s="19"/>
      <c r="E23247" s="57"/>
      <c r="H23247" s="18"/>
    </row>
    <row r="23248">
      <c r="C23248" s="18"/>
      <c r="D23248" s="19"/>
      <c r="E23248" s="57"/>
      <c r="H23248" s="18"/>
    </row>
    <row r="23249">
      <c r="C23249" s="18"/>
      <c r="D23249" s="19"/>
      <c r="E23249" s="57"/>
      <c r="H23249" s="18"/>
    </row>
    <row r="23250">
      <c r="C23250" s="18"/>
      <c r="D23250" s="19"/>
      <c r="E23250" s="57"/>
      <c r="H23250" s="18"/>
    </row>
    <row r="23251">
      <c r="C23251" s="18"/>
      <c r="D23251" s="19"/>
      <c r="E23251" s="57"/>
      <c r="H23251" s="18"/>
    </row>
    <row r="23252">
      <c r="C23252" s="18"/>
      <c r="D23252" s="19"/>
      <c r="E23252" s="57"/>
      <c r="H23252" s="18"/>
    </row>
    <row r="23253">
      <c r="C23253" s="18"/>
      <c r="D23253" s="19"/>
      <c r="E23253" s="57"/>
      <c r="H23253" s="18"/>
    </row>
    <row r="23254">
      <c r="C23254" s="18"/>
      <c r="D23254" s="19"/>
      <c r="E23254" s="57"/>
      <c r="H23254" s="18"/>
    </row>
    <row r="23255">
      <c r="C23255" s="18"/>
      <c r="D23255" s="19"/>
      <c r="E23255" s="57"/>
      <c r="H23255" s="18"/>
    </row>
    <row r="23256">
      <c r="C23256" s="18"/>
      <c r="D23256" s="19"/>
      <c r="E23256" s="57"/>
      <c r="H23256" s="18"/>
    </row>
    <row r="23257">
      <c r="C23257" s="18"/>
      <c r="D23257" s="19"/>
      <c r="E23257" s="57"/>
      <c r="H23257" s="18"/>
    </row>
    <row r="23258">
      <c r="C23258" s="18"/>
      <c r="D23258" s="19"/>
      <c r="E23258" s="57"/>
      <c r="H23258" s="18"/>
    </row>
    <row r="23259">
      <c r="C23259" s="18"/>
      <c r="D23259" s="19"/>
      <c r="E23259" s="57"/>
      <c r="H23259" s="18"/>
    </row>
    <row r="23260">
      <c r="C23260" s="18"/>
      <c r="D23260" s="19"/>
      <c r="E23260" s="57"/>
      <c r="H23260" s="18"/>
    </row>
    <row r="23261">
      <c r="C23261" s="18"/>
      <c r="D23261" s="19"/>
      <c r="E23261" s="57"/>
      <c r="H23261" s="18"/>
    </row>
    <row r="23262">
      <c r="C23262" s="18"/>
      <c r="D23262" s="19"/>
      <c r="E23262" s="57"/>
      <c r="H23262" s="18"/>
    </row>
    <row r="23263">
      <c r="C23263" s="18"/>
      <c r="D23263" s="19"/>
      <c r="E23263" s="57"/>
      <c r="H23263" s="18"/>
    </row>
    <row r="23264">
      <c r="C23264" s="18"/>
      <c r="D23264" s="19"/>
      <c r="E23264" s="57"/>
      <c r="H23264" s="18"/>
    </row>
    <row r="23265">
      <c r="C23265" s="18"/>
      <c r="D23265" s="19"/>
      <c r="E23265" s="57"/>
      <c r="H23265" s="18"/>
    </row>
    <row r="23266">
      <c r="C23266" s="18"/>
      <c r="D23266" s="19"/>
      <c r="E23266" s="57"/>
      <c r="H23266" s="18"/>
    </row>
    <row r="23267">
      <c r="C23267" s="18"/>
      <c r="D23267" s="19"/>
      <c r="E23267" s="57"/>
      <c r="H23267" s="18"/>
    </row>
    <row r="23268">
      <c r="C23268" s="18"/>
      <c r="D23268" s="19"/>
      <c r="E23268" s="57"/>
      <c r="H23268" s="18"/>
    </row>
    <row r="23269">
      <c r="C23269" s="18"/>
      <c r="D23269" s="19"/>
      <c r="E23269" s="57"/>
      <c r="H23269" s="18"/>
    </row>
    <row r="23270">
      <c r="C23270" s="18"/>
      <c r="D23270" s="19"/>
      <c r="E23270" s="57"/>
      <c r="H23270" s="18"/>
    </row>
    <row r="23271">
      <c r="C23271" s="18"/>
      <c r="D23271" s="19"/>
      <c r="E23271" s="57"/>
      <c r="H23271" s="18"/>
    </row>
    <row r="23272">
      <c r="C23272" s="18"/>
      <c r="D23272" s="19"/>
      <c r="E23272" s="57"/>
      <c r="H23272" s="18"/>
    </row>
    <row r="23273">
      <c r="C23273" s="18"/>
      <c r="D23273" s="19"/>
      <c r="E23273" s="57"/>
      <c r="H23273" s="18"/>
    </row>
    <row r="23274">
      <c r="C23274" s="18"/>
      <c r="D23274" s="19"/>
      <c r="E23274" s="57"/>
      <c r="H23274" s="18"/>
    </row>
    <row r="23275">
      <c r="C23275" s="18"/>
      <c r="D23275" s="19"/>
      <c r="E23275" s="57"/>
      <c r="H23275" s="18"/>
    </row>
    <row r="23276">
      <c r="C23276" s="18"/>
      <c r="D23276" s="19"/>
      <c r="E23276" s="57"/>
      <c r="H23276" s="18"/>
    </row>
    <row r="23277">
      <c r="C23277" s="18"/>
      <c r="D23277" s="19"/>
      <c r="E23277" s="57"/>
      <c r="H23277" s="18"/>
    </row>
    <row r="23278">
      <c r="C23278" s="18"/>
      <c r="D23278" s="19"/>
      <c r="E23278" s="57"/>
      <c r="H23278" s="18"/>
    </row>
    <row r="23279">
      <c r="C23279" s="18"/>
      <c r="D23279" s="19"/>
      <c r="E23279" s="57"/>
      <c r="H23279" s="18"/>
    </row>
    <row r="23280">
      <c r="C23280" s="18"/>
      <c r="D23280" s="19"/>
      <c r="E23280" s="57"/>
      <c r="H23280" s="18"/>
    </row>
    <row r="23281">
      <c r="C23281" s="18"/>
      <c r="D23281" s="19"/>
      <c r="E23281" s="57"/>
      <c r="H23281" s="18"/>
    </row>
    <row r="23282">
      <c r="C23282" s="18"/>
      <c r="D23282" s="19"/>
      <c r="E23282" s="57"/>
      <c r="H23282" s="18"/>
    </row>
    <row r="23283">
      <c r="C23283" s="18"/>
      <c r="D23283" s="19"/>
      <c r="E23283" s="57"/>
      <c r="H23283" s="18"/>
    </row>
    <row r="23284">
      <c r="C23284" s="18"/>
      <c r="D23284" s="19"/>
      <c r="E23284" s="57"/>
      <c r="H23284" s="18"/>
    </row>
    <row r="23285">
      <c r="C23285" s="18"/>
      <c r="D23285" s="19"/>
      <c r="E23285" s="57"/>
      <c r="H23285" s="18"/>
    </row>
    <row r="23286">
      <c r="C23286" s="18"/>
      <c r="D23286" s="19"/>
      <c r="E23286" s="57"/>
      <c r="H23286" s="18"/>
    </row>
    <row r="23287">
      <c r="C23287" s="18"/>
      <c r="D23287" s="19"/>
      <c r="E23287" s="57"/>
      <c r="H23287" s="18"/>
    </row>
    <row r="23288">
      <c r="C23288" s="18"/>
      <c r="D23288" s="19"/>
      <c r="E23288" s="57"/>
      <c r="H23288" s="18"/>
    </row>
    <row r="23289">
      <c r="C23289" s="18"/>
      <c r="D23289" s="19"/>
      <c r="E23289" s="57"/>
      <c r="H23289" s="18"/>
    </row>
    <row r="23290">
      <c r="C23290" s="18"/>
      <c r="D23290" s="19"/>
      <c r="E23290" s="57"/>
      <c r="H23290" s="18"/>
    </row>
    <row r="23291">
      <c r="C23291" s="18"/>
      <c r="D23291" s="19"/>
      <c r="E23291" s="57"/>
      <c r="H23291" s="18"/>
    </row>
    <row r="23292">
      <c r="C23292" s="18"/>
      <c r="D23292" s="19"/>
      <c r="E23292" s="57"/>
      <c r="H23292" s="18"/>
    </row>
    <row r="23293">
      <c r="C23293" s="18"/>
      <c r="D23293" s="19"/>
      <c r="E23293" s="57"/>
      <c r="H23293" s="18"/>
    </row>
    <row r="23294">
      <c r="C23294" s="18"/>
      <c r="D23294" s="19"/>
      <c r="E23294" s="57"/>
      <c r="H23294" s="18"/>
    </row>
    <row r="23295">
      <c r="C23295" s="18"/>
      <c r="D23295" s="19"/>
      <c r="E23295" s="57"/>
      <c r="H23295" s="18"/>
    </row>
    <row r="23296">
      <c r="C23296" s="18"/>
      <c r="D23296" s="19"/>
      <c r="E23296" s="57"/>
      <c r="H23296" s="18"/>
    </row>
    <row r="23297">
      <c r="C23297" s="18"/>
      <c r="D23297" s="19"/>
      <c r="E23297" s="57"/>
      <c r="H23297" s="18"/>
    </row>
    <row r="23298">
      <c r="C23298" s="18"/>
      <c r="D23298" s="19"/>
      <c r="E23298" s="57"/>
      <c r="H23298" s="18"/>
    </row>
    <row r="23299">
      <c r="C23299" s="18"/>
      <c r="D23299" s="19"/>
      <c r="E23299" s="57"/>
      <c r="H23299" s="18"/>
    </row>
    <row r="23300">
      <c r="C23300" s="18"/>
      <c r="D23300" s="19"/>
      <c r="E23300" s="57"/>
      <c r="H23300" s="18"/>
    </row>
    <row r="23301">
      <c r="C23301" s="18"/>
      <c r="D23301" s="19"/>
      <c r="E23301" s="57"/>
      <c r="H23301" s="18"/>
    </row>
    <row r="23302">
      <c r="C23302" s="18"/>
      <c r="D23302" s="19"/>
      <c r="E23302" s="57"/>
      <c r="H23302" s="18"/>
    </row>
    <row r="23303">
      <c r="C23303" s="18"/>
      <c r="D23303" s="19"/>
      <c r="E23303" s="57"/>
      <c r="H23303" s="18"/>
    </row>
    <row r="23304">
      <c r="C23304" s="18"/>
      <c r="D23304" s="19"/>
      <c r="E23304" s="57"/>
      <c r="H23304" s="18"/>
    </row>
    <row r="23305">
      <c r="C23305" s="18"/>
      <c r="D23305" s="19"/>
      <c r="E23305" s="57"/>
      <c r="H23305" s="18"/>
    </row>
    <row r="23306">
      <c r="C23306" s="18"/>
      <c r="D23306" s="19"/>
      <c r="E23306" s="57"/>
      <c r="H23306" s="18"/>
    </row>
    <row r="23307">
      <c r="C23307" s="18"/>
      <c r="D23307" s="19"/>
      <c r="E23307" s="57"/>
      <c r="H23307" s="18"/>
    </row>
    <row r="23308">
      <c r="C23308" s="18"/>
      <c r="D23308" s="19"/>
      <c r="E23308" s="57"/>
      <c r="H23308" s="18"/>
    </row>
    <row r="23309">
      <c r="C23309" s="18"/>
      <c r="D23309" s="19"/>
      <c r="E23309" s="57"/>
      <c r="H23309" s="18"/>
    </row>
    <row r="23310">
      <c r="C23310" s="18"/>
      <c r="D23310" s="19"/>
      <c r="E23310" s="57"/>
      <c r="H23310" s="18"/>
    </row>
    <row r="23311">
      <c r="C23311" s="18"/>
      <c r="D23311" s="19"/>
      <c r="E23311" s="57"/>
      <c r="H23311" s="18"/>
    </row>
    <row r="23312">
      <c r="C23312" s="18"/>
      <c r="D23312" s="19"/>
      <c r="E23312" s="57"/>
      <c r="H23312" s="18"/>
    </row>
    <row r="23313">
      <c r="C23313" s="18"/>
      <c r="D23313" s="19"/>
      <c r="E23313" s="57"/>
      <c r="H23313" s="18"/>
    </row>
    <row r="23314">
      <c r="C23314" s="18"/>
      <c r="D23314" s="19"/>
      <c r="E23314" s="57"/>
      <c r="H23314" s="18"/>
    </row>
    <row r="23315">
      <c r="C23315" s="18"/>
      <c r="D23315" s="19"/>
      <c r="E23315" s="57"/>
      <c r="H23315" s="18"/>
    </row>
    <row r="23316">
      <c r="C23316" s="18"/>
      <c r="D23316" s="19"/>
      <c r="E23316" s="57"/>
      <c r="H23316" s="18"/>
    </row>
    <row r="23317">
      <c r="C23317" s="18"/>
      <c r="D23317" s="19"/>
      <c r="E23317" s="57"/>
      <c r="H23317" s="18"/>
    </row>
    <row r="23318">
      <c r="C23318" s="18"/>
      <c r="D23318" s="19"/>
      <c r="E23318" s="57"/>
      <c r="H23318" s="18"/>
    </row>
    <row r="23319">
      <c r="C23319" s="18"/>
      <c r="D23319" s="19"/>
      <c r="E23319" s="57"/>
      <c r="H23319" s="18"/>
    </row>
    <row r="23320">
      <c r="C23320" s="18"/>
      <c r="D23320" s="19"/>
      <c r="E23320" s="57"/>
      <c r="H23320" s="18"/>
    </row>
    <row r="23321">
      <c r="C23321" s="18"/>
      <c r="D23321" s="19"/>
      <c r="E23321" s="57"/>
      <c r="H23321" s="18"/>
    </row>
    <row r="23322">
      <c r="C23322" s="18"/>
      <c r="D23322" s="19"/>
      <c r="E23322" s="57"/>
      <c r="H23322" s="18"/>
    </row>
    <row r="23323">
      <c r="C23323" s="18"/>
      <c r="D23323" s="19"/>
      <c r="E23323" s="57"/>
      <c r="H23323" s="18"/>
    </row>
    <row r="23324">
      <c r="C23324" s="18"/>
      <c r="D23324" s="19"/>
      <c r="E23324" s="57"/>
      <c r="H23324" s="18"/>
    </row>
    <row r="23325">
      <c r="C23325" s="18"/>
      <c r="D23325" s="19"/>
      <c r="E23325" s="57"/>
      <c r="H23325" s="18"/>
    </row>
    <row r="23326">
      <c r="C23326" s="18"/>
      <c r="D23326" s="19"/>
      <c r="E23326" s="57"/>
      <c r="H23326" s="18"/>
    </row>
    <row r="23327">
      <c r="C23327" s="18"/>
      <c r="D23327" s="19"/>
      <c r="E23327" s="57"/>
      <c r="H23327" s="18"/>
    </row>
    <row r="23328">
      <c r="C23328" s="18"/>
      <c r="D23328" s="19"/>
      <c r="E23328" s="57"/>
      <c r="H23328" s="18"/>
    </row>
    <row r="23329">
      <c r="C23329" s="18"/>
      <c r="D23329" s="19"/>
      <c r="E23329" s="57"/>
      <c r="H23329" s="18"/>
    </row>
    <row r="23330">
      <c r="C23330" s="18"/>
      <c r="D23330" s="19"/>
      <c r="E23330" s="57"/>
      <c r="H23330" s="18"/>
    </row>
    <row r="23331">
      <c r="C23331" s="18"/>
      <c r="D23331" s="19"/>
      <c r="E23331" s="57"/>
      <c r="H23331" s="18"/>
    </row>
    <row r="23332">
      <c r="C23332" s="18"/>
      <c r="D23332" s="19"/>
      <c r="E23332" s="57"/>
      <c r="H23332" s="18"/>
    </row>
    <row r="23333">
      <c r="C23333" s="18"/>
      <c r="D23333" s="19"/>
      <c r="E23333" s="57"/>
      <c r="H23333" s="18"/>
    </row>
    <row r="23334">
      <c r="C23334" s="18"/>
      <c r="D23334" s="19"/>
      <c r="E23334" s="57"/>
      <c r="H23334" s="18"/>
    </row>
    <row r="23335">
      <c r="C23335" s="18"/>
      <c r="D23335" s="19"/>
      <c r="E23335" s="57"/>
      <c r="H23335" s="18"/>
    </row>
    <row r="23336">
      <c r="C23336" s="18"/>
      <c r="D23336" s="19"/>
      <c r="E23336" s="57"/>
      <c r="H23336" s="18"/>
    </row>
    <row r="23337">
      <c r="C23337" s="18"/>
      <c r="D23337" s="19"/>
      <c r="E23337" s="57"/>
      <c r="H23337" s="18"/>
    </row>
    <row r="23338">
      <c r="C23338" s="18"/>
      <c r="D23338" s="19"/>
      <c r="E23338" s="57"/>
      <c r="H23338" s="18"/>
    </row>
    <row r="23339">
      <c r="C23339" s="18"/>
      <c r="D23339" s="19"/>
      <c r="E23339" s="57"/>
      <c r="H23339" s="18"/>
    </row>
    <row r="23340">
      <c r="C23340" s="18"/>
      <c r="D23340" s="19"/>
      <c r="E23340" s="57"/>
      <c r="H23340" s="18"/>
    </row>
    <row r="23341">
      <c r="C23341" s="18"/>
      <c r="D23341" s="19"/>
      <c r="E23341" s="57"/>
      <c r="H23341" s="18"/>
    </row>
    <row r="23342">
      <c r="C23342" s="18"/>
      <c r="D23342" s="19"/>
      <c r="E23342" s="57"/>
      <c r="H23342" s="18"/>
    </row>
    <row r="23343">
      <c r="C23343" s="18"/>
      <c r="D23343" s="19"/>
      <c r="E23343" s="57"/>
      <c r="H23343" s="18"/>
    </row>
    <row r="23344">
      <c r="C23344" s="18"/>
      <c r="D23344" s="19"/>
      <c r="E23344" s="57"/>
      <c r="H23344" s="18"/>
    </row>
    <row r="23345">
      <c r="C23345" s="18"/>
      <c r="D23345" s="19"/>
      <c r="E23345" s="57"/>
      <c r="H23345" s="18"/>
    </row>
    <row r="23346">
      <c r="C23346" s="18"/>
      <c r="D23346" s="19"/>
      <c r="E23346" s="57"/>
      <c r="H23346" s="18"/>
    </row>
    <row r="23347">
      <c r="C23347" s="18"/>
      <c r="D23347" s="19"/>
      <c r="E23347" s="57"/>
      <c r="H23347" s="18"/>
    </row>
    <row r="23348">
      <c r="C23348" s="18"/>
      <c r="D23348" s="19"/>
      <c r="E23348" s="57"/>
      <c r="H23348" s="18"/>
    </row>
    <row r="23349">
      <c r="C23349" s="18"/>
      <c r="D23349" s="19"/>
      <c r="E23349" s="57"/>
      <c r="H23349" s="18"/>
    </row>
    <row r="23350">
      <c r="C23350" s="18"/>
      <c r="D23350" s="19"/>
      <c r="E23350" s="57"/>
      <c r="H23350" s="18"/>
    </row>
    <row r="23351">
      <c r="C23351" s="18"/>
      <c r="D23351" s="19"/>
      <c r="E23351" s="57"/>
      <c r="H23351" s="18"/>
    </row>
    <row r="23352">
      <c r="C23352" s="18"/>
      <c r="D23352" s="19"/>
      <c r="E23352" s="57"/>
      <c r="H23352" s="18"/>
    </row>
    <row r="23353">
      <c r="C23353" s="18"/>
      <c r="D23353" s="19"/>
      <c r="E23353" s="57"/>
      <c r="H23353" s="18"/>
    </row>
    <row r="23354">
      <c r="C23354" s="18"/>
      <c r="D23354" s="19"/>
      <c r="E23354" s="57"/>
      <c r="H23354" s="18"/>
    </row>
    <row r="23355">
      <c r="C23355" s="18"/>
      <c r="D23355" s="19"/>
      <c r="E23355" s="57"/>
      <c r="H23355" s="18"/>
    </row>
    <row r="23356">
      <c r="C23356" s="18"/>
      <c r="D23356" s="19"/>
      <c r="E23356" s="57"/>
      <c r="H23356" s="18"/>
    </row>
    <row r="23357">
      <c r="C23357" s="18"/>
      <c r="D23357" s="19"/>
      <c r="E23357" s="57"/>
      <c r="H23357" s="18"/>
    </row>
    <row r="23358">
      <c r="C23358" s="18"/>
      <c r="D23358" s="19"/>
      <c r="E23358" s="57"/>
      <c r="H23358" s="18"/>
    </row>
    <row r="23359">
      <c r="C23359" s="18"/>
      <c r="D23359" s="19"/>
      <c r="E23359" s="57"/>
      <c r="H23359" s="18"/>
    </row>
    <row r="23360">
      <c r="C23360" s="18"/>
      <c r="D23360" s="19"/>
      <c r="E23360" s="57"/>
      <c r="H23360" s="18"/>
    </row>
    <row r="23361">
      <c r="C23361" s="18"/>
      <c r="D23361" s="19"/>
      <c r="E23361" s="57"/>
      <c r="H23361" s="18"/>
    </row>
    <row r="23362">
      <c r="C23362" s="18"/>
      <c r="D23362" s="19"/>
      <c r="E23362" s="57"/>
      <c r="H23362" s="18"/>
    </row>
    <row r="23363">
      <c r="C23363" s="18"/>
      <c r="D23363" s="19"/>
      <c r="E23363" s="57"/>
      <c r="H23363" s="18"/>
    </row>
    <row r="23364">
      <c r="C23364" s="18"/>
      <c r="D23364" s="19"/>
      <c r="E23364" s="57"/>
      <c r="H23364" s="18"/>
    </row>
    <row r="23365">
      <c r="C23365" s="18"/>
      <c r="D23365" s="19"/>
      <c r="E23365" s="57"/>
      <c r="H23365" s="18"/>
    </row>
    <row r="23366">
      <c r="C23366" s="18"/>
      <c r="D23366" s="19"/>
      <c r="E23366" s="57"/>
      <c r="H23366" s="18"/>
    </row>
    <row r="23367">
      <c r="C23367" s="18"/>
      <c r="D23367" s="19"/>
      <c r="E23367" s="57"/>
      <c r="H23367" s="18"/>
    </row>
    <row r="23368">
      <c r="C23368" s="18"/>
      <c r="D23368" s="19"/>
      <c r="E23368" s="57"/>
      <c r="H23368" s="18"/>
    </row>
    <row r="23369">
      <c r="C23369" s="18"/>
      <c r="D23369" s="19"/>
      <c r="E23369" s="57"/>
      <c r="H23369" s="18"/>
    </row>
    <row r="23370">
      <c r="C23370" s="18"/>
      <c r="D23370" s="19"/>
      <c r="E23370" s="57"/>
      <c r="H23370" s="18"/>
    </row>
    <row r="23371">
      <c r="C23371" s="18"/>
      <c r="D23371" s="19"/>
      <c r="E23371" s="57"/>
      <c r="H23371" s="18"/>
    </row>
    <row r="23372">
      <c r="C23372" s="18"/>
      <c r="D23372" s="19"/>
      <c r="E23372" s="57"/>
      <c r="H23372" s="18"/>
    </row>
    <row r="23373">
      <c r="C23373" s="18"/>
      <c r="D23373" s="19"/>
      <c r="E23373" s="57"/>
      <c r="H23373" s="18"/>
    </row>
    <row r="23374">
      <c r="C23374" s="18"/>
      <c r="D23374" s="19"/>
      <c r="E23374" s="57"/>
      <c r="H23374" s="18"/>
    </row>
    <row r="23375">
      <c r="C23375" s="18"/>
      <c r="D23375" s="19"/>
      <c r="E23375" s="57"/>
      <c r="H23375" s="18"/>
    </row>
    <row r="23376">
      <c r="C23376" s="18"/>
      <c r="D23376" s="19"/>
      <c r="E23376" s="57"/>
      <c r="H23376" s="18"/>
    </row>
    <row r="23377">
      <c r="C23377" s="18"/>
      <c r="D23377" s="19"/>
      <c r="E23377" s="57"/>
      <c r="H23377" s="18"/>
    </row>
    <row r="23378">
      <c r="C23378" s="18"/>
      <c r="D23378" s="19"/>
      <c r="E23378" s="57"/>
      <c r="H23378" s="18"/>
    </row>
    <row r="23379">
      <c r="C23379" s="18"/>
      <c r="D23379" s="19"/>
      <c r="E23379" s="57"/>
      <c r="H23379" s="18"/>
    </row>
    <row r="23380">
      <c r="C23380" s="18"/>
      <c r="D23380" s="19"/>
      <c r="E23380" s="57"/>
      <c r="H23380" s="18"/>
    </row>
    <row r="23381">
      <c r="C23381" s="18"/>
      <c r="D23381" s="19"/>
      <c r="E23381" s="57"/>
      <c r="H23381" s="18"/>
    </row>
    <row r="23382">
      <c r="C23382" s="18"/>
      <c r="D23382" s="19"/>
      <c r="E23382" s="57"/>
      <c r="H23382" s="18"/>
    </row>
    <row r="23383">
      <c r="C23383" s="18"/>
      <c r="D23383" s="19"/>
      <c r="E23383" s="57"/>
      <c r="H23383" s="18"/>
    </row>
    <row r="23384">
      <c r="C23384" s="18"/>
      <c r="D23384" s="19"/>
      <c r="E23384" s="57"/>
      <c r="H23384" s="18"/>
    </row>
    <row r="23385">
      <c r="C23385" s="18"/>
      <c r="D23385" s="19"/>
      <c r="E23385" s="57"/>
      <c r="H23385" s="18"/>
    </row>
    <row r="23386">
      <c r="C23386" s="18"/>
      <c r="D23386" s="19"/>
      <c r="E23386" s="57"/>
      <c r="H23386" s="18"/>
    </row>
    <row r="23387">
      <c r="C23387" s="18"/>
      <c r="D23387" s="19"/>
      <c r="E23387" s="57"/>
      <c r="H23387" s="18"/>
    </row>
    <row r="23388">
      <c r="C23388" s="18"/>
      <c r="D23388" s="19"/>
      <c r="E23388" s="57"/>
      <c r="H23388" s="18"/>
    </row>
    <row r="23389">
      <c r="C23389" s="18"/>
      <c r="D23389" s="19"/>
      <c r="E23389" s="57"/>
      <c r="H23389" s="18"/>
    </row>
    <row r="23390">
      <c r="C23390" s="18"/>
      <c r="D23390" s="19"/>
      <c r="E23390" s="57"/>
      <c r="H23390" s="18"/>
    </row>
    <row r="23391">
      <c r="C23391" s="18"/>
      <c r="D23391" s="19"/>
      <c r="E23391" s="57"/>
      <c r="H23391" s="18"/>
    </row>
    <row r="23392">
      <c r="C23392" s="18"/>
      <c r="D23392" s="19"/>
      <c r="E23392" s="57"/>
      <c r="H23392" s="18"/>
    </row>
    <row r="23393">
      <c r="C23393" s="18"/>
      <c r="D23393" s="19"/>
      <c r="E23393" s="57"/>
      <c r="H23393" s="18"/>
    </row>
    <row r="23394">
      <c r="C23394" s="18"/>
      <c r="D23394" s="19"/>
      <c r="E23394" s="57"/>
      <c r="H23394" s="18"/>
    </row>
    <row r="23395">
      <c r="C23395" s="18"/>
      <c r="D23395" s="19"/>
      <c r="E23395" s="57"/>
      <c r="H23395" s="18"/>
    </row>
    <row r="23396">
      <c r="C23396" s="18"/>
      <c r="D23396" s="19"/>
      <c r="E23396" s="57"/>
      <c r="H23396" s="18"/>
    </row>
    <row r="23397">
      <c r="C23397" s="18"/>
      <c r="D23397" s="19"/>
      <c r="E23397" s="57"/>
      <c r="H23397" s="18"/>
    </row>
    <row r="23398">
      <c r="C23398" s="18"/>
      <c r="D23398" s="19"/>
      <c r="E23398" s="57"/>
      <c r="H23398" s="18"/>
    </row>
    <row r="23399">
      <c r="C23399" s="18"/>
      <c r="D23399" s="19"/>
      <c r="E23399" s="57"/>
      <c r="H23399" s="18"/>
    </row>
    <row r="23400">
      <c r="C23400" s="18"/>
      <c r="D23400" s="19"/>
      <c r="E23400" s="57"/>
      <c r="H23400" s="18"/>
    </row>
    <row r="23401">
      <c r="C23401" s="18"/>
      <c r="D23401" s="19"/>
      <c r="E23401" s="57"/>
      <c r="H23401" s="18"/>
    </row>
    <row r="23402">
      <c r="C23402" s="18"/>
      <c r="D23402" s="19"/>
      <c r="E23402" s="57"/>
      <c r="H23402" s="18"/>
    </row>
    <row r="23403">
      <c r="C23403" s="18"/>
      <c r="D23403" s="19"/>
      <c r="E23403" s="57"/>
      <c r="H23403" s="18"/>
    </row>
    <row r="23404">
      <c r="C23404" s="18"/>
      <c r="D23404" s="19"/>
      <c r="E23404" s="57"/>
      <c r="H23404" s="18"/>
    </row>
    <row r="23405">
      <c r="C23405" s="18"/>
      <c r="D23405" s="19"/>
      <c r="E23405" s="57"/>
      <c r="H23405" s="18"/>
    </row>
    <row r="23406">
      <c r="C23406" s="18"/>
      <c r="D23406" s="19"/>
      <c r="E23406" s="57"/>
      <c r="H23406" s="18"/>
    </row>
    <row r="23407">
      <c r="C23407" s="18"/>
      <c r="D23407" s="19"/>
      <c r="E23407" s="57"/>
      <c r="H23407" s="18"/>
    </row>
    <row r="23408">
      <c r="C23408" s="18"/>
      <c r="D23408" s="19"/>
      <c r="E23408" s="57"/>
      <c r="H23408" s="18"/>
    </row>
    <row r="23409">
      <c r="C23409" s="18"/>
      <c r="D23409" s="19"/>
      <c r="E23409" s="57"/>
      <c r="H23409" s="18"/>
    </row>
    <row r="23410">
      <c r="C23410" s="18"/>
      <c r="D23410" s="19"/>
      <c r="E23410" s="57"/>
      <c r="H23410" s="18"/>
    </row>
    <row r="23411">
      <c r="C23411" s="18"/>
      <c r="D23411" s="19"/>
      <c r="E23411" s="57"/>
      <c r="H23411" s="18"/>
    </row>
    <row r="23412">
      <c r="C23412" s="18"/>
      <c r="D23412" s="19"/>
      <c r="E23412" s="57"/>
      <c r="H23412" s="18"/>
    </row>
    <row r="23413">
      <c r="C23413" s="18"/>
      <c r="D23413" s="19"/>
      <c r="E23413" s="57"/>
      <c r="H23413" s="18"/>
    </row>
    <row r="23414">
      <c r="C23414" s="18"/>
      <c r="D23414" s="19"/>
      <c r="E23414" s="57"/>
      <c r="H23414" s="18"/>
    </row>
    <row r="23415">
      <c r="C23415" s="18"/>
      <c r="D23415" s="19"/>
      <c r="E23415" s="57"/>
      <c r="H23415" s="18"/>
    </row>
    <row r="23416">
      <c r="C23416" s="18"/>
      <c r="D23416" s="19"/>
      <c r="E23416" s="57"/>
      <c r="H23416" s="18"/>
    </row>
    <row r="23417">
      <c r="C23417" s="18"/>
      <c r="D23417" s="19"/>
      <c r="E23417" s="57"/>
      <c r="H23417" s="18"/>
    </row>
    <row r="23418">
      <c r="C23418" s="18"/>
      <c r="D23418" s="19"/>
      <c r="E23418" s="57"/>
      <c r="H23418" s="18"/>
    </row>
    <row r="23419">
      <c r="C23419" s="18"/>
      <c r="D23419" s="19"/>
      <c r="E23419" s="57"/>
      <c r="H23419" s="18"/>
    </row>
    <row r="23420">
      <c r="C23420" s="18"/>
      <c r="D23420" s="19"/>
      <c r="E23420" s="57"/>
      <c r="H23420" s="18"/>
    </row>
    <row r="23421">
      <c r="C23421" s="18"/>
      <c r="D23421" s="19"/>
      <c r="E23421" s="57"/>
      <c r="H23421" s="18"/>
    </row>
    <row r="23422">
      <c r="C23422" s="18"/>
      <c r="D23422" s="19"/>
      <c r="E23422" s="57"/>
      <c r="H23422" s="18"/>
    </row>
    <row r="23423">
      <c r="C23423" s="18"/>
      <c r="D23423" s="19"/>
      <c r="E23423" s="57"/>
      <c r="H23423" s="18"/>
    </row>
    <row r="23424">
      <c r="C23424" s="18"/>
      <c r="D23424" s="19"/>
      <c r="E23424" s="57"/>
      <c r="H23424" s="18"/>
    </row>
    <row r="23425">
      <c r="C23425" s="18"/>
      <c r="D23425" s="19"/>
      <c r="E23425" s="57"/>
      <c r="H23425" s="18"/>
    </row>
    <row r="23426">
      <c r="C23426" s="18"/>
      <c r="D23426" s="19"/>
      <c r="E23426" s="57"/>
      <c r="H23426" s="18"/>
    </row>
    <row r="23427">
      <c r="C23427" s="18"/>
      <c r="D23427" s="19"/>
      <c r="E23427" s="57"/>
      <c r="H23427" s="18"/>
    </row>
    <row r="23428">
      <c r="C23428" s="18"/>
      <c r="D23428" s="19"/>
      <c r="E23428" s="57"/>
      <c r="H23428" s="18"/>
    </row>
    <row r="23429">
      <c r="C23429" s="18"/>
      <c r="D23429" s="19"/>
      <c r="E23429" s="57"/>
      <c r="H23429" s="18"/>
    </row>
    <row r="23430">
      <c r="C23430" s="18"/>
      <c r="D23430" s="19"/>
      <c r="E23430" s="57"/>
      <c r="H23430" s="18"/>
    </row>
    <row r="23431">
      <c r="C23431" s="18"/>
      <c r="D23431" s="19"/>
      <c r="E23431" s="57"/>
      <c r="H23431" s="18"/>
    </row>
    <row r="23432">
      <c r="C23432" s="18"/>
      <c r="D23432" s="19"/>
      <c r="E23432" s="57"/>
      <c r="H23432" s="18"/>
    </row>
    <row r="23433">
      <c r="C23433" s="18"/>
      <c r="D23433" s="19"/>
      <c r="E23433" s="57"/>
      <c r="H23433" s="18"/>
    </row>
    <row r="23434">
      <c r="C23434" s="18"/>
      <c r="D23434" s="19"/>
      <c r="E23434" s="57"/>
      <c r="H23434" s="18"/>
    </row>
    <row r="23435">
      <c r="C23435" s="18"/>
      <c r="D23435" s="19"/>
      <c r="E23435" s="57"/>
      <c r="H23435" s="18"/>
    </row>
    <row r="23436">
      <c r="C23436" s="18"/>
      <c r="D23436" s="19"/>
      <c r="E23436" s="57"/>
      <c r="H23436" s="18"/>
    </row>
    <row r="23437">
      <c r="C23437" s="18"/>
      <c r="D23437" s="19"/>
      <c r="E23437" s="57"/>
      <c r="H23437" s="18"/>
    </row>
    <row r="23438">
      <c r="C23438" s="18"/>
      <c r="D23438" s="19"/>
      <c r="E23438" s="57"/>
      <c r="H23438" s="18"/>
    </row>
    <row r="23439">
      <c r="C23439" s="18"/>
      <c r="D23439" s="19"/>
      <c r="E23439" s="57"/>
      <c r="H23439" s="18"/>
    </row>
    <row r="23440">
      <c r="C23440" s="18"/>
      <c r="D23440" s="19"/>
      <c r="E23440" s="57"/>
      <c r="H23440" s="18"/>
    </row>
    <row r="23441">
      <c r="C23441" s="18"/>
      <c r="D23441" s="19"/>
      <c r="E23441" s="57"/>
      <c r="H23441" s="18"/>
    </row>
    <row r="23442">
      <c r="C23442" s="18"/>
      <c r="D23442" s="19"/>
      <c r="E23442" s="57"/>
      <c r="H23442" s="18"/>
    </row>
    <row r="23443">
      <c r="C23443" s="18"/>
      <c r="D23443" s="19"/>
      <c r="E23443" s="57"/>
      <c r="H23443" s="18"/>
    </row>
    <row r="23444">
      <c r="C23444" s="18"/>
      <c r="D23444" s="19"/>
      <c r="E23444" s="57"/>
      <c r="H23444" s="18"/>
    </row>
    <row r="23445">
      <c r="C23445" s="18"/>
      <c r="D23445" s="19"/>
      <c r="E23445" s="57"/>
      <c r="H23445" s="18"/>
    </row>
    <row r="23446">
      <c r="C23446" s="18"/>
      <c r="D23446" s="19"/>
      <c r="E23446" s="57"/>
      <c r="H23446" s="18"/>
    </row>
    <row r="23447">
      <c r="C23447" s="18"/>
      <c r="D23447" s="19"/>
      <c r="E23447" s="57"/>
      <c r="H23447" s="18"/>
    </row>
    <row r="23448">
      <c r="C23448" s="18"/>
      <c r="D23448" s="19"/>
      <c r="E23448" s="57"/>
      <c r="H23448" s="18"/>
    </row>
    <row r="23449">
      <c r="C23449" s="18"/>
      <c r="D23449" s="19"/>
      <c r="E23449" s="57"/>
      <c r="H23449" s="18"/>
    </row>
    <row r="23450">
      <c r="C23450" s="18"/>
      <c r="D23450" s="19"/>
      <c r="E23450" s="57"/>
      <c r="H23450" s="18"/>
    </row>
    <row r="23451">
      <c r="C23451" s="18"/>
      <c r="D23451" s="19"/>
      <c r="E23451" s="57"/>
      <c r="H23451" s="18"/>
    </row>
    <row r="23452">
      <c r="C23452" s="18"/>
      <c r="D23452" s="19"/>
      <c r="E23452" s="57"/>
      <c r="H23452" s="18"/>
    </row>
    <row r="23453">
      <c r="C23453" s="18"/>
      <c r="D23453" s="19"/>
      <c r="E23453" s="57"/>
      <c r="H23453" s="18"/>
    </row>
    <row r="23454">
      <c r="C23454" s="18"/>
      <c r="D23454" s="19"/>
      <c r="E23454" s="57"/>
      <c r="H23454" s="18"/>
    </row>
    <row r="23455">
      <c r="C23455" s="18"/>
      <c r="D23455" s="19"/>
      <c r="E23455" s="57"/>
      <c r="H23455" s="18"/>
    </row>
    <row r="23456">
      <c r="C23456" s="18"/>
      <c r="D23456" s="19"/>
      <c r="E23456" s="57"/>
      <c r="H23456" s="18"/>
    </row>
    <row r="23457">
      <c r="C23457" s="18"/>
      <c r="D23457" s="19"/>
      <c r="E23457" s="57"/>
      <c r="H23457" s="18"/>
    </row>
    <row r="23458">
      <c r="C23458" s="18"/>
      <c r="D23458" s="19"/>
      <c r="E23458" s="57"/>
      <c r="H23458" s="18"/>
    </row>
    <row r="23459">
      <c r="C23459" s="18"/>
      <c r="D23459" s="19"/>
      <c r="E23459" s="57"/>
      <c r="H23459" s="18"/>
    </row>
    <row r="23460">
      <c r="C23460" s="18"/>
      <c r="D23460" s="19"/>
      <c r="E23460" s="57"/>
      <c r="H23460" s="18"/>
    </row>
    <row r="23461">
      <c r="C23461" s="18"/>
      <c r="D23461" s="19"/>
      <c r="E23461" s="57"/>
      <c r="H23461" s="18"/>
    </row>
    <row r="23462">
      <c r="C23462" s="18"/>
      <c r="D23462" s="19"/>
      <c r="E23462" s="57"/>
      <c r="H23462" s="18"/>
    </row>
    <row r="23463">
      <c r="C23463" s="18"/>
      <c r="D23463" s="19"/>
      <c r="E23463" s="57"/>
      <c r="H23463" s="18"/>
    </row>
    <row r="23464">
      <c r="C23464" s="18"/>
      <c r="D23464" s="19"/>
      <c r="E23464" s="57"/>
      <c r="H23464" s="18"/>
    </row>
    <row r="23465">
      <c r="C23465" s="18"/>
      <c r="D23465" s="19"/>
      <c r="E23465" s="57"/>
      <c r="H23465" s="18"/>
    </row>
    <row r="23466">
      <c r="C23466" s="18"/>
      <c r="D23466" s="19"/>
      <c r="E23466" s="57"/>
      <c r="H23466" s="18"/>
    </row>
    <row r="23467">
      <c r="C23467" s="18"/>
      <c r="D23467" s="19"/>
      <c r="E23467" s="57"/>
      <c r="H23467" s="18"/>
    </row>
    <row r="23468">
      <c r="C23468" s="18"/>
      <c r="D23468" s="19"/>
      <c r="E23468" s="57"/>
      <c r="H23468" s="18"/>
    </row>
    <row r="23469">
      <c r="C23469" s="18"/>
      <c r="D23469" s="19"/>
      <c r="E23469" s="57"/>
      <c r="H23469" s="18"/>
    </row>
    <row r="23470">
      <c r="C23470" s="18"/>
      <c r="D23470" s="19"/>
      <c r="E23470" s="57"/>
      <c r="H23470" s="18"/>
    </row>
    <row r="23471">
      <c r="C23471" s="18"/>
      <c r="D23471" s="19"/>
      <c r="E23471" s="57"/>
      <c r="H23471" s="18"/>
    </row>
    <row r="23472">
      <c r="C23472" s="18"/>
      <c r="D23472" s="19"/>
      <c r="E23472" s="57"/>
      <c r="H23472" s="18"/>
    </row>
    <row r="23473">
      <c r="C23473" s="18"/>
      <c r="D23473" s="19"/>
      <c r="E23473" s="57"/>
      <c r="H23473" s="18"/>
    </row>
    <row r="23474">
      <c r="C23474" s="18"/>
      <c r="D23474" s="19"/>
      <c r="E23474" s="57"/>
      <c r="H23474" s="18"/>
    </row>
    <row r="23475">
      <c r="C23475" s="18"/>
      <c r="D23475" s="19"/>
      <c r="E23475" s="57"/>
      <c r="H23475" s="18"/>
    </row>
    <row r="23476">
      <c r="C23476" s="18"/>
      <c r="D23476" s="19"/>
      <c r="E23476" s="57"/>
      <c r="H23476" s="18"/>
    </row>
    <row r="23477">
      <c r="C23477" s="18"/>
      <c r="D23477" s="19"/>
      <c r="E23477" s="57"/>
      <c r="H23477" s="18"/>
    </row>
    <row r="23478">
      <c r="C23478" s="18"/>
      <c r="D23478" s="19"/>
      <c r="E23478" s="57"/>
      <c r="H23478" s="18"/>
    </row>
    <row r="23479">
      <c r="C23479" s="18"/>
      <c r="D23479" s="19"/>
      <c r="E23479" s="57"/>
      <c r="H23479" s="18"/>
    </row>
    <row r="23480">
      <c r="C23480" s="18"/>
      <c r="D23480" s="19"/>
      <c r="E23480" s="57"/>
      <c r="H23480" s="18"/>
    </row>
    <row r="23481">
      <c r="C23481" s="18"/>
      <c r="D23481" s="19"/>
      <c r="E23481" s="57"/>
      <c r="H23481" s="18"/>
    </row>
    <row r="23482">
      <c r="C23482" s="18"/>
      <c r="D23482" s="19"/>
      <c r="E23482" s="57"/>
      <c r="H23482" s="18"/>
    </row>
    <row r="23483">
      <c r="C23483" s="18"/>
      <c r="D23483" s="19"/>
      <c r="E23483" s="57"/>
      <c r="H23483" s="18"/>
    </row>
    <row r="23484">
      <c r="C23484" s="18"/>
      <c r="D23484" s="19"/>
      <c r="E23484" s="57"/>
      <c r="H23484" s="18"/>
    </row>
    <row r="23485">
      <c r="C23485" s="18"/>
      <c r="D23485" s="19"/>
      <c r="E23485" s="57"/>
      <c r="H23485" s="18"/>
    </row>
    <row r="23486">
      <c r="C23486" s="18"/>
      <c r="D23486" s="19"/>
      <c r="E23486" s="57"/>
      <c r="H23486" s="18"/>
    </row>
    <row r="23487">
      <c r="C23487" s="18"/>
      <c r="D23487" s="19"/>
      <c r="E23487" s="57"/>
      <c r="H23487" s="18"/>
    </row>
    <row r="23488">
      <c r="C23488" s="18"/>
      <c r="D23488" s="19"/>
      <c r="E23488" s="57"/>
      <c r="H23488" s="18"/>
    </row>
    <row r="23489">
      <c r="C23489" s="18"/>
      <c r="D23489" s="19"/>
      <c r="E23489" s="57"/>
      <c r="H23489" s="18"/>
    </row>
    <row r="23490">
      <c r="C23490" s="18"/>
      <c r="D23490" s="19"/>
      <c r="E23490" s="57"/>
      <c r="H23490" s="18"/>
    </row>
    <row r="23491">
      <c r="C23491" s="18"/>
      <c r="D23491" s="19"/>
      <c r="E23491" s="57"/>
      <c r="H23491" s="18"/>
    </row>
    <row r="23492">
      <c r="C23492" s="18"/>
      <c r="D23492" s="19"/>
      <c r="E23492" s="57"/>
      <c r="H23492" s="18"/>
    </row>
    <row r="23493">
      <c r="C23493" s="18"/>
      <c r="D23493" s="19"/>
      <c r="E23493" s="57"/>
      <c r="H23493" s="18"/>
    </row>
    <row r="23494">
      <c r="C23494" s="18"/>
      <c r="D23494" s="19"/>
      <c r="E23494" s="57"/>
      <c r="H23494" s="18"/>
    </row>
    <row r="23495">
      <c r="C23495" s="18"/>
      <c r="D23495" s="19"/>
      <c r="E23495" s="57"/>
      <c r="H23495" s="18"/>
    </row>
    <row r="23496">
      <c r="C23496" s="18"/>
      <c r="D23496" s="19"/>
      <c r="E23496" s="57"/>
      <c r="H23496" s="18"/>
    </row>
    <row r="23497">
      <c r="C23497" s="18"/>
      <c r="D23497" s="19"/>
      <c r="E23497" s="57"/>
      <c r="H23497" s="18"/>
    </row>
    <row r="23498">
      <c r="C23498" s="18"/>
      <c r="D23498" s="19"/>
      <c r="E23498" s="57"/>
      <c r="H23498" s="18"/>
    </row>
    <row r="23499">
      <c r="C23499" s="18"/>
      <c r="D23499" s="19"/>
      <c r="E23499" s="57"/>
      <c r="H23499" s="18"/>
    </row>
    <row r="23500">
      <c r="C23500" s="18"/>
      <c r="D23500" s="19"/>
      <c r="E23500" s="57"/>
      <c r="H23500" s="18"/>
    </row>
    <row r="23501">
      <c r="C23501" s="18"/>
      <c r="D23501" s="19"/>
      <c r="E23501" s="57"/>
      <c r="H23501" s="18"/>
    </row>
    <row r="23502">
      <c r="C23502" s="18"/>
      <c r="D23502" s="19"/>
      <c r="E23502" s="57"/>
      <c r="H23502" s="18"/>
    </row>
    <row r="23503">
      <c r="C23503" s="18"/>
      <c r="D23503" s="19"/>
      <c r="E23503" s="57"/>
      <c r="H23503" s="18"/>
    </row>
    <row r="23504">
      <c r="C23504" s="18"/>
      <c r="D23504" s="19"/>
      <c r="E23504" s="57"/>
      <c r="H23504" s="18"/>
    </row>
    <row r="23505">
      <c r="C23505" s="18"/>
      <c r="D23505" s="19"/>
      <c r="E23505" s="57"/>
      <c r="H23505" s="18"/>
    </row>
    <row r="23506">
      <c r="C23506" s="18"/>
      <c r="D23506" s="19"/>
      <c r="E23506" s="57"/>
      <c r="H23506" s="18"/>
    </row>
    <row r="23507">
      <c r="C23507" s="18"/>
      <c r="D23507" s="19"/>
      <c r="E23507" s="57"/>
      <c r="H23507" s="18"/>
    </row>
    <row r="23508">
      <c r="C23508" s="18"/>
      <c r="D23508" s="19"/>
      <c r="E23508" s="57"/>
      <c r="H23508" s="18"/>
    </row>
    <row r="23509">
      <c r="C23509" s="18"/>
      <c r="D23509" s="19"/>
      <c r="E23509" s="57"/>
      <c r="H23509" s="18"/>
    </row>
    <row r="23510">
      <c r="C23510" s="18"/>
      <c r="D23510" s="19"/>
      <c r="E23510" s="57"/>
      <c r="H23510" s="18"/>
    </row>
    <row r="23511">
      <c r="C23511" s="18"/>
      <c r="D23511" s="19"/>
      <c r="E23511" s="57"/>
      <c r="H23511" s="18"/>
    </row>
    <row r="23512">
      <c r="C23512" s="18"/>
      <c r="D23512" s="19"/>
      <c r="E23512" s="57"/>
      <c r="H23512" s="18"/>
    </row>
    <row r="23513">
      <c r="C23513" s="18"/>
      <c r="D23513" s="19"/>
      <c r="E23513" s="57"/>
      <c r="H23513" s="18"/>
    </row>
    <row r="23514">
      <c r="C23514" s="18"/>
      <c r="D23514" s="19"/>
      <c r="E23514" s="57"/>
      <c r="H23514" s="18"/>
    </row>
    <row r="23515">
      <c r="C23515" s="18"/>
      <c r="D23515" s="19"/>
      <c r="E23515" s="57"/>
      <c r="H23515" s="18"/>
    </row>
    <row r="23516">
      <c r="C23516" s="18"/>
      <c r="D23516" s="19"/>
      <c r="E23516" s="57"/>
      <c r="H23516" s="18"/>
    </row>
    <row r="23517">
      <c r="C23517" s="18"/>
      <c r="D23517" s="19"/>
      <c r="E23517" s="57"/>
      <c r="H23517" s="18"/>
    </row>
    <row r="23518">
      <c r="C23518" s="18"/>
      <c r="D23518" s="19"/>
      <c r="E23518" s="57"/>
      <c r="H23518" s="18"/>
    </row>
    <row r="23519">
      <c r="C23519" s="18"/>
      <c r="D23519" s="19"/>
      <c r="E23519" s="57"/>
      <c r="H23519" s="18"/>
    </row>
    <row r="23520">
      <c r="C23520" s="18"/>
      <c r="D23520" s="19"/>
      <c r="E23520" s="57"/>
      <c r="H23520" s="18"/>
    </row>
    <row r="23521">
      <c r="C23521" s="18"/>
      <c r="D23521" s="19"/>
      <c r="E23521" s="57"/>
      <c r="H23521" s="18"/>
    </row>
    <row r="23522">
      <c r="C23522" s="18"/>
      <c r="D23522" s="19"/>
      <c r="E23522" s="57"/>
      <c r="H23522" s="18"/>
    </row>
    <row r="23523">
      <c r="C23523" s="18"/>
      <c r="D23523" s="19"/>
      <c r="E23523" s="57"/>
      <c r="H23523" s="18"/>
    </row>
    <row r="23524">
      <c r="C23524" s="18"/>
      <c r="D23524" s="19"/>
      <c r="E23524" s="57"/>
      <c r="H23524" s="18"/>
    </row>
    <row r="23525">
      <c r="C23525" s="18"/>
      <c r="D23525" s="19"/>
      <c r="E23525" s="57"/>
      <c r="H23525" s="18"/>
    </row>
    <row r="23526">
      <c r="C23526" s="18"/>
      <c r="D23526" s="19"/>
      <c r="E23526" s="57"/>
      <c r="H23526" s="18"/>
    </row>
    <row r="23527">
      <c r="C23527" s="18"/>
      <c r="D23527" s="19"/>
      <c r="E23527" s="57"/>
      <c r="H23527" s="18"/>
    </row>
    <row r="23528">
      <c r="C23528" s="18"/>
      <c r="D23528" s="19"/>
      <c r="E23528" s="57"/>
      <c r="H23528" s="18"/>
    </row>
    <row r="23529">
      <c r="C23529" s="18"/>
      <c r="D23529" s="19"/>
      <c r="E23529" s="57"/>
      <c r="H23529" s="18"/>
    </row>
    <row r="23530">
      <c r="C23530" s="18"/>
      <c r="D23530" s="19"/>
      <c r="E23530" s="57"/>
      <c r="H23530" s="18"/>
    </row>
    <row r="23531">
      <c r="C23531" s="18"/>
      <c r="D23531" s="19"/>
      <c r="E23531" s="57"/>
      <c r="H23531" s="18"/>
    </row>
    <row r="23532">
      <c r="C23532" s="18"/>
      <c r="D23532" s="19"/>
      <c r="E23532" s="57"/>
      <c r="H23532" s="18"/>
    </row>
    <row r="23533">
      <c r="C23533" s="18"/>
      <c r="D23533" s="19"/>
      <c r="E23533" s="57"/>
      <c r="H23533" s="18"/>
    </row>
    <row r="23534">
      <c r="C23534" s="18"/>
      <c r="D23534" s="19"/>
      <c r="E23534" s="57"/>
      <c r="H23534" s="18"/>
    </row>
    <row r="23535">
      <c r="C23535" s="18"/>
      <c r="D23535" s="19"/>
      <c r="E23535" s="57"/>
      <c r="H23535" s="18"/>
    </row>
    <row r="23536">
      <c r="C23536" s="18"/>
      <c r="D23536" s="19"/>
      <c r="E23536" s="57"/>
      <c r="H23536" s="18"/>
    </row>
    <row r="23537">
      <c r="C23537" s="18"/>
      <c r="D23537" s="19"/>
      <c r="E23537" s="57"/>
      <c r="H23537" s="18"/>
    </row>
    <row r="23538">
      <c r="C23538" s="18"/>
      <c r="D23538" s="19"/>
      <c r="E23538" s="57"/>
      <c r="H23538" s="18"/>
    </row>
    <row r="23539">
      <c r="C23539" s="18"/>
      <c r="D23539" s="19"/>
      <c r="E23539" s="57"/>
      <c r="H23539" s="18"/>
    </row>
    <row r="23540">
      <c r="C23540" s="18"/>
      <c r="D23540" s="19"/>
      <c r="E23540" s="57"/>
      <c r="H23540" s="18"/>
    </row>
    <row r="23541">
      <c r="C23541" s="18"/>
      <c r="D23541" s="19"/>
      <c r="E23541" s="57"/>
      <c r="H23541" s="18"/>
    </row>
    <row r="23542">
      <c r="C23542" s="18"/>
      <c r="D23542" s="19"/>
      <c r="E23542" s="57"/>
      <c r="H23542" s="18"/>
    </row>
    <row r="23543">
      <c r="C23543" s="18"/>
      <c r="D23543" s="19"/>
      <c r="E23543" s="57"/>
      <c r="H23543" s="18"/>
    </row>
    <row r="23544">
      <c r="C23544" s="18"/>
      <c r="D23544" s="19"/>
      <c r="E23544" s="57"/>
      <c r="H23544" s="18"/>
    </row>
    <row r="23545">
      <c r="C23545" s="18"/>
      <c r="D23545" s="19"/>
      <c r="E23545" s="57"/>
      <c r="H23545" s="18"/>
    </row>
    <row r="23546">
      <c r="C23546" s="18"/>
      <c r="D23546" s="19"/>
      <c r="E23546" s="57"/>
      <c r="H23546" s="18"/>
    </row>
    <row r="23547">
      <c r="C23547" s="18"/>
      <c r="D23547" s="19"/>
      <c r="E23547" s="57"/>
      <c r="H23547" s="18"/>
    </row>
    <row r="23548">
      <c r="C23548" s="18"/>
      <c r="D23548" s="19"/>
      <c r="E23548" s="57"/>
      <c r="H23548" s="18"/>
    </row>
    <row r="23549">
      <c r="C23549" s="18"/>
      <c r="D23549" s="19"/>
      <c r="E23549" s="57"/>
      <c r="H23549" s="18"/>
    </row>
    <row r="23550">
      <c r="C23550" s="18"/>
      <c r="D23550" s="19"/>
      <c r="E23550" s="57"/>
      <c r="H23550" s="18"/>
    </row>
    <row r="23551">
      <c r="C23551" s="18"/>
      <c r="D23551" s="19"/>
      <c r="E23551" s="57"/>
      <c r="H23551" s="18"/>
    </row>
    <row r="23552">
      <c r="C23552" s="18"/>
      <c r="D23552" s="19"/>
      <c r="E23552" s="57"/>
      <c r="H23552" s="18"/>
    </row>
    <row r="23553">
      <c r="C23553" s="18"/>
      <c r="D23553" s="19"/>
      <c r="E23553" s="57"/>
      <c r="H23553" s="18"/>
    </row>
    <row r="23554">
      <c r="C23554" s="18"/>
      <c r="D23554" s="19"/>
      <c r="E23554" s="57"/>
      <c r="H23554" s="18"/>
    </row>
    <row r="23555">
      <c r="C23555" s="18"/>
      <c r="D23555" s="19"/>
      <c r="E23555" s="57"/>
      <c r="H23555" s="18"/>
    </row>
    <row r="23556">
      <c r="C23556" s="18"/>
      <c r="D23556" s="19"/>
      <c r="E23556" s="57"/>
      <c r="H23556" s="18"/>
    </row>
    <row r="23557">
      <c r="C23557" s="18"/>
      <c r="D23557" s="19"/>
      <c r="E23557" s="57"/>
      <c r="H23557" s="18"/>
    </row>
    <row r="23558">
      <c r="C23558" s="18"/>
      <c r="D23558" s="19"/>
      <c r="E23558" s="57"/>
      <c r="H23558" s="18"/>
    </row>
    <row r="23559">
      <c r="C23559" s="18"/>
      <c r="D23559" s="19"/>
      <c r="E23559" s="57"/>
      <c r="H23559" s="18"/>
    </row>
    <row r="23560">
      <c r="C23560" s="18"/>
      <c r="D23560" s="19"/>
      <c r="E23560" s="57"/>
      <c r="H23560" s="18"/>
    </row>
    <row r="23561">
      <c r="C23561" s="18"/>
      <c r="D23561" s="19"/>
      <c r="E23561" s="57"/>
      <c r="H23561" s="18"/>
    </row>
    <row r="23562">
      <c r="C23562" s="18"/>
      <c r="D23562" s="19"/>
      <c r="E23562" s="57"/>
      <c r="H23562" s="18"/>
    </row>
    <row r="23563">
      <c r="C23563" s="18"/>
      <c r="D23563" s="19"/>
      <c r="E23563" s="57"/>
      <c r="H23563" s="18"/>
    </row>
    <row r="23564">
      <c r="C23564" s="18"/>
      <c r="D23564" s="19"/>
      <c r="E23564" s="57"/>
      <c r="H23564" s="18"/>
    </row>
    <row r="23565">
      <c r="C23565" s="18"/>
      <c r="D23565" s="19"/>
      <c r="E23565" s="57"/>
      <c r="H23565" s="18"/>
    </row>
    <row r="23566">
      <c r="C23566" s="18"/>
      <c r="D23566" s="19"/>
      <c r="E23566" s="57"/>
      <c r="H23566" s="18"/>
    </row>
    <row r="23567">
      <c r="C23567" s="18"/>
      <c r="D23567" s="19"/>
      <c r="E23567" s="57"/>
      <c r="H23567" s="18"/>
    </row>
    <row r="23568">
      <c r="C23568" s="18"/>
      <c r="D23568" s="19"/>
      <c r="E23568" s="57"/>
      <c r="H23568" s="18"/>
    </row>
    <row r="23569">
      <c r="C23569" s="18"/>
      <c r="D23569" s="19"/>
      <c r="E23569" s="57"/>
      <c r="H23569" s="18"/>
    </row>
    <row r="23570">
      <c r="C23570" s="18"/>
      <c r="D23570" s="19"/>
      <c r="E23570" s="57"/>
      <c r="H23570" s="18"/>
    </row>
    <row r="23571">
      <c r="C23571" s="18"/>
      <c r="D23571" s="19"/>
      <c r="E23571" s="57"/>
      <c r="H23571" s="18"/>
    </row>
    <row r="23572">
      <c r="C23572" s="18"/>
      <c r="D23572" s="19"/>
      <c r="E23572" s="57"/>
      <c r="H23572" s="18"/>
    </row>
    <row r="23573">
      <c r="C23573" s="18"/>
      <c r="D23573" s="19"/>
      <c r="E23573" s="57"/>
      <c r="H23573" s="18"/>
    </row>
    <row r="23574">
      <c r="C23574" s="18"/>
      <c r="D23574" s="19"/>
      <c r="E23574" s="57"/>
      <c r="H23574" s="18"/>
    </row>
    <row r="23575">
      <c r="C23575" s="18"/>
      <c r="D23575" s="19"/>
      <c r="E23575" s="57"/>
      <c r="H23575" s="18"/>
    </row>
    <row r="23576">
      <c r="C23576" s="18"/>
      <c r="D23576" s="19"/>
      <c r="E23576" s="57"/>
      <c r="H23576" s="18"/>
    </row>
    <row r="23577">
      <c r="C23577" s="18"/>
      <c r="D23577" s="19"/>
      <c r="E23577" s="57"/>
      <c r="H23577" s="18"/>
    </row>
    <row r="23578">
      <c r="C23578" s="18"/>
      <c r="D23578" s="19"/>
      <c r="E23578" s="57"/>
      <c r="H23578" s="18"/>
    </row>
    <row r="23579">
      <c r="C23579" s="18"/>
      <c r="D23579" s="19"/>
      <c r="E23579" s="57"/>
      <c r="H23579" s="18"/>
    </row>
    <row r="23580">
      <c r="C23580" s="18"/>
      <c r="D23580" s="19"/>
      <c r="E23580" s="57"/>
      <c r="H23580" s="18"/>
    </row>
    <row r="23581">
      <c r="C23581" s="18"/>
      <c r="D23581" s="19"/>
      <c r="E23581" s="57"/>
      <c r="H23581" s="18"/>
    </row>
    <row r="23582">
      <c r="C23582" s="18"/>
      <c r="D23582" s="19"/>
      <c r="E23582" s="57"/>
      <c r="H23582" s="18"/>
    </row>
    <row r="23583">
      <c r="C23583" s="18"/>
      <c r="D23583" s="19"/>
      <c r="E23583" s="57"/>
      <c r="H23583" s="18"/>
    </row>
    <row r="23584">
      <c r="C23584" s="18"/>
      <c r="D23584" s="19"/>
      <c r="E23584" s="57"/>
      <c r="H23584" s="18"/>
    </row>
    <row r="23585">
      <c r="C23585" s="18"/>
      <c r="D23585" s="19"/>
      <c r="E23585" s="57"/>
      <c r="H23585" s="18"/>
    </row>
    <row r="23586">
      <c r="C23586" s="18"/>
      <c r="D23586" s="19"/>
      <c r="E23586" s="57"/>
      <c r="H23586" s="18"/>
    </row>
    <row r="23587">
      <c r="C23587" s="18"/>
      <c r="D23587" s="19"/>
      <c r="E23587" s="57"/>
      <c r="H23587" s="18"/>
    </row>
    <row r="23588">
      <c r="C23588" s="18"/>
      <c r="D23588" s="19"/>
      <c r="E23588" s="57"/>
      <c r="H23588" s="18"/>
    </row>
    <row r="23589">
      <c r="C23589" s="18"/>
      <c r="D23589" s="19"/>
      <c r="E23589" s="57"/>
      <c r="H23589" s="18"/>
    </row>
    <row r="23590">
      <c r="C23590" s="18"/>
      <c r="D23590" s="19"/>
      <c r="E23590" s="57"/>
      <c r="H23590" s="18"/>
    </row>
    <row r="23591">
      <c r="C23591" s="18"/>
      <c r="D23591" s="19"/>
      <c r="E23591" s="57"/>
      <c r="H23591" s="18"/>
    </row>
    <row r="23592">
      <c r="C23592" s="18"/>
      <c r="D23592" s="19"/>
      <c r="E23592" s="57"/>
      <c r="H23592" s="18"/>
    </row>
    <row r="23593">
      <c r="C23593" s="18"/>
      <c r="D23593" s="19"/>
      <c r="E23593" s="57"/>
      <c r="H23593" s="18"/>
    </row>
    <row r="23594">
      <c r="C23594" s="18"/>
      <c r="D23594" s="19"/>
      <c r="E23594" s="57"/>
      <c r="H23594" s="18"/>
    </row>
    <row r="23595">
      <c r="C23595" s="18"/>
      <c r="D23595" s="19"/>
      <c r="E23595" s="57"/>
      <c r="H23595" s="18"/>
    </row>
    <row r="23596">
      <c r="C23596" s="18"/>
      <c r="D23596" s="19"/>
      <c r="E23596" s="57"/>
      <c r="H23596" s="18"/>
    </row>
    <row r="23597">
      <c r="C23597" s="18"/>
      <c r="D23597" s="19"/>
      <c r="E23597" s="57"/>
      <c r="H23597" s="18"/>
    </row>
    <row r="23598">
      <c r="C23598" s="18"/>
      <c r="D23598" s="19"/>
      <c r="E23598" s="57"/>
      <c r="H23598" s="18"/>
    </row>
    <row r="23599">
      <c r="C23599" s="18"/>
      <c r="D23599" s="19"/>
      <c r="E23599" s="57"/>
      <c r="H23599" s="18"/>
    </row>
    <row r="23600">
      <c r="C23600" s="18"/>
      <c r="D23600" s="19"/>
      <c r="E23600" s="57"/>
      <c r="H23600" s="18"/>
    </row>
    <row r="23601">
      <c r="C23601" s="18"/>
      <c r="D23601" s="19"/>
      <c r="E23601" s="57"/>
      <c r="H23601" s="18"/>
    </row>
    <row r="23602">
      <c r="C23602" s="18"/>
      <c r="D23602" s="19"/>
      <c r="E23602" s="57"/>
      <c r="H23602" s="18"/>
    </row>
    <row r="23603">
      <c r="C23603" s="18"/>
      <c r="D23603" s="19"/>
      <c r="E23603" s="57"/>
      <c r="H23603" s="18"/>
    </row>
    <row r="23604">
      <c r="C23604" s="18"/>
      <c r="D23604" s="19"/>
      <c r="E23604" s="57"/>
      <c r="H23604" s="18"/>
    </row>
    <row r="23605">
      <c r="C23605" s="18"/>
      <c r="D23605" s="19"/>
      <c r="E23605" s="57"/>
      <c r="H23605" s="18"/>
    </row>
    <row r="23606">
      <c r="C23606" s="18"/>
      <c r="D23606" s="19"/>
      <c r="E23606" s="57"/>
      <c r="H23606" s="18"/>
    </row>
    <row r="23607">
      <c r="C23607" s="18"/>
      <c r="D23607" s="19"/>
      <c r="E23607" s="57"/>
      <c r="H23607" s="18"/>
    </row>
    <row r="23608">
      <c r="C23608" s="18"/>
      <c r="D23608" s="19"/>
      <c r="E23608" s="57"/>
      <c r="H23608" s="18"/>
    </row>
    <row r="23609">
      <c r="C23609" s="18"/>
      <c r="D23609" s="19"/>
      <c r="E23609" s="57"/>
      <c r="H23609" s="18"/>
    </row>
    <row r="23610">
      <c r="C23610" s="18"/>
      <c r="D23610" s="19"/>
      <c r="E23610" s="57"/>
      <c r="H23610" s="18"/>
    </row>
    <row r="23611">
      <c r="C23611" s="18"/>
      <c r="D23611" s="19"/>
      <c r="E23611" s="57"/>
      <c r="H23611" s="18"/>
    </row>
    <row r="23612">
      <c r="C23612" s="18"/>
      <c r="D23612" s="19"/>
      <c r="E23612" s="57"/>
      <c r="H23612" s="18"/>
    </row>
    <row r="23613">
      <c r="C23613" s="18"/>
      <c r="D23613" s="19"/>
      <c r="E23613" s="57"/>
      <c r="H23613" s="18"/>
    </row>
    <row r="23614">
      <c r="C23614" s="18"/>
      <c r="D23614" s="19"/>
      <c r="E23614" s="57"/>
      <c r="H23614" s="18"/>
    </row>
    <row r="23615">
      <c r="C23615" s="18"/>
      <c r="D23615" s="19"/>
      <c r="E23615" s="57"/>
      <c r="H23615" s="18"/>
    </row>
    <row r="23616">
      <c r="C23616" s="18"/>
      <c r="D23616" s="19"/>
      <c r="E23616" s="57"/>
      <c r="H23616" s="18"/>
    </row>
    <row r="23617">
      <c r="C23617" s="18"/>
      <c r="D23617" s="19"/>
      <c r="E23617" s="57"/>
      <c r="H23617" s="18"/>
    </row>
    <row r="23618">
      <c r="C23618" s="18"/>
      <c r="D23618" s="19"/>
      <c r="E23618" s="57"/>
      <c r="H23618" s="18"/>
    </row>
    <row r="23619">
      <c r="C23619" s="18"/>
      <c r="D23619" s="19"/>
      <c r="E23619" s="57"/>
      <c r="H23619" s="18"/>
    </row>
    <row r="23620">
      <c r="C23620" s="18"/>
      <c r="D23620" s="19"/>
      <c r="E23620" s="57"/>
      <c r="H23620" s="18"/>
    </row>
    <row r="23621">
      <c r="C23621" s="18"/>
      <c r="D23621" s="19"/>
      <c r="E23621" s="57"/>
      <c r="H23621" s="18"/>
    </row>
    <row r="23622">
      <c r="C23622" s="18"/>
      <c r="D23622" s="19"/>
      <c r="E23622" s="57"/>
      <c r="H23622" s="18"/>
    </row>
    <row r="23623">
      <c r="C23623" s="18"/>
      <c r="D23623" s="19"/>
      <c r="E23623" s="57"/>
      <c r="H23623" s="18"/>
    </row>
    <row r="23624">
      <c r="C23624" s="18"/>
      <c r="D23624" s="19"/>
      <c r="E23624" s="57"/>
      <c r="H23624" s="18"/>
    </row>
    <row r="23625">
      <c r="C23625" s="18"/>
      <c r="D23625" s="19"/>
      <c r="E23625" s="57"/>
      <c r="H23625" s="18"/>
    </row>
    <row r="23626">
      <c r="C23626" s="18"/>
      <c r="D23626" s="19"/>
      <c r="E23626" s="57"/>
      <c r="H23626" s="18"/>
    </row>
    <row r="23627">
      <c r="C23627" s="18"/>
      <c r="D23627" s="19"/>
      <c r="E23627" s="57"/>
      <c r="H23627" s="18"/>
    </row>
    <row r="23628">
      <c r="C23628" s="18"/>
      <c r="D23628" s="19"/>
      <c r="E23628" s="57"/>
      <c r="H23628" s="18"/>
    </row>
    <row r="23629">
      <c r="C23629" s="18"/>
      <c r="D23629" s="19"/>
      <c r="E23629" s="57"/>
      <c r="H23629" s="18"/>
    </row>
    <row r="23630">
      <c r="C23630" s="18"/>
      <c r="D23630" s="19"/>
      <c r="E23630" s="57"/>
      <c r="H23630" s="18"/>
    </row>
    <row r="23631">
      <c r="C23631" s="18"/>
      <c r="D23631" s="19"/>
      <c r="E23631" s="57"/>
      <c r="H23631" s="18"/>
    </row>
    <row r="23632">
      <c r="C23632" s="18"/>
      <c r="D23632" s="19"/>
      <c r="E23632" s="57"/>
      <c r="H23632" s="18"/>
    </row>
    <row r="23633">
      <c r="C23633" s="18"/>
      <c r="D23633" s="19"/>
      <c r="E23633" s="57"/>
      <c r="H23633" s="18"/>
    </row>
    <row r="23634">
      <c r="C23634" s="18"/>
      <c r="D23634" s="19"/>
      <c r="E23634" s="57"/>
      <c r="H23634" s="18"/>
    </row>
    <row r="23635">
      <c r="C23635" s="18"/>
      <c r="D23635" s="19"/>
      <c r="E23635" s="57"/>
      <c r="H23635" s="18"/>
    </row>
    <row r="23636">
      <c r="C23636" s="18"/>
      <c r="D23636" s="19"/>
      <c r="E23636" s="57"/>
      <c r="H23636" s="18"/>
    </row>
    <row r="23637">
      <c r="C23637" s="18"/>
      <c r="D23637" s="19"/>
      <c r="E23637" s="57"/>
      <c r="H23637" s="18"/>
    </row>
    <row r="23638">
      <c r="C23638" s="18"/>
      <c r="D23638" s="19"/>
      <c r="E23638" s="57"/>
      <c r="H23638" s="18"/>
    </row>
    <row r="23639">
      <c r="C23639" s="18"/>
      <c r="D23639" s="19"/>
      <c r="E23639" s="57"/>
      <c r="H23639" s="18"/>
    </row>
    <row r="23640">
      <c r="C23640" s="18"/>
      <c r="D23640" s="19"/>
      <c r="E23640" s="57"/>
      <c r="H23640" s="18"/>
    </row>
    <row r="23641">
      <c r="C23641" s="18"/>
      <c r="D23641" s="19"/>
      <c r="E23641" s="57"/>
      <c r="H23641" s="18"/>
    </row>
    <row r="23642">
      <c r="C23642" s="18"/>
      <c r="D23642" s="19"/>
      <c r="E23642" s="57"/>
      <c r="H23642" s="18"/>
    </row>
    <row r="23643">
      <c r="C23643" s="18"/>
      <c r="D23643" s="19"/>
      <c r="E23643" s="57"/>
      <c r="H23643" s="18"/>
    </row>
    <row r="23644">
      <c r="C23644" s="18"/>
      <c r="D23644" s="19"/>
      <c r="E23644" s="57"/>
      <c r="H23644" s="18"/>
    </row>
    <row r="23645">
      <c r="C23645" s="18"/>
      <c r="D23645" s="19"/>
      <c r="E23645" s="57"/>
      <c r="H23645" s="18"/>
    </row>
    <row r="23646">
      <c r="C23646" s="18"/>
      <c r="D23646" s="19"/>
      <c r="E23646" s="57"/>
      <c r="H23646" s="18"/>
    </row>
    <row r="23647">
      <c r="C23647" s="18"/>
      <c r="D23647" s="19"/>
      <c r="E23647" s="57"/>
      <c r="H23647" s="18"/>
    </row>
    <row r="23648">
      <c r="C23648" s="18"/>
      <c r="D23648" s="19"/>
      <c r="E23648" s="57"/>
      <c r="H23648" s="18"/>
    </row>
    <row r="23649">
      <c r="C23649" s="18"/>
      <c r="D23649" s="19"/>
      <c r="E23649" s="57"/>
      <c r="H23649" s="18"/>
    </row>
    <row r="23650">
      <c r="C23650" s="18"/>
      <c r="D23650" s="19"/>
      <c r="E23650" s="57"/>
      <c r="H23650" s="18"/>
    </row>
    <row r="23651">
      <c r="C23651" s="18"/>
      <c r="D23651" s="19"/>
      <c r="E23651" s="57"/>
      <c r="H23651" s="18"/>
    </row>
    <row r="23652">
      <c r="C23652" s="18"/>
      <c r="D23652" s="19"/>
      <c r="E23652" s="57"/>
      <c r="H23652" s="18"/>
    </row>
    <row r="23653">
      <c r="C23653" s="18"/>
      <c r="D23653" s="19"/>
      <c r="E23653" s="57"/>
      <c r="H23653" s="18"/>
    </row>
    <row r="23654">
      <c r="C23654" s="18"/>
      <c r="D23654" s="19"/>
      <c r="E23654" s="57"/>
      <c r="H23654" s="18"/>
    </row>
    <row r="23655">
      <c r="C23655" s="18"/>
      <c r="D23655" s="19"/>
      <c r="E23655" s="57"/>
      <c r="H23655" s="18"/>
    </row>
    <row r="23656">
      <c r="C23656" s="18"/>
      <c r="D23656" s="19"/>
      <c r="E23656" s="57"/>
      <c r="H23656" s="18"/>
    </row>
    <row r="23657">
      <c r="C23657" s="18"/>
      <c r="D23657" s="19"/>
      <c r="E23657" s="57"/>
      <c r="H23657" s="18"/>
    </row>
    <row r="23658">
      <c r="C23658" s="18"/>
      <c r="D23658" s="19"/>
      <c r="E23658" s="57"/>
      <c r="H23658" s="18"/>
    </row>
    <row r="23659">
      <c r="C23659" s="18"/>
      <c r="D23659" s="19"/>
      <c r="E23659" s="57"/>
      <c r="H23659" s="18"/>
    </row>
    <row r="23660">
      <c r="C23660" s="18"/>
      <c r="D23660" s="19"/>
      <c r="E23660" s="57"/>
      <c r="H23660" s="18"/>
    </row>
    <row r="23661">
      <c r="C23661" s="18"/>
      <c r="D23661" s="19"/>
      <c r="E23661" s="57"/>
      <c r="H23661" s="18"/>
    </row>
    <row r="23662">
      <c r="C23662" s="18"/>
      <c r="D23662" s="19"/>
      <c r="E23662" s="57"/>
      <c r="H23662" s="18"/>
    </row>
    <row r="23663">
      <c r="C23663" s="18"/>
      <c r="D23663" s="19"/>
      <c r="E23663" s="57"/>
      <c r="H23663" s="18"/>
    </row>
    <row r="23664">
      <c r="C23664" s="18"/>
      <c r="D23664" s="19"/>
      <c r="E23664" s="57"/>
      <c r="H23664" s="18"/>
    </row>
    <row r="23665">
      <c r="C23665" s="18"/>
      <c r="D23665" s="19"/>
      <c r="E23665" s="57"/>
      <c r="H23665" s="18"/>
    </row>
    <row r="23666">
      <c r="C23666" s="18"/>
      <c r="D23666" s="19"/>
      <c r="E23666" s="57"/>
      <c r="H23666" s="18"/>
    </row>
    <row r="23667">
      <c r="C23667" s="18"/>
      <c r="D23667" s="19"/>
      <c r="E23667" s="57"/>
      <c r="H23667" s="18"/>
    </row>
    <row r="23668">
      <c r="C23668" s="18"/>
      <c r="D23668" s="19"/>
      <c r="E23668" s="57"/>
      <c r="H23668" s="18"/>
    </row>
    <row r="23669">
      <c r="C23669" s="18"/>
      <c r="D23669" s="19"/>
      <c r="E23669" s="57"/>
      <c r="H23669" s="18"/>
    </row>
    <row r="23670">
      <c r="C23670" s="18"/>
      <c r="D23670" s="19"/>
      <c r="E23670" s="57"/>
      <c r="H23670" s="18"/>
    </row>
    <row r="23671">
      <c r="C23671" s="18"/>
      <c r="D23671" s="19"/>
      <c r="E23671" s="57"/>
      <c r="H23671" s="18"/>
    </row>
    <row r="23672">
      <c r="C23672" s="18"/>
      <c r="D23672" s="19"/>
      <c r="E23672" s="57"/>
      <c r="H23672" s="18"/>
    </row>
    <row r="23673">
      <c r="C23673" s="18"/>
      <c r="D23673" s="19"/>
      <c r="E23673" s="57"/>
      <c r="H23673" s="18"/>
    </row>
    <row r="23674">
      <c r="C23674" s="18"/>
      <c r="D23674" s="19"/>
      <c r="E23674" s="57"/>
      <c r="H23674" s="18"/>
    </row>
    <row r="23675">
      <c r="C23675" s="18"/>
      <c r="D23675" s="19"/>
      <c r="E23675" s="57"/>
      <c r="H23675" s="18"/>
    </row>
    <row r="23676">
      <c r="C23676" s="18"/>
      <c r="D23676" s="19"/>
      <c r="E23676" s="57"/>
      <c r="H23676" s="18"/>
    </row>
    <row r="23677">
      <c r="C23677" s="18"/>
      <c r="D23677" s="19"/>
      <c r="E23677" s="57"/>
      <c r="H23677" s="18"/>
    </row>
    <row r="23678">
      <c r="C23678" s="18"/>
      <c r="D23678" s="19"/>
      <c r="E23678" s="57"/>
      <c r="H23678" s="18"/>
    </row>
    <row r="23679">
      <c r="C23679" s="18"/>
      <c r="D23679" s="19"/>
      <c r="E23679" s="57"/>
      <c r="H23679" s="18"/>
    </row>
    <row r="23680">
      <c r="C23680" s="18"/>
      <c r="D23680" s="19"/>
      <c r="E23680" s="57"/>
      <c r="H23680" s="18"/>
    </row>
    <row r="23681">
      <c r="C23681" s="18"/>
      <c r="D23681" s="19"/>
      <c r="E23681" s="57"/>
      <c r="H23681" s="18"/>
    </row>
    <row r="23682">
      <c r="C23682" s="18"/>
      <c r="D23682" s="19"/>
      <c r="E23682" s="57"/>
      <c r="H23682" s="18"/>
    </row>
    <row r="23683">
      <c r="C23683" s="18"/>
      <c r="D23683" s="19"/>
      <c r="E23683" s="57"/>
      <c r="H23683" s="18"/>
    </row>
    <row r="23684">
      <c r="C23684" s="18"/>
      <c r="D23684" s="19"/>
      <c r="E23684" s="57"/>
      <c r="H23684" s="18"/>
    </row>
    <row r="23685">
      <c r="C23685" s="18"/>
      <c r="D23685" s="19"/>
      <c r="E23685" s="57"/>
      <c r="H23685" s="18"/>
    </row>
    <row r="23686">
      <c r="C23686" s="18"/>
      <c r="D23686" s="19"/>
      <c r="E23686" s="57"/>
      <c r="H23686" s="18"/>
    </row>
    <row r="23687">
      <c r="C23687" s="18"/>
      <c r="D23687" s="19"/>
      <c r="E23687" s="57"/>
      <c r="H23687" s="18"/>
    </row>
    <row r="23688">
      <c r="C23688" s="18"/>
      <c r="D23688" s="19"/>
      <c r="E23688" s="57"/>
      <c r="H23688" s="18"/>
    </row>
    <row r="23689">
      <c r="C23689" s="18"/>
      <c r="D23689" s="19"/>
      <c r="E23689" s="57"/>
      <c r="H23689" s="18"/>
    </row>
    <row r="23690">
      <c r="C23690" s="18"/>
      <c r="D23690" s="19"/>
      <c r="E23690" s="57"/>
      <c r="H23690" s="18"/>
    </row>
    <row r="23691">
      <c r="C23691" s="18"/>
      <c r="D23691" s="19"/>
      <c r="E23691" s="57"/>
      <c r="H23691" s="18"/>
    </row>
    <row r="23692">
      <c r="C23692" s="18"/>
      <c r="D23692" s="19"/>
      <c r="E23692" s="57"/>
      <c r="H23692" s="18"/>
    </row>
    <row r="23693">
      <c r="C23693" s="18"/>
      <c r="D23693" s="19"/>
      <c r="E23693" s="57"/>
      <c r="H23693" s="18"/>
    </row>
    <row r="23694">
      <c r="C23694" s="18"/>
      <c r="D23694" s="19"/>
      <c r="E23694" s="57"/>
      <c r="H23694" s="18"/>
    </row>
    <row r="23695">
      <c r="C23695" s="18"/>
      <c r="D23695" s="19"/>
      <c r="E23695" s="57"/>
      <c r="H23695" s="18"/>
    </row>
    <row r="23696">
      <c r="C23696" s="18"/>
      <c r="D23696" s="19"/>
      <c r="E23696" s="57"/>
      <c r="H23696" s="18"/>
    </row>
    <row r="23697">
      <c r="C23697" s="18"/>
      <c r="D23697" s="19"/>
      <c r="E23697" s="57"/>
      <c r="H23697" s="18"/>
    </row>
    <row r="23698">
      <c r="C23698" s="18"/>
      <c r="D23698" s="19"/>
      <c r="E23698" s="57"/>
      <c r="H23698" s="18"/>
    </row>
    <row r="23699">
      <c r="C23699" s="18"/>
      <c r="D23699" s="19"/>
      <c r="E23699" s="57"/>
      <c r="H23699" s="18"/>
    </row>
    <row r="23700">
      <c r="C23700" s="18"/>
      <c r="D23700" s="19"/>
      <c r="E23700" s="57"/>
      <c r="H23700" s="18"/>
    </row>
    <row r="23701">
      <c r="C23701" s="18"/>
      <c r="D23701" s="19"/>
      <c r="E23701" s="57"/>
      <c r="H23701" s="18"/>
    </row>
    <row r="23702">
      <c r="C23702" s="18"/>
      <c r="D23702" s="19"/>
      <c r="E23702" s="57"/>
      <c r="H23702" s="18"/>
    </row>
    <row r="23703">
      <c r="C23703" s="18"/>
      <c r="D23703" s="19"/>
      <c r="E23703" s="57"/>
      <c r="H23703" s="18"/>
    </row>
    <row r="23704">
      <c r="C23704" s="18"/>
      <c r="D23704" s="19"/>
      <c r="E23704" s="57"/>
      <c r="H23704" s="18"/>
    </row>
    <row r="23705">
      <c r="C23705" s="18"/>
      <c r="D23705" s="19"/>
      <c r="E23705" s="57"/>
      <c r="H23705" s="18"/>
    </row>
    <row r="23706">
      <c r="C23706" s="18"/>
      <c r="D23706" s="19"/>
      <c r="E23706" s="57"/>
      <c r="H23706" s="18"/>
    </row>
    <row r="23707">
      <c r="C23707" s="18"/>
      <c r="D23707" s="19"/>
      <c r="E23707" s="57"/>
      <c r="H23707" s="18"/>
    </row>
    <row r="23708">
      <c r="C23708" s="18"/>
      <c r="D23708" s="19"/>
      <c r="E23708" s="57"/>
      <c r="H23708" s="18"/>
    </row>
    <row r="23709">
      <c r="C23709" s="18"/>
      <c r="D23709" s="19"/>
      <c r="E23709" s="57"/>
      <c r="H23709" s="18"/>
    </row>
    <row r="23710">
      <c r="C23710" s="18"/>
      <c r="D23710" s="19"/>
      <c r="E23710" s="57"/>
      <c r="H23710" s="18"/>
    </row>
    <row r="23711">
      <c r="C23711" s="18"/>
      <c r="D23711" s="19"/>
      <c r="E23711" s="57"/>
      <c r="H23711" s="18"/>
    </row>
    <row r="23712">
      <c r="C23712" s="18"/>
      <c r="D23712" s="19"/>
      <c r="E23712" s="57"/>
      <c r="H23712" s="18"/>
    </row>
    <row r="23713">
      <c r="C23713" s="18"/>
      <c r="D23713" s="19"/>
      <c r="E23713" s="57"/>
      <c r="H23713" s="18"/>
    </row>
    <row r="23714">
      <c r="C23714" s="18"/>
      <c r="D23714" s="19"/>
      <c r="E23714" s="57"/>
      <c r="H23714" s="18"/>
    </row>
    <row r="23715">
      <c r="C23715" s="18"/>
      <c r="D23715" s="19"/>
      <c r="E23715" s="57"/>
      <c r="H23715" s="18"/>
    </row>
    <row r="23716">
      <c r="C23716" s="18"/>
      <c r="D23716" s="19"/>
      <c r="E23716" s="57"/>
      <c r="H23716" s="18"/>
    </row>
    <row r="23717">
      <c r="C23717" s="18"/>
      <c r="D23717" s="19"/>
      <c r="E23717" s="57"/>
      <c r="H23717" s="18"/>
    </row>
    <row r="23718">
      <c r="C23718" s="18"/>
      <c r="D23718" s="19"/>
      <c r="E23718" s="57"/>
      <c r="H23718" s="18"/>
    </row>
    <row r="23719">
      <c r="C23719" s="18"/>
      <c r="D23719" s="19"/>
      <c r="E23719" s="57"/>
      <c r="H23719" s="18"/>
    </row>
    <row r="23720">
      <c r="C23720" s="18"/>
      <c r="D23720" s="19"/>
      <c r="E23720" s="57"/>
      <c r="H23720" s="18"/>
    </row>
    <row r="23721">
      <c r="C23721" s="18"/>
      <c r="D23721" s="19"/>
      <c r="E23721" s="57"/>
      <c r="H23721" s="18"/>
    </row>
    <row r="23722">
      <c r="C23722" s="18"/>
      <c r="D23722" s="19"/>
      <c r="E23722" s="57"/>
      <c r="H23722" s="18"/>
    </row>
    <row r="23723">
      <c r="C23723" s="18"/>
      <c r="D23723" s="19"/>
      <c r="E23723" s="57"/>
      <c r="H23723" s="18"/>
    </row>
    <row r="23724">
      <c r="C23724" s="18"/>
      <c r="D23724" s="19"/>
      <c r="E23724" s="57"/>
      <c r="H23724" s="18"/>
    </row>
    <row r="23725">
      <c r="C23725" s="18"/>
      <c r="D23725" s="19"/>
      <c r="E23725" s="57"/>
      <c r="H23725" s="18"/>
    </row>
    <row r="23726">
      <c r="C23726" s="18"/>
      <c r="D23726" s="19"/>
      <c r="E23726" s="57"/>
      <c r="H23726" s="18"/>
    </row>
    <row r="23727">
      <c r="C23727" s="18"/>
      <c r="D23727" s="19"/>
      <c r="E23727" s="57"/>
      <c r="H23727" s="18"/>
    </row>
    <row r="23728">
      <c r="C23728" s="18"/>
      <c r="D23728" s="19"/>
      <c r="E23728" s="57"/>
      <c r="H23728" s="18"/>
    </row>
    <row r="23729">
      <c r="C23729" s="18"/>
      <c r="D23729" s="19"/>
      <c r="E23729" s="57"/>
      <c r="H23729" s="18"/>
    </row>
    <row r="23730">
      <c r="C23730" s="18"/>
      <c r="D23730" s="19"/>
      <c r="E23730" s="57"/>
      <c r="H23730" s="18"/>
    </row>
    <row r="23731">
      <c r="C23731" s="18"/>
      <c r="D23731" s="19"/>
      <c r="E23731" s="57"/>
      <c r="H23731" s="18"/>
    </row>
    <row r="23732">
      <c r="C23732" s="18"/>
      <c r="D23732" s="19"/>
      <c r="E23732" s="57"/>
      <c r="H23732" s="18"/>
    </row>
    <row r="23733">
      <c r="C23733" s="18"/>
      <c r="D23733" s="19"/>
      <c r="E23733" s="57"/>
      <c r="H23733" s="18"/>
    </row>
    <row r="23734">
      <c r="C23734" s="18"/>
      <c r="D23734" s="19"/>
      <c r="E23734" s="57"/>
      <c r="H23734" s="18"/>
    </row>
    <row r="23735">
      <c r="C23735" s="18"/>
      <c r="D23735" s="19"/>
      <c r="E23735" s="57"/>
      <c r="H23735" s="18"/>
    </row>
    <row r="23736">
      <c r="C23736" s="18"/>
      <c r="D23736" s="19"/>
      <c r="E23736" s="57"/>
      <c r="H23736" s="18"/>
    </row>
    <row r="23737">
      <c r="C23737" s="18"/>
      <c r="D23737" s="19"/>
      <c r="E23737" s="57"/>
      <c r="H23737" s="18"/>
    </row>
    <row r="23738">
      <c r="C23738" s="18"/>
      <c r="D23738" s="19"/>
      <c r="E23738" s="57"/>
      <c r="H23738" s="18"/>
    </row>
    <row r="23739">
      <c r="C23739" s="18"/>
      <c r="D23739" s="19"/>
      <c r="E23739" s="57"/>
      <c r="H23739" s="18"/>
    </row>
    <row r="23740">
      <c r="C23740" s="18"/>
      <c r="D23740" s="19"/>
      <c r="E23740" s="57"/>
      <c r="H23740" s="18"/>
    </row>
    <row r="23741">
      <c r="C23741" s="18"/>
      <c r="D23741" s="19"/>
      <c r="E23741" s="57"/>
      <c r="H23741" s="18"/>
    </row>
    <row r="23742">
      <c r="C23742" s="18"/>
      <c r="D23742" s="19"/>
      <c r="E23742" s="57"/>
      <c r="H23742" s="18"/>
    </row>
    <row r="23743">
      <c r="C23743" s="18"/>
      <c r="D23743" s="19"/>
      <c r="E23743" s="57"/>
      <c r="H23743" s="18"/>
    </row>
    <row r="23744">
      <c r="C23744" s="18"/>
      <c r="D23744" s="19"/>
      <c r="E23744" s="57"/>
      <c r="H23744" s="18"/>
    </row>
    <row r="23745">
      <c r="C23745" s="18"/>
      <c r="D23745" s="19"/>
      <c r="E23745" s="57"/>
      <c r="H23745" s="18"/>
    </row>
    <row r="23746">
      <c r="C23746" s="18"/>
      <c r="D23746" s="19"/>
      <c r="E23746" s="57"/>
      <c r="H23746" s="18"/>
    </row>
    <row r="23747">
      <c r="C23747" s="18"/>
      <c r="D23747" s="19"/>
      <c r="E23747" s="57"/>
      <c r="H23747" s="18"/>
    </row>
    <row r="23748">
      <c r="C23748" s="18"/>
      <c r="D23748" s="19"/>
      <c r="E23748" s="57"/>
      <c r="H23748" s="18"/>
    </row>
    <row r="23749">
      <c r="C23749" s="18"/>
      <c r="D23749" s="19"/>
      <c r="E23749" s="57"/>
      <c r="H23749" s="18"/>
    </row>
    <row r="23750">
      <c r="C23750" s="18"/>
      <c r="D23750" s="19"/>
      <c r="E23750" s="57"/>
      <c r="H23750" s="18"/>
    </row>
    <row r="23751">
      <c r="C23751" s="18"/>
      <c r="D23751" s="19"/>
      <c r="E23751" s="57"/>
      <c r="H23751" s="18"/>
    </row>
    <row r="23752">
      <c r="C23752" s="18"/>
      <c r="D23752" s="19"/>
      <c r="E23752" s="57"/>
      <c r="H23752" s="18"/>
    </row>
    <row r="23753">
      <c r="C23753" s="18"/>
      <c r="D23753" s="19"/>
      <c r="E23753" s="57"/>
      <c r="H23753" s="18"/>
    </row>
    <row r="23754">
      <c r="C23754" s="18"/>
      <c r="D23754" s="19"/>
      <c r="E23754" s="57"/>
      <c r="H23754" s="18"/>
    </row>
    <row r="23755">
      <c r="C23755" s="18"/>
      <c r="D23755" s="19"/>
      <c r="E23755" s="57"/>
      <c r="H23755" s="18"/>
    </row>
    <row r="23756">
      <c r="C23756" s="18"/>
      <c r="D23756" s="19"/>
      <c r="E23756" s="57"/>
      <c r="H23756" s="18"/>
    </row>
    <row r="23757">
      <c r="C23757" s="18"/>
      <c r="D23757" s="19"/>
      <c r="E23757" s="57"/>
      <c r="H23757" s="18"/>
    </row>
    <row r="23758">
      <c r="C23758" s="18"/>
      <c r="D23758" s="19"/>
      <c r="E23758" s="57"/>
      <c r="H23758" s="18"/>
    </row>
    <row r="23759">
      <c r="C23759" s="18"/>
      <c r="D23759" s="19"/>
      <c r="E23759" s="57"/>
      <c r="H23759" s="18"/>
    </row>
    <row r="23760">
      <c r="C23760" s="18"/>
      <c r="D23760" s="19"/>
      <c r="E23760" s="57"/>
      <c r="H23760" s="18"/>
    </row>
    <row r="23761">
      <c r="C23761" s="18"/>
      <c r="D23761" s="19"/>
      <c r="E23761" s="57"/>
      <c r="H23761" s="18"/>
    </row>
    <row r="23762">
      <c r="C23762" s="18"/>
      <c r="D23762" s="19"/>
      <c r="E23762" s="57"/>
      <c r="H23762" s="18"/>
    </row>
    <row r="23763">
      <c r="C23763" s="18"/>
      <c r="D23763" s="19"/>
      <c r="E23763" s="57"/>
      <c r="H23763" s="18"/>
    </row>
    <row r="23764">
      <c r="C23764" s="18"/>
      <c r="D23764" s="19"/>
      <c r="E23764" s="57"/>
      <c r="H23764" s="18"/>
    </row>
    <row r="23765">
      <c r="C23765" s="18"/>
      <c r="D23765" s="19"/>
      <c r="E23765" s="57"/>
      <c r="H23765" s="18"/>
    </row>
    <row r="23766">
      <c r="C23766" s="18"/>
      <c r="D23766" s="19"/>
      <c r="E23766" s="57"/>
      <c r="H23766" s="18"/>
    </row>
    <row r="23767">
      <c r="C23767" s="18"/>
      <c r="D23767" s="19"/>
      <c r="E23767" s="57"/>
      <c r="H23767" s="18"/>
    </row>
    <row r="23768">
      <c r="C23768" s="18"/>
      <c r="D23768" s="19"/>
      <c r="E23768" s="57"/>
      <c r="H23768" s="18"/>
    </row>
    <row r="23769">
      <c r="C23769" s="18"/>
      <c r="D23769" s="19"/>
      <c r="E23769" s="57"/>
      <c r="H23769" s="18"/>
    </row>
    <row r="23770">
      <c r="C23770" s="18"/>
      <c r="D23770" s="19"/>
      <c r="E23770" s="57"/>
      <c r="H23770" s="18"/>
    </row>
    <row r="23771">
      <c r="C23771" s="18"/>
      <c r="D23771" s="19"/>
      <c r="E23771" s="57"/>
      <c r="H23771" s="18"/>
    </row>
    <row r="23772">
      <c r="C23772" s="18"/>
      <c r="D23772" s="19"/>
      <c r="E23772" s="57"/>
      <c r="H23772" s="18"/>
    </row>
    <row r="23773">
      <c r="C23773" s="18"/>
      <c r="D23773" s="19"/>
      <c r="E23773" s="57"/>
      <c r="H23773" s="18"/>
    </row>
    <row r="23774">
      <c r="C23774" s="18"/>
      <c r="D23774" s="19"/>
      <c r="E23774" s="57"/>
      <c r="H23774" s="18"/>
    </row>
    <row r="23775">
      <c r="C23775" s="18"/>
      <c r="D23775" s="19"/>
      <c r="E23775" s="57"/>
      <c r="H23775" s="18"/>
    </row>
    <row r="23776">
      <c r="C23776" s="18"/>
      <c r="D23776" s="19"/>
      <c r="E23776" s="57"/>
      <c r="H23776" s="18"/>
    </row>
    <row r="23777">
      <c r="C23777" s="18"/>
      <c r="D23777" s="19"/>
      <c r="E23777" s="57"/>
      <c r="H23777" s="18"/>
    </row>
    <row r="23778">
      <c r="C23778" s="18"/>
      <c r="D23778" s="19"/>
      <c r="E23778" s="57"/>
      <c r="H23778" s="18"/>
    </row>
    <row r="23779">
      <c r="C23779" s="18"/>
      <c r="D23779" s="19"/>
      <c r="E23779" s="57"/>
      <c r="H23779" s="18"/>
    </row>
    <row r="23780">
      <c r="C23780" s="18"/>
      <c r="D23780" s="19"/>
      <c r="E23780" s="57"/>
      <c r="H23780" s="18"/>
    </row>
    <row r="23781">
      <c r="C23781" s="18"/>
      <c r="D23781" s="19"/>
      <c r="E23781" s="57"/>
      <c r="H23781" s="18"/>
    </row>
    <row r="23782">
      <c r="C23782" s="18"/>
      <c r="D23782" s="19"/>
      <c r="E23782" s="57"/>
      <c r="H23782" s="18"/>
    </row>
    <row r="23783">
      <c r="C23783" s="18"/>
      <c r="D23783" s="19"/>
      <c r="E23783" s="57"/>
      <c r="H23783" s="18"/>
    </row>
    <row r="23784">
      <c r="C23784" s="18"/>
      <c r="D23784" s="19"/>
      <c r="E23784" s="57"/>
      <c r="H23784" s="18"/>
    </row>
    <row r="23785">
      <c r="C23785" s="18"/>
      <c r="D23785" s="19"/>
      <c r="E23785" s="57"/>
      <c r="H23785" s="18"/>
    </row>
    <row r="23786">
      <c r="C23786" s="18"/>
      <c r="D23786" s="19"/>
      <c r="E23786" s="57"/>
      <c r="H23786" s="18"/>
    </row>
    <row r="23787">
      <c r="C23787" s="18"/>
      <c r="D23787" s="19"/>
      <c r="E23787" s="57"/>
      <c r="H23787" s="18"/>
    </row>
    <row r="23788">
      <c r="C23788" s="18"/>
      <c r="D23788" s="19"/>
      <c r="E23788" s="57"/>
      <c r="H23788" s="18"/>
    </row>
    <row r="23789">
      <c r="C23789" s="18"/>
      <c r="D23789" s="19"/>
      <c r="E23789" s="57"/>
      <c r="H23789" s="18"/>
    </row>
    <row r="23790">
      <c r="C23790" s="18"/>
      <c r="D23790" s="19"/>
      <c r="E23790" s="57"/>
      <c r="H23790" s="18"/>
    </row>
    <row r="23791">
      <c r="C23791" s="18"/>
      <c r="D23791" s="19"/>
      <c r="E23791" s="57"/>
      <c r="H23791" s="18"/>
    </row>
    <row r="23792">
      <c r="C23792" s="18"/>
      <c r="D23792" s="19"/>
      <c r="E23792" s="57"/>
      <c r="H23792" s="18"/>
    </row>
    <row r="23793">
      <c r="C23793" s="18"/>
      <c r="D23793" s="19"/>
      <c r="E23793" s="57"/>
      <c r="H23793" s="18"/>
    </row>
    <row r="23794">
      <c r="C23794" s="18"/>
      <c r="D23794" s="19"/>
      <c r="E23794" s="57"/>
      <c r="H23794" s="18"/>
    </row>
    <row r="23795">
      <c r="C23795" s="18"/>
      <c r="D23795" s="19"/>
      <c r="E23795" s="57"/>
      <c r="H23795" s="18"/>
    </row>
    <row r="23796">
      <c r="C23796" s="18"/>
      <c r="D23796" s="19"/>
      <c r="E23796" s="57"/>
      <c r="H23796" s="18"/>
    </row>
    <row r="23797">
      <c r="C23797" s="18"/>
      <c r="D23797" s="19"/>
      <c r="E23797" s="57"/>
      <c r="H23797" s="18"/>
    </row>
    <row r="23798">
      <c r="C23798" s="18"/>
      <c r="D23798" s="19"/>
      <c r="E23798" s="57"/>
      <c r="H23798" s="18"/>
    </row>
    <row r="23799">
      <c r="C23799" s="18"/>
      <c r="D23799" s="19"/>
      <c r="E23799" s="57"/>
      <c r="H23799" s="18"/>
    </row>
    <row r="23800">
      <c r="C23800" s="18"/>
      <c r="D23800" s="19"/>
      <c r="E23800" s="57"/>
      <c r="H23800" s="18"/>
    </row>
    <row r="23801">
      <c r="C23801" s="18"/>
      <c r="D23801" s="19"/>
      <c r="E23801" s="57"/>
      <c r="H23801" s="18"/>
    </row>
    <row r="23802">
      <c r="C23802" s="18"/>
      <c r="D23802" s="19"/>
      <c r="E23802" s="57"/>
      <c r="H23802" s="18"/>
    </row>
    <row r="23803">
      <c r="C23803" s="18"/>
      <c r="D23803" s="19"/>
      <c r="E23803" s="57"/>
      <c r="H23803" s="18"/>
    </row>
    <row r="23804">
      <c r="C23804" s="18"/>
      <c r="D23804" s="19"/>
      <c r="E23804" s="57"/>
      <c r="H23804" s="18"/>
    </row>
    <row r="23805">
      <c r="C23805" s="18"/>
      <c r="D23805" s="19"/>
      <c r="E23805" s="57"/>
      <c r="H23805" s="18"/>
    </row>
    <row r="23806">
      <c r="C23806" s="18"/>
      <c r="D23806" s="19"/>
      <c r="E23806" s="57"/>
      <c r="H23806" s="18"/>
    </row>
    <row r="23807">
      <c r="C23807" s="18"/>
      <c r="D23807" s="19"/>
      <c r="E23807" s="57"/>
      <c r="H23807" s="18"/>
    </row>
    <row r="23808">
      <c r="C23808" s="18"/>
      <c r="D23808" s="19"/>
      <c r="E23808" s="57"/>
      <c r="H23808" s="18"/>
    </row>
    <row r="23809">
      <c r="C23809" s="18"/>
      <c r="D23809" s="19"/>
      <c r="E23809" s="57"/>
      <c r="H23809" s="18"/>
    </row>
    <row r="23810">
      <c r="C23810" s="18"/>
      <c r="D23810" s="19"/>
      <c r="E23810" s="57"/>
      <c r="H23810" s="18"/>
    </row>
    <row r="23811">
      <c r="C23811" s="18"/>
      <c r="D23811" s="19"/>
      <c r="E23811" s="57"/>
      <c r="H23811" s="18"/>
    </row>
    <row r="23812">
      <c r="C23812" s="18"/>
      <c r="D23812" s="19"/>
      <c r="E23812" s="57"/>
      <c r="H23812" s="18"/>
    </row>
    <row r="23813">
      <c r="C23813" s="18"/>
      <c r="D23813" s="19"/>
      <c r="E23813" s="57"/>
      <c r="H23813" s="18"/>
    </row>
    <row r="23814">
      <c r="C23814" s="18"/>
      <c r="D23814" s="19"/>
      <c r="E23814" s="57"/>
      <c r="H23814" s="18"/>
    </row>
    <row r="23815">
      <c r="C23815" s="18"/>
      <c r="D23815" s="19"/>
      <c r="E23815" s="57"/>
      <c r="H23815" s="18"/>
    </row>
    <row r="23816">
      <c r="C23816" s="18"/>
      <c r="D23816" s="19"/>
      <c r="E23816" s="57"/>
      <c r="H23816" s="18"/>
    </row>
    <row r="23817">
      <c r="C23817" s="18"/>
      <c r="D23817" s="19"/>
      <c r="E23817" s="57"/>
      <c r="H23817" s="18"/>
    </row>
    <row r="23818">
      <c r="C23818" s="18"/>
      <c r="D23818" s="19"/>
      <c r="E23818" s="57"/>
      <c r="H23818" s="18"/>
    </row>
    <row r="23819">
      <c r="C23819" s="18"/>
      <c r="D23819" s="19"/>
      <c r="E23819" s="57"/>
      <c r="H23819" s="18"/>
    </row>
    <row r="23820">
      <c r="C23820" s="18"/>
      <c r="D23820" s="19"/>
      <c r="E23820" s="57"/>
      <c r="H23820" s="18"/>
    </row>
    <row r="23821">
      <c r="C23821" s="18"/>
      <c r="D23821" s="19"/>
      <c r="E23821" s="57"/>
      <c r="H23821" s="18"/>
    </row>
    <row r="23822">
      <c r="C23822" s="18"/>
      <c r="D23822" s="19"/>
      <c r="E23822" s="57"/>
      <c r="H23822" s="18"/>
    </row>
    <row r="23823">
      <c r="C23823" s="18"/>
      <c r="D23823" s="19"/>
      <c r="E23823" s="57"/>
      <c r="H23823" s="18"/>
    </row>
    <row r="23824">
      <c r="C23824" s="18"/>
      <c r="D23824" s="19"/>
      <c r="E23824" s="57"/>
      <c r="H23824" s="18"/>
    </row>
    <row r="23825">
      <c r="C23825" s="18"/>
      <c r="D23825" s="19"/>
      <c r="E23825" s="57"/>
      <c r="H23825" s="18"/>
    </row>
    <row r="23826">
      <c r="C23826" s="18"/>
      <c r="D23826" s="19"/>
      <c r="E23826" s="57"/>
      <c r="H23826" s="18"/>
    </row>
    <row r="23827">
      <c r="C23827" s="18"/>
      <c r="D23827" s="19"/>
      <c r="E23827" s="57"/>
      <c r="H23827" s="18"/>
    </row>
    <row r="23828">
      <c r="C23828" s="18"/>
      <c r="D23828" s="19"/>
      <c r="E23828" s="57"/>
      <c r="H23828" s="18"/>
    </row>
    <row r="23829">
      <c r="C23829" s="18"/>
      <c r="D23829" s="19"/>
      <c r="E23829" s="57"/>
      <c r="H23829" s="18"/>
    </row>
    <row r="23830">
      <c r="C23830" s="18"/>
      <c r="D23830" s="19"/>
      <c r="E23830" s="57"/>
      <c r="H23830" s="18"/>
    </row>
    <row r="23831">
      <c r="C23831" s="18"/>
      <c r="D23831" s="19"/>
      <c r="E23831" s="57"/>
      <c r="H23831" s="18"/>
    </row>
    <row r="23832">
      <c r="C23832" s="18"/>
      <c r="D23832" s="19"/>
      <c r="E23832" s="57"/>
      <c r="H23832" s="18"/>
    </row>
    <row r="23833">
      <c r="C23833" s="18"/>
      <c r="D23833" s="19"/>
      <c r="E23833" s="57"/>
      <c r="H23833" s="18"/>
    </row>
    <row r="23834">
      <c r="C23834" s="18"/>
      <c r="D23834" s="19"/>
      <c r="E23834" s="57"/>
      <c r="H23834" s="18"/>
    </row>
    <row r="23835">
      <c r="C23835" s="18"/>
      <c r="D23835" s="19"/>
      <c r="E23835" s="57"/>
      <c r="H23835" s="18"/>
    </row>
    <row r="23836">
      <c r="C23836" s="18"/>
      <c r="D23836" s="19"/>
      <c r="E23836" s="57"/>
      <c r="H23836" s="18"/>
    </row>
    <row r="23837">
      <c r="C23837" s="18"/>
      <c r="D23837" s="19"/>
      <c r="E23837" s="57"/>
      <c r="H23837" s="18"/>
    </row>
    <row r="23838">
      <c r="C23838" s="18"/>
      <c r="D23838" s="19"/>
      <c r="E23838" s="57"/>
      <c r="H23838" s="18"/>
    </row>
    <row r="23839">
      <c r="C23839" s="18"/>
      <c r="D23839" s="19"/>
      <c r="E23839" s="57"/>
      <c r="H23839" s="18"/>
    </row>
    <row r="23840">
      <c r="C23840" s="18"/>
      <c r="D23840" s="19"/>
      <c r="E23840" s="57"/>
      <c r="H23840" s="18"/>
    </row>
    <row r="23841">
      <c r="C23841" s="18"/>
      <c r="D23841" s="19"/>
      <c r="E23841" s="57"/>
      <c r="H23841" s="18"/>
    </row>
    <row r="23842">
      <c r="C23842" s="18"/>
      <c r="D23842" s="19"/>
      <c r="E23842" s="57"/>
      <c r="H23842" s="18"/>
    </row>
    <row r="23843">
      <c r="C23843" s="18"/>
      <c r="D23843" s="19"/>
      <c r="E23843" s="57"/>
      <c r="H23843" s="18"/>
    </row>
    <row r="23844">
      <c r="C23844" s="18"/>
      <c r="D23844" s="19"/>
      <c r="E23844" s="57"/>
      <c r="H23844" s="18"/>
    </row>
    <row r="23845">
      <c r="C23845" s="18"/>
      <c r="D23845" s="19"/>
      <c r="E23845" s="57"/>
      <c r="H23845" s="18"/>
    </row>
    <row r="23846">
      <c r="C23846" s="18"/>
      <c r="D23846" s="19"/>
      <c r="E23846" s="57"/>
      <c r="H23846" s="18"/>
    </row>
    <row r="23847">
      <c r="C23847" s="18"/>
      <c r="D23847" s="19"/>
      <c r="E23847" s="57"/>
      <c r="H23847" s="18"/>
    </row>
    <row r="23848">
      <c r="C23848" s="18"/>
      <c r="D23848" s="19"/>
      <c r="E23848" s="57"/>
      <c r="H23848" s="18"/>
    </row>
    <row r="23849">
      <c r="C23849" s="18"/>
      <c r="D23849" s="19"/>
      <c r="E23849" s="57"/>
      <c r="H23849" s="18"/>
    </row>
    <row r="23850">
      <c r="C23850" s="18"/>
      <c r="D23850" s="19"/>
      <c r="E23850" s="57"/>
      <c r="H23850" s="18"/>
    </row>
    <row r="23851">
      <c r="C23851" s="18"/>
      <c r="D23851" s="19"/>
      <c r="E23851" s="57"/>
      <c r="H23851" s="18"/>
    </row>
    <row r="23852">
      <c r="C23852" s="18"/>
      <c r="D23852" s="19"/>
      <c r="E23852" s="57"/>
      <c r="H23852" s="18"/>
    </row>
    <row r="23853">
      <c r="C23853" s="18"/>
      <c r="D23853" s="19"/>
      <c r="E23853" s="57"/>
      <c r="H23853" s="18"/>
    </row>
    <row r="23854">
      <c r="C23854" s="18"/>
      <c r="D23854" s="19"/>
      <c r="E23854" s="57"/>
      <c r="H23854" s="18"/>
    </row>
    <row r="23855">
      <c r="C23855" s="18"/>
      <c r="D23855" s="19"/>
      <c r="E23855" s="57"/>
      <c r="H23855" s="18"/>
    </row>
    <row r="23856">
      <c r="C23856" s="18"/>
      <c r="D23856" s="19"/>
      <c r="E23856" s="57"/>
      <c r="H23856" s="18"/>
    </row>
    <row r="23857">
      <c r="C23857" s="18"/>
      <c r="D23857" s="19"/>
      <c r="E23857" s="57"/>
      <c r="H23857" s="18"/>
    </row>
    <row r="23858">
      <c r="C23858" s="18"/>
      <c r="D23858" s="19"/>
      <c r="E23858" s="57"/>
      <c r="H23858" s="18"/>
    </row>
    <row r="23859">
      <c r="C23859" s="18"/>
      <c r="D23859" s="19"/>
      <c r="E23859" s="57"/>
      <c r="H23859" s="18"/>
    </row>
    <row r="23860">
      <c r="C23860" s="18"/>
      <c r="D23860" s="19"/>
      <c r="E23860" s="57"/>
      <c r="H23860" s="18"/>
    </row>
    <row r="23861">
      <c r="C23861" s="18"/>
      <c r="D23861" s="19"/>
      <c r="E23861" s="57"/>
      <c r="H23861" s="18"/>
    </row>
    <row r="23862">
      <c r="C23862" s="18"/>
      <c r="D23862" s="19"/>
      <c r="E23862" s="57"/>
      <c r="H23862" s="18"/>
    </row>
    <row r="23863">
      <c r="C23863" s="18"/>
      <c r="D23863" s="19"/>
      <c r="E23863" s="57"/>
      <c r="H23863" s="18"/>
    </row>
    <row r="23864">
      <c r="C23864" s="18"/>
      <c r="D23864" s="19"/>
      <c r="E23864" s="57"/>
      <c r="H23864" s="18"/>
    </row>
    <row r="23865">
      <c r="C23865" s="18"/>
      <c r="D23865" s="19"/>
      <c r="E23865" s="57"/>
      <c r="H23865" s="18"/>
    </row>
    <row r="23866">
      <c r="C23866" s="18"/>
      <c r="D23866" s="19"/>
      <c r="E23866" s="57"/>
      <c r="H23866" s="18"/>
    </row>
    <row r="23867">
      <c r="C23867" s="18"/>
      <c r="D23867" s="19"/>
      <c r="E23867" s="57"/>
      <c r="H23867" s="18"/>
    </row>
    <row r="23868">
      <c r="C23868" s="18"/>
      <c r="D23868" s="19"/>
      <c r="E23868" s="57"/>
      <c r="H23868" s="18"/>
    </row>
    <row r="23869">
      <c r="C23869" s="18"/>
      <c r="D23869" s="19"/>
      <c r="E23869" s="57"/>
      <c r="H23869" s="18"/>
    </row>
    <row r="23870">
      <c r="C23870" s="18"/>
      <c r="D23870" s="19"/>
      <c r="E23870" s="57"/>
      <c r="H23870" s="18"/>
    </row>
    <row r="23871">
      <c r="C23871" s="18"/>
      <c r="D23871" s="19"/>
      <c r="E23871" s="57"/>
      <c r="H23871" s="18"/>
    </row>
    <row r="23872">
      <c r="C23872" s="18"/>
      <c r="D23872" s="19"/>
      <c r="E23872" s="57"/>
      <c r="H23872" s="18"/>
    </row>
    <row r="23873">
      <c r="C23873" s="18"/>
      <c r="D23873" s="19"/>
      <c r="E23873" s="57"/>
      <c r="H23873" s="18"/>
    </row>
    <row r="23874">
      <c r="C23874" s="18"/>
      <c r="D23874" s="19"/>
      <c r="E23874" s="57"/>
      <c r="H23874" s="18"/>
    </row>
    <row r="23875">
      <c r="C23875" s="18"/>
      <c r="D23875" s="19"/>
      <c r="E23875" s="57"/>
      <c r="H23875" s="18"/>
    </row>
    <row r="23876">
      <c r="C23876" s="18"/>
      <c r="D23876" s="19"/>
      <c r="E23876" s="57"/>
      <c r="H23876" s="18"/>
    </row>
    <row r="23877">
      <c r="C23877" s="18"/>
      <c r="D23877" s="19"/>
      <c r="E23877" s="57"/>
      <c r="H23877" s="18"/>
    </row>
    <row r="23878">
      <c r="C23878" s="18"/>
      <c r="D23878" s="19"/>
      <c r="E23878" s="57"/>
      <c r="H23878" s="18"/>
    </row>
    <row r="23879">
      <c r="C23879" s="18"/>
      <c r="D23879" s="19"/>
      <c r="E23879" s="57"/>
      <c r="H23879" s="18"/>
    </row>
    <row r="23880">
      <c r="C23880" s="18"/>
      <c r="D23880" s="19"/>
      <c r="E23880" s="57"/>
      <c r="H23880" s="18"/>
    </row>
    <row r="23881">
      <c r="C23881" s="18"/>
      <c r="D23881" s="19"/>
      <c r="E23881" s="57"/>
      <c r="H23881" s="18"/>
    </row>
    <row r="23882">
      <c r="C23882" s="18"/>
      <c r="D23882" s="19"/>
      <c r="E23882" s="57"/>
      <c r="H23882" s="18"/>
    </row>
    <row r="23883">
      <c r="C23883" s="18"/>
      <c r="D23883" s="19"/>
      <c r="E23883" s="57"/>
      <c r="H23883" s="18"/>
    </row>
    <row r="23884">
      <c r="C23884" s="18"/>
      <c r="D23884" s="19"/>
      <c r="E23884" s="57"/>
      <c r="H23884" s="18"/>
    </row>
    <row r="23885">
      <c r="C23885" s="18"/>
      <c r="D23885" s="19"/>
      <c r="E23885" s="57"/>
      <c r="H23885" s="18"/>
    </row>
    <row r="23886">
      <c r="C23886" s="18"/>
      <c r="D23886" s="19"/>
      <c r="E23886" s="57"/>
      <c r="H23886" s="18"/>
    </row>
    <row r="23887">
      <c r="C23887" s="18"/>
      <c r="D23887" s="19"/>
      <c r="E23887" s="57"/>
      <c r="H23887" s="18"/>
    </row>
    <row r="23888">
      <c r="C23888" s="18"/>
      <c r="D23888" s="19"/>
      <c r="E23888" s="57"/>
      <c r="H23888" s="18"/>
    </row>
    <row r="23889">
      <c r="C23889" s="18"/>
      <c r="D23889" s="19"/>
      <c r="E23889" s="57"/>
      <c r="H23889" s="18"/>
    </row>
    <row r="23890">
      <c r="C23890" s="18"/>
      <c r="D23890" s="19"/>
      <c r="E23890" s="57"/>
      <c r="H23890" s="18"/>
    </row>
    <row r="23891">
      <c r="C23891" s="18"/>
      <c r="D23891" s="19"/>
      <c r="E23891" s="57"/>
      <c r="H23891" s="18"/>
    </row>
    <row r="23892">
      <c r="C23892" s="18"/>
      <c r="D23892" s="19"/>
      <c r="E23892" s="57"/>
      <c r="H23892" s="18"/>
    </row>
    <row r="23893">
      <c r="C23893" s="18"/>
      <c r="D23893" s="19"/>
      <c r="E23893" s="57"/>
      <c r="H23893" s="18"/>
    </row>
    <row r="23894">
      <c r="C23894" s="18"/>
      <c r="D23894" s="19"/>
      <c r="E23894" s="57"/>
      <c r="H23894" s="18"/>
    </row>
    <row r="23895">
      <c r="C23895" s="18"/>
      <c r="D23895" s="19"/>
      <c r="E23895" s="57"/>
      <c r="H23895" s="18"/>
    </row>
    <row r="23896">
      <c r="C23896" s="18"/>
      <c r="D23896" s="19"/>
      <c r="E23896" s="57"/>
      <c r="H23896" s="18"/>
    </row>
    <row r="23897">
      <c r="C23897" s="18"/>
      <c r="D23897" s="19"/>
      <c r="E23897" s="57"/>
      <c r="H23897" s="18"/>
    </row>
    <row r="23898">
      <c r="C23898" s="18"/>
      <c r="D23898" s="19"/>
      <c r="E23898" s="57"/>
      <c r="H23898" s="18"/>
    </row>
    <row r="23899">
      <c r="C23899" s="18"/>
      <c r="D23899" s="19"/>
      <c r="E23899" s="57"/>
      <c r="H23899" s="18"/>
    </row>
    <row r="23900">
      <c r="C23900" s="18"/>
      <c r="D23900" s="19"/>
      <c r="E23900" s="57"/>
      <c r="H23900" s="18"/>
    </row>
    <row r="23901">
      <c r="C23901" s="18"/>
      <c r="D23901" s="19"/>
      <c r="E23901" s="57"/>
      <c r="H23901" s="18"/>
    </row>
    <row r="23902">
      <c r="C23902" s="18"/>
      <c r="D23902" s="19"/>
      <c r="E23902" s="57"/>
      <c r="H23902" s="18"/>
    </row>
    <row r="23903">
      <c r="C23903" s="18"/>
      <c r="D23903" s="19"/>
      <c r="E23903" s="57"/>
      <c r="H23903" s="18"/>
    </row>
    <row r="23904">
      <c r="C23904" s="18"/>
      <c r="D23904" s="19"/>
      <c r="E23904" s="57"/>
      <c r="H23904" s="18"/>
    </row>
    <row r="23905">
      <c r="C23905" s="18"/>
      <c r="D23905" s="19"/>
      <c r="E23905" s="57"/>
      <c r="H23905" s="18"/>
    </row>
    <row r="23906">
      <c r="C23906" s="18"/>
      <c r="D23906" s="19"/>
      <c r="E23906" s="57"/>
      <c r="H23906" s="18"/>
    </row>
    <row r="23907">
      <c r="C23907" s="18"/>
      <c r="D23907" s="19"/>
      <c r="E23907" s="57"/>
      <c r="H23907" s="18"/>
    </row>
    <row r="23908">
      <c r="C23908" s="18"/>
      <c r="D23908" s="19"/>
      <c r="E23908" s="57"/>
      <c r="H23908" s="18"/>
    </row>
    <row r="23909">
      <c r="C23909" s="18"/>
      <c r="D23909" s="19"/>
      <c r="E23909" s="57"/>
      <c r="H23909" s="18"/>
    </row>
    <row r="23910">
      <c r="C23910" s="18"/>
      <c r="D23910" s="19"/>
      <c r="E23910" s="57"/>
      <c r="H23910" s="18"/>
    </row>
    <row r="23911">
      <c r="C23911" s="18"/>
      <c r="D23911" s="19"/>
      <c r="E23911" s="57"/>
      <c r="H23911" s="18"/>
    </row>
    <row r="23912">
      <c r="C23912" s="18"/>
      <c r="D23912" s="19"/>
      <c r="E23912" s="57"/>
      <c r="H23912" s="18"/>
    </row>
    <row r="23913">
      <c r="C23913" s="18"/>
      <c r="D23913" s="19"/>
      <c r="E23913" s="57"/>
      <c r="H23913" s="18"/>
    </row>
    <row r="23914">
      <c r="C23914" s="18"/>
      <c r="D23914" s="19"/>
      <c r="E23914" s="57"/>
      <c r="H23914" s="18"/>
    </row>
    <row r="23915">
      <c r="C23915" s="18"/>
      <c r="D23915" s="19"/>
      <c r="E23915" s="57"/>
      <c r="H23915" s="18"/>
    </row>
    <row r="23916">
      <c r="C23916" s="18"/>
      <c r="D23916" s="19"/>
      <c r="E23916" s="57"/>
      <c r="H23916" s="18"/>
    </row>
    <row r="23917">
      <c r="C23917" s="18"/>
      <c r="D23917" s="19"/>
      <c r="E23917" s="57"/>
      <c r="H23917" s="18"/>
    </row>
    <row r="23918">
      <c r="C23918" s="18"/>
      <c r="D23918" s="19"/>
      <c r="E23918" s="57"/>
      <c r="H23918" s="18"/>
    </row>
    <row r="23919">
      <c r="C23919" s="18"/>
      <c r="D23919" s="19"/>
      <c r="E23919" s="57"/>
      <c r="H23919" s="18"/>
    </row>
    <row r="23920">
      <c r="C23920" s="18"/>
      <c r="D23920" s="19"/>
      <c r="E23920" s="57"/>
      <c r="H23920" s="18"/>
    </row>
    <row r="23921">
      <c r="C23921" s="18"/>
      <c r="D23921" s="19"/>
      <c r="E23921" s="57"/>
      <c r="H23921" s="18"/>
    </row>
    <row r="23922">
      <c r="C23922" s="18"/>
      <c r="D23922" s="19"/>
      <c r="E23922" s="57"/>
      <c r="H23922" s="18"/>
    </row>
    <row r="23923">
      <c r="C23923" s="18"/>
      <c r="D23923" s="19"/>
      <c r="E23923" s="57"/>
      <c r="H23923" s="18"/>
    </row>
    <row r="23924">
      <c r="C23924" s="18"/>
      <c r="D23924" s="19"/>
      <c r="E23924" s="57"/>
      <c r="H23924" s="18"/>
    </row>
    <row r="23925">
      <c r="C23925" s="18"/>
      <c r="D23925" s="19"/>
      <c r="E23925" s="57"/>
      <c r="H23925" s="18"/>
    </row>
    <row r="23926">
      <c r="C23926" s="18"/>
      <c r="D23926" s="19"/>
      <c r="E23926" s="57"/>
      <c r="H23926" s="18"/>
    </row>
    <row r="23927">
      <c r="C23927" s="18"/>
      <c r="D23927" s="19"/>
      <c r="E23927" s="57"/>
      <c r="H23927" s="18"/>
    </row>
    <row r="23928">
      <c r="C23928" s="18"/>
      <c r="D23928" s="19"/>
      <c r="E23928" s="57"/>
      <c r="H23928" s="18"/>
    </row>
    <row r="23929">
      <c r="C23929" s="18"/>
      <c r="D23929" s="19"/>
      <c r="E23929" s="57"/>
      <c r="H23929" s="18"/>
    </row>
    <row r="23930">
      <c r="C23930" s="18"/>
      <c r="D23930" s="19"/>
      <c r="E23930" s="57"/>
      <c r="H23930" s="18"/>
    </row>
    <row r="23931">
      <c r="C23931" s="18"/>
      <c r="D23931" s="19"/>
      <c r="E23931" s="57"/>
      <c r="H23931" s="18"/>
    </row>
    <row r="23932">
      <c r="C23932" s="18"/>
      <c r="D23932" s="19"/>
      <c r="E23932" s="57"/>
      <c r="H23932" s="18"/>
    </row>
    <row r="23933">
      <c r="C23933" s="18"/>
      <c r="D23933" s="19"/>
      <c r="E23933" s="57"/>
      <c r="H23933" s="18"/>
    </row>
    <row r="23934">
      <c r="C23934" s="18"/>
      <c r="D23934" s="19"/>
      <c r="E23934" s="57"/>
      <c r="H23934" s="18"/>
    </row>
    <row r="23935">
      <c r="C23935" s="18"/>
      <c r="D23935" s="19"/>
      <c r="E23935" s="57"/>
      <c r="H23935" s="18"/>
    </row>
    <row r="23936">
      <c r="C23936" s="18"/>
      <c r="D23936" s="19"/>
      <c r="E23936" s="57"/>
      <c r="H23936" s="18"/>
    </row>
    <row r="23937">
      <c r="C23937" s="18"/>
      <c r="D23937" s="19"/>
      <c r="E23937" s="57"/>
      <c r="H23937" s="18"/>
    </row>
    <row r="23938">
      <c r="C23938" s="18"/>
      <c r="D23938" s="19"/>
      <c r="E23938" s="57"/>
      <c r="H23938" s="18"/>
    </row>
    <row r="23939">
      <c r="C23939" s="18"/>
      <c r="D23939" s="19"/>
      <c r="E23939" s="57"/>
      <c r="H23939" s="18"/>
    </row>
    <row r="23940">
      <c r="C23940" s="18"/>
      <c r="D23940" s="19"/>
      <c r="E23940" s="57"/>
      <c r="H23940" s="18"/>
    </row>
    <row r="23941">
      <c r="C23941" s="18"/>
      <c r="D23941" s="19"/>
      <c r="E23941" s="57"/>
      <c r="H23941" s="18"/>
    </row>
    <row r="23942">
      <c r="C23942" s="18"/>
      <c r="D23942" s="19"/>
      <c r="E23942" s="57"/>
      <c r="H23942" s="18"/>
    </row>
    <row r="23943">
      <c r="C23943" s="18"/>
      <c r="D23943" s="19"/>
      <c r="E23943" s="57"/>
      <c r="H23943" s="18"/>
    </row>
    <row r="23944">
      <c r="C23944" s="18"/>
      <c r="D23944" s="19"/>
      <c r="E23944" s="57"/>
      <c r="H23944" s="18"/>
    </row>
    <row r="23945">
      <c r="C23945" s="18"/>
      <c r="D23945" s="19"/>
      <c r="E23945" s="57"/>
      <c r="H23945" s="18"/>
    </row>
    <row r="23946">
      <c r="C23946" s="18"/>
      <c r="D23946" s="19"/>
      <c r="E23946" s="57"/>
      <c r="H23946" s="18"/>
    </row>
    <row r="23947">
      <c r="C23947" s="18"/>
      <c r="D23947" s="19"/>
      <c r="E23947" s="57"/>
      <c r="H23947" s="18"/>
    </row>
    <row r="23948">
      <c r="C23948" s="18"/>
      <c r="D23948" s="19"/>
      <c r="E23948" s="57"/>
      <c r="H23948" s="18"/>
    </row>
    <row r="23949">
      <c r="C23949" s="18"/>
      <c r="D23949" s="19"/>
      <c r="E23949" s="57"/>
      <c r="H23949" s="18"/>
    </row>
    <row r="23950">
      <c r="C23950" s="18"/>
      <c r="D23950" s="19"/>
      <c r="E23950" s="57"/>
      <c r="H23950" s="18"/>
    </row>
    <row r="23951">
      <c r="C23951" s="18"/>
      <c r="D23951" s="19"/>
      <c r="E23951" s="57"/>
      <c r="H23951" s="18"/>
    </row>
    <row r="23952">
      <c r="C23952" s="18"/>
      <c r="D23952" s="19"/>
      <c r="E23952" s="57"/>
      <c r="H23952" s="18"/>
    </row>
    <row r="23953">
      <c r="C23953" s="18"/>
      <c r="D23953" s="19"/>
      <c r="E23953" s="57"/>
      <c r="H23953" s="18"/>
    </row>
    <row r="23954">
      <c r="C23954" s="18"/>
      <c r="D23954" s="19"/>
      <c r="E23954" s="57"/>
      <c r="H23954" s="18"/>
    </row>
    <row r="23955">
      <c r="C23955" s="18"/>
      <c r="D23955" s="19"/>
      <c r="E23955" s="57"/>
      <c r="H23955" s="18"/>
    </row>
    <row r="23956">
      <c r="C23956" s="18"/>
      <c r="D23956" s="19"/>
      <c r="E23956" s="57"/>
      <c r="H23956" s="18"/>
    </row>
    <row r="23957">
      <c r="C23957" s="18"/>
      <c r="D23957" s="19"/>
      <c r="E23957" s="57"/>
      <c r="H23957" s="18"/>
    </row>
    <row r="23958">
      <c r="C23958" s="18"/>
      <c r="D23958" s="19"/>
      <c r="E23958" s="57"/>
      <c r="H23958" s="18"/>
    </row>
    <row r="23959">
      <c r="C23959" s="18"/>
      <c r="D23959" s="19"/>
      <c r="E23959" s="57"/>
      <c r="H23959" s="18"/>
    </row>
    <row r="23960">
      <c r="C23960" s="18"/>
      <c r="D23960" s="19"/>
      <c r="E23960" s="57"/>
      <c r="H23960" s="18"/>
    </row>
    <row r="23961">
      <c r="C23961" s="18"/>
      <c r="D23961" s="19"/>
      <c r="E23961" s="57"/>
      <c r="H23961" s="18"/>
    </row>
    <row r="23962">
      <c r="C23962" s="18"/>
      <c r="D23962" s="19"/>
      <c r="E23962" s="57"/>
      <c r="H23962" s="18"/>
    </row>
    <row r="23963">
      <c r="C23963" s="18"/>
      <c r="D23963" s="19"/>
      <c r="E23963" s="57"/>
      <c r="H23963" s="18"/>
    </row>
    <row r="23964">
      <c r="C23964" s="18"/>
      <c r="D23964" s="19"/>
      <c r="E23964" s="57"/>
      <c r="H23964" s="18"/>
    </row>
    <row r="23965">
      <c r="C23965" s="18"/>
      <c r="D23965" s="19"/>
      <c r="E23965" s="57"/>
      <c r="H23965" s="18"/>
    </row>
    <row r="23966">
      <c r="C23966" s="18"/>
      <c r="D23966" s="19"/>
      <c r="E23966" s="57"/>
      <c r="H23966" s="18"/>
    </row>
    <row r="23967">
      <c r="C23967" s="18"/>
      <c r="D23967" s="19"/>
      <c r="E23967" s="57"/>
      <c r="H23967" s="18"/>
    </row>
    <row r="23968">
      <c r="C23968" s="18"/>
      <c r="D23968" s="19"/>
      <c r="E23968" s="57"/>
      <c r="H23968" s="18"/>
    </row>
    <row r="23969">
      <c r="C23969" s="18"/>
      <c r="D23969" s="19"/>
      <c r="E23969" s="57"/>
      <c r="H23969" s="18"/>
    </row>
    <row r="23970">
      <c r="C23970" s="18"/>
      <c r="D23970" s="19"/>
      <c r="E23970" s="57"/>
      <c r="H23970" s="18"/>
    </row>
    <row r="23971">
      <c r="C23971" s="18"/>
      <c r="D23971" s="19"/>
      <c r="E23971" s="57"/>
      <c r="H23971" s="18"/>
    </row>
    <row r="23972">
      <c r="C23972" s="18"/>
      <c r="D23972" s="19"/>
      <c r="E23972" s="57"/>
      <c r="H23972" s="18"/>
    </row>
    <row r="23973">
      <c r="C23973" s="18"/>
      <c r="D23973" s="19"/>
      <c r="E23973" s="57"/>
      <c r="H23973" s="18"/>
    </row>
    <row r="23974">
      <c r="C23974" s="18"/>
      <c r="D23974" s="19"/>
      <c r="E23974" s="57"/>
      <c r="H23974" s="18"/>
    </row>
    <row r="23975">
      <c r="C23975" s="18"/>
      <c r="D23975" s="19"/>
      <c r="E23975" s="57"/>
      <c r="H23975" s="18"/>
    </row>
    <row r="23976">
      <c r="C23976" s="18"/>
      <c r="D23976" s="19"/>
      <c r="E23976" s="57"/>
      <c r="H23976" s="18"/>
    </row>
    <row r="23977">
      <c r="C23977" s="18"/>
      <c r="D23977" s="19"/>
      <c r="E23977" s="57"/>
      <c r="H23977" s="18"/>
    </row>
    <row r="23978">
      <c r="C23978" s="18"/>
      <c r="D23978" s="19"/>
      <c r="E23978" s="57"/>
      <c r="H23978" s="18"/>
    </row>
    <row r="23979">
      <c r="C23979" s="18"/>
      <c r="D23979" s="19"/>
      <c r="E23979" s="57"/>
      <c r="H23979" s="18"/>
    </row>
    <row r="23980">
      <c r="C23980" s="18"/>
      <c r="D23980" s="19"/>
      <c r="E23980" s="57"/>
      <c r="H23980" s="18"/>
    </row>
    <row r="23981">
      <c r="C23981" s="18"/>
      <c r="D23981" s="19"/>
      <c r="E23981" s="57"/>
      <c r="H23981" s="18"/>
    </row>
    <row r="23982">
      <c r="C23982" s="18"/>
      <c r="D23982" s="19"/>
      <c r="E23982" s="57"/>
      <c r="H23982" s="18"/>
    </row>
    <row r="23983">
      <c r="C23983" s="18"/>
      <c r="D23983" s="19"/>
      <c r="E23983" s="57"/>
      <c r="H23983" s="18"/>
    </row>
    <row r="23984">
      <c r="C23984" s="18"/>
      <c r="D23984" s="19"/>
      <c r="E23984" s="57"/>
      <c r="H23984" s="18"/>
    </row>
    <row r="23985">
      <c r="C23985" s="18"/>
      <c r="D23985" s="19"/>
      <c r="E23985" s="57"/>
      <c r="H23985" s="18"/>
    </row>
    <row r="23986">
      <c r="C23986" s="18"/>
      <c r="D23986" s="19"/>
      <c r="E23986" s="57"/>
      <c r="H23986" s="18"/>
    </row>
    <row r="23987">
      <c r="C23987" s="18"/>
      <c r="D23987" s="19"/>
      <c r="E23987" s="57"/>
      <c r="H23987" s="18"/>
    </row>
    <row r="23988">
      <c r="C23988" s="18"/>
      <c r="D23988" s="19"/>
      <c r="E23988" s="57"/>
      <c r="H23988" s="18"/>
    </row>
    <row r="23989">
      <c r="C23989" s="18"/>
      <c r="D23989" s="19"/>
      <c r="E23989" s="57"/>
      <c r="H23989" s="18"/>
    </row>
    <row r="23990">
      <c r="C23990" s="18"/>
      <c r="D23990" s="19"/>
      <c r="E23990" s="57"/>
      <c r="H23990" s="18"/>
    </row>
    <row r="23991">
      <c r="C23991" s="18"/>
      <c r="D23991" s="19"/>
      <c r="E23991" s="57"/>
      <c r="H23991" s="18"/>
    </row>
    <row r="23992">
      <c r="C23992" s="18"/>
      <c r="D23992" s="19"/>
      <c r="E23992" s="57"/>
      <c r="H23992" s="18"/>
    </row>
    <row r="23993">
      <c r="C23993" s="18"/>
      <c r="D23993" s="19"/>
      <c r="E23993" s="57"/>
      <c r="H23993" s="18"/>
    </row>
    <row r="23994">
      <c r="C23994" s="18"/>
      <c r="D23994" s="19"/>
      <c r="E23994" s="57"/>
      <c r="H23994" s="18"/>
    </row>
    <row r="23995">
      <c r="C23995" s="18"/>
      <c r="D23995" s="19"/>
      <c r="E23995" s="57"/>
      <c r="H23995" s="18"/>
    </row>
    <row r="23996">
      <c r="C23996" s="18"/>
      <c r="D23996" s="19"/>
      <c r="E23996" s="57"/>
      <c r="H23996" s="18"/>
    </row>
    <row r="23997">
      <c r="C23997" s="18"/>
      <c r="D23997" s="19"/>
      <c r="E23997" s="57"/>
      <c r="H23997" s="18"/>
    </row>
    <row r="23998">
      <c r="C23998" s="18"/>
      <c r="D23998" s="19"/>
      <c r="E23998" s="57"/>
      <c r="H23998" s="18"/>
    </row>
    <row r="23999">
      <c r="C23999" s="18"/>
      <c r="D23999" s="19"/>
      <c r="E23999" s="57"/>
      <c r="H23999" s="18"/>
    </row>
    <row r="24000">
      <c r="C24000" s="18"/>
      <c r="D24000" s="19"/>
      <c r="E24000" s="57"/>
      <c r="H24000" s="18"/>
    </row>
    <row r="24001">
      <c r="C24001" s="18"/>
      <c r="D24001" s="19"/>
      <c r="E24001" s="57"/>
      <c r="H24001" s="18"/>
    </row>
    <row r="24002">
      <c r="C24002" s="18"/>
      <c r="D24002" s="19"/>
      <c r="E24002" s="57"/>
      <c r="H24002" s="18"/>
    </row>
    <row r="24003">
      <c r="C24003" s="18"/>
      <c r="D24003" s="19"/>
      <c r="E24003" s="57"/>
      <c r="H24003" s="18"/>
    </row>
    <row r="24004">
      <c r="C24004" s="18"/>
      <c r="D24004" s="19"/>
      <c r="E24004" s="57"/>
      <c r="H24004" s="18"/>
    </row>
    <row r="24005">
      <c r="C24005" s="18"/>
      <c r="D24005" s="19"/>
      <c r="E24005" s="57"/>
      <c r="H24005" s="18"/>
    </row>
    <row r="24006">
      <c r="C24006" s="18"/>
      <c r="D24006" s="19"/>
      <c r="E24006" s="57"/>
      <c r="H24006" s="18"/>
    </row>
    <row r="24007">
      <c r="C24007" s="18"/>
      <c r="D24007" s="19"/>
      <c r="E24007" s="57"/>
      <c r="H24007" s="18"/>
    </row>
    <row r="24008">
      <c r="C24008" s="18"/>
      <c r="D24008" s="19"/>
      <c r="E24008" s="57"/>
      <c r="H24008" s="18"/>
    </row>
    <row r="24009">
      <c r="C24009" s="18"/>
      <c r="D24009" s="19"/>
      <c r="E24009" s="57"/>
      <c r="H24009" s="18"/>
    </row>
    <row r="24010">
      <c r="C24010" s="18"/>
      <c r="D24010" s="19"/>
      <c r="E24010" s="57"/>
      <c r="H24010" s="18"/>
    </row>
    <row r="24011">
      <c r="C24011" s="18"/>
      <c r="D24011" s="19"/>
      <c r="E24011" s="57"/>
      <c r="H24011" s="18"/>
    </row>
    <row r="24012">
      <c r="C24012" s="18"/>
      <c r="D24012" s="19"/>
      <c r="E24012" s="57"/>
      <c r="H24012" s="18"/>
    </row>
    <row r="24013">
      <c r="C24013" s="18"/>
      <c r="D24013" s="19"/>
      <c r="E24013" s="57"/>
      <c r="H24013" s="18"/>
    </row>
    <row r="24014">
      <c r="C24014" s="18"/>
      <c r="D24014" s="19"/>
      <c r="E24014" s="57"/>
      <c r="H24014" s="18"/>
    </row>
    <row r="24015">
      <c r="C24015" s="18"/>
      <c r="D24015" s="19"/>
      <c r="E24015" s="57"/>
      <c r="H24015" s="18"/>
    </row>
    <row r="24016">
      <c r="C24016" s="18"/>
      <c r="D24016" s="19"/>
      <c r="E24016" s="57"/>
      <c r="H24016" s="18"/>
    </row>
    <row r="24017">
      <c r="C24017" s="18"/>
      <c r="D24017" s="19"/>
      <c r="E24017" s="57"/>
      <c r="H24017" s="18"/>
    </row>
    <row r="24018">
      <c r="C24018" s="18"/>
      <c r="D24018" s="19"/>
      <c r="E24018" s="57"/>
      <c r="H24018" s="18"/>
    </row>
    <row r="24019">
      <c r="C24019" s="18"/>
      <c r="D24019" s="19"/>
      <c r="E24019" s="57"/>
      <c r="H24019" s="18"/>
    </row>
    <row r="24020">
      <c r="C24020" s="18"/>
      <c r="D24020" s="19"/>
      <c r="E24020" s="57"/>
      <c r="H24020" s="18"/>
    </row>
    <row r="24021">
      <c r="C24021" s="18"/>
      <c r="D24021" s="19"/>
      <c r="E24021" s="57"/>
      <c r="H24021" s="18"/>
    </row>
    <row r="24022">
      <c r="C24022" s="18"/>
      <c r="D24022" s="19"/>
      <c r="E24022" s="57"/>
      <c r="H24022" s="18"/>
    </row>
    <row r="24023">
      <c r="C24023" s="18"/>
      <c r="D24023" s="19"/>
      <c r="E24023" s="57"/>
      <c r="H24023" s="18"/>
    </row>
    <row r="24024">
      <c r="C24024" s="18"/>
      <c r="D24024" s="19"/>
      <c r="E24024" s="57"/>
      <c r="H24024" s="18"/>
    </row>
    <row r="24025">
      <c r="C24025" s="18"/>
      <c r="D24025" s="19"/>
      <c r="E24025" s="57"/>
      <c r="H24025" s="18"/>
    </row>
    <row r="24026">
      <c r="C24026" s="18"/>
      <c r="D24026" s="19"/>
      <c r="E24026" s="57"/>
      <c r="H24026" s="18"/>
    </row>
    <row r="24027">
      <c r="C24027" s="18"/>
      <c r="D24027" s="19"/>
      <c r="E24027" s="57"/>
      <c r="H24027" s="18"/>
    </row>
    <row r="24028">
      <c r="C24028" s="18"/>
      <c r="D24028" s="19"/>
      <c r="E24028" s="57"/>
      <c r="H24028" s="18"/>
    </row>
    <row r="24029">
      <c r="C24029" s="18"/>
      <c r="D24029" s="19"/>
      <c r="E24029" s="57"/>
      <c r="H24029" s="18"/>
    </row>
    <row r="24030">
      <c r="C24030" s="18"/>
      <c r="D24030" s="19"/>
      <c r="E24030" s="57"/>
      <c r="H24030" s="18"/>
    </row>
    <row r="24031">
      <c r="C24031" s="18"/>
      <c r="D24031" s="19"/>
      <c r="E24031" s="57"/>
      <c r="H24031" s="18"/>
    </row>
    <row r="24032">
      <c r="C24032" s="18"/>
      <c r="D24032" s="19"/>
      <c r="E24032" s="57"/>
      <c r="H24032" s="18"/>
    </row>
    <row r="24033">
      <c r="C24033" s="18"/>
      <c r="D24033" s="19"/>
      <c r="E24033" s="57"/>
      <c r="H24033" s="18"/>
    </row>
    <row r="24034">
      <c r="C24034" s="18"/>
      <c r="D24034" s="19"/>
      <c r="E24034" s="57"/>
      <c r="H24034" s="18"/>
    </row>
    <row r="24035">
      <c r="C24035" s="18"/>
      <c r="D24035" s="19"/>
      <c r="E24035" s="57"/>
      <c r="H24035" s="18"/>
    </row>
    <row r="24036">
      <c r="C24036" s="18"/>
      <c r="D24036" s="19"/>
      <c r="E24036" s="57"/>
      <c r="H24036" s="18"/>
    </row>
    <row r="24037">
      <c r="C24037" s="18"/>
      <c r="D24037" s="19"/>
      <c r="E24037" s="57"/>
      <c r="H24037" s="18"/>
    </row>
    <row r="24038">
      <c r="C24038" s="18"/>
      <c r="D24038" s="19"/>
      <c r="E24038" s="57"/>
      <c r="H24038" s="18"/>
    </row>
    <row r="24039">
      <c r="C24039" s="18"/>
      <c r="D24039" s="19"/>
      <c r="E24039" s="57"/>
      <c r="H24039" s="18"/>
    </row>
    <row r="24040">
      <c r="C24040" s="18"/>
      <c r="D24040" s="19"/>
      <c r="E24040" s="57"/>
      <c r="H24040" s="18"/>
    </row>
    <row r="24041">
      <c r="C24041" s="18"/>
      <c r="D24041" s="19"/>
      <c r="E24041" s="57"/>
      <c r="H24041" s="18"/>
    </row>
    <row r="24042">
      <c r="C24042" s="18"/>
      <c r="D24042" s="19"/>
      <c r="E24042" s="57"/>
      <c r="H24042" s="18"/>
    </row>
    <row r="24043">
      <c r="C24043" s="18"/>
      <c r="D24043" s="19"/>
      <c r="E24043" s="57"/>
      <c r="H24043" s="18"/>
    </row>
    <row r="24044">
      <c r="C24044" s="18"/>
      <c r="D24044" s="19"/>
      <c r="E24044" s="57"/>
      <c r="H24044" s="18"/>
    </row>
    <row r="24045">
      <c r="C24045" s="18"/>
      <c r="D24045" s="19"/>
      <c r="E24045" s="57"/>
      <c r="H24045" s="18"/>
    </row>
    <row r="24046">
      <c r="C24046" s="18"/>
      <c r="D24046" s="19"/>
      <c r="E24046" s="57"/>
      <c r="H24046" s="18"/>
    </row>
    <row r="24047">
      <c r="C24047" s="18"/>
      <c r="D24047" s="19"/>
      <c r="E24047" s="57"/>
      <c r="H24047" s="18"/>
    </row>
    <row r="24048">
      <c r="C24048" s="18"/>
      <c r="D24048" s="19"/>
      <c r="E24048" s="57"/>
      <c r="H24048" s="18"/>
    </row>
    <row r="24049">
      <c r="C24049" s="18"/>
      <c r="D24049" s="19"/>
      <c r="E24049" s="57"/>
      <c r="H24049" s="18"/>
    </row>
    <row r="24050">
      <c r="C24050" s="18"/>
      <c r="D24050" s="19"/>
      <c r="E24050" s="57"/>
      <c r="H24050" s="18"/>
    </row>
    <row r="24051">
      <c r="C24051" s="18"/>
      <c r="D24051" s="19"/>
      <c r="E24051" s="57"/>
      <c r="H24051" s="18"/>
    </row>
    <row r="24052">
      <c r="C24052" s="18"/>
      <c r="D24052" s="19"/>
      <c r="E24052" s="57"/>
      <c r="H24052" s="18"/>
    </row>
    <row r="24053">
      <c r="C24053" s="18"/>
      <c r="D24053" s="19"/>
      <c r="E24053" s="57"/>
      <c r="H24053" s="18"/>
    </row>
    <row r="24054">
      <c r="C24054" s="18"/>
      <c r="D24054" s="19"/>
      <c r="E24054" s="57"/>
      <c r="H24054" s="18"/>
    </row>
    <row r="24055">
      <c r="C24055" s="18"/>
      <c r="D24055" s="19"/>
      <c r="E24055" s="57"/>
      <c r="H24055" s="18"/>
    </row>
    <row r="24056">
      <c r="C24056" s="18"/>
      <c r="D24056" s="19"/>
      <c r="E24056" s="57"/>
      <c r="H24056" s="18"/>
    </row>
    <row r="24057">
      <c r="C24057" s="18"/>
      <c r="D24057" s="19"/>
      <c r="E24057" s="57"/>
      <c r="H24057" s="18"/>
    </row>
    <row r="24058">
      <c r="C24058" s="18"/>
      <c r="D24058" s="19"/>
      <c r="E24058" s="57"/>
      <c r="H24058" s="18"/>
    </row>
    <row r="24059">
      <c r="C24059" s="18"/>
      <c r="D24059" s="19"/>
      <c r="E24059" s="57"/>
      <c r="H24059" s="18"/>
    </row>
    <row r="24060">
      <c r="C24060" s="18"/>
      <c r="D24060" s="19"/>
      <c r="E24060" s="57"/>
      <c r="H24060" s="18"/>
    </row>
    <row r="24061">
      <c r="C24061" s="18"/>
      <c r="D24061" s="19"/>
      <c r="E24061" s="57"/>
      <c r="H24061" s="18"/>
    </row>
    <row r="24062">
      <c r="C24062" s="18"/>
      <c r="D24062" s="19"/>
      <c r="E24062" s="57"/>
      <c r="H24062" s="18"/>
    </row>
    <row r="24063">
      <c r="C24063" s="18"/>
      <c r="D24063" s="19"/>
      <c r="E24063" s="57"/>
      <c r="H24063" s="18"/>
    </row>
    <row r="24064">
      <c r="C24064" s="18"/>
      <c r="D24064" s="19"/>
      <c r="E24064" s="57"/>
      <c r="H24064" s="18"/>
    </row>
    <row r="24065">
      <c r="C24065" s="18"/>
      <c r="D24065" s="19"/>
      <c r="E24065" s="57"/>
      <c r="H24065" s="18"/>
    </row>
    <row r="24066">
      <c r="C24066" s="18"/>
      <c r="D24066" s="19"/>
      <c r="E24066" s="57"/>
      <c r="H24066" s="18"/>
    </row>
    <row r="24067">
      <c r="C24067" s="18"/>
      <c r="D24067" s="19"/>
      <c r="E24067" s="57"/>
      <c r="H24067" s="18"/>
    </row>
    <row r="24068">
      <c r="C24068" s="18"/>
      <c r="D24068" s="19"/>
      <c r="E24068" s="57"/>
      <c r="H24068" s="18"/>
    </row>
    <row r="24069">
      <c r="C24069" s="18"/>
      <c r="D24069" s="19"/>
      <c r="E24069" s="57"/>
      <c r="H24069" s="18"/>
    </row>
    <row r="24070">
      <c r="C24070" s="18"/>
      <c r="D24070" s="19"/>
      <c r="E24070" s="57"/>
      <c r="H24070" s="18"/>
    </row>
    <row r="24071">
      <c r="C24071" s="18"/>
      <c r="D24071" s="19"/>
      <c r="E24071" s="57"/>
      <c r="H24071" s="18"/>
    </row>
    <row r="24072">
      <c r="C24072" s="18"/>
      <c r="D24072" s="19"/>
      <c r="E24072" s="57"/>
      <c r="H24072" s="18"/>
    </row>
    <row r="24073">
      <c r="C24073" s="18"/>
      <c r="D24073" s="19"/>
      <c r="E24073" s="57"/>
      <c r="H24073" s="18"/>
    </row>
    <row r="24074">
      <c r="C24074" s="18"/>
      <c r="D24074" s="19"/>
      <c r="E24074" s="57"/>
      <c r="H24074" s="18"/>
    </row>
    <row r="24075">
      <c r="C24075" s="18"/>
      <c r="D24075" s="19"/>
      <c r="E24075" s="57"/>
      <c r="H24075" s="18"/>
    </row>
    <row r="24076">
      <c r="C24076" s="18"/>
      <c r="D24076" s="19"/>
      <c r="E24076" s="57"/>
      <c r="H24076" s="18"/>
    </row>
    <row r="24077">
      <c r="C24077" s="18"/>
      <c r="D24077" s="19"/>
      <c r="E24077" s="57"/>
      <c r="H24077" s="18"/>
    </row>
    <row r="24078">
      <c r="C24078" s="18"/>
      <c r="D24078" s="19"/>
      <c r="E24078" s="57"/>
      <c r="H24078" s="18"/>
    </row>
    <row r="24079">
      <c r="C24079" s="18"/>
      <c r="D24079" s="19"/>
      <c r="E24079" s="57"/>
      <c r="H24079" s="18"/>
    </row>
    <row r="24080">
      <c r="C24080" s="18"/>
      <c r="D24080" s="19"/>
      <c r="E24080" s="57"/>
      <c r="H24080" s="18"/>
    </row>
    <row r="24081">
      <c r="C24081" s="18"/>
      <c r="D24081" s="19"/>
      <c r="E24081" s="57"/>
      <c r="H24081" s="18"/>
    </row>
    <row r="24082">
      <c r="C24082" s="18"/>
      <c r="D24082" s="19"/>
      <c r="E24082" s="57"/>
      <c r="H24082" s="18"/>
    </row>
    <row r="24083">
      <c r="C24083" s="18"/>
      <c r="D24083" s="19"/>
      <c r="E24083" s="57"/>
      <c r="H24083" s="18"/>
    </row>
    <row r="24084">
      <c r="C24084" s="18"/>
      <c r="D24084" s="19"/>
      <c r="E24084" s="57"/>
      <c r="H24084" s="18"/>
    </row>
    <row r="24085">
      <c r="C24085" s="18"/>
      <c r="D24085" s="19"/>
      <c r="E24085" s="57"/>
      <c r="H24085" s="18"/>
    </row>
    <row r="24086">
      <c r="C24086" s="18"/>
      <c r="D24086" s="19"/>
      <c r="E24086" s="57"/>
      <c r="H24086" s="18"/>
    </row>
    <row r="24087">
      <c r="C24087" s="18"/>
      <c r="D24087" s="19"/>
      <c r="E24087" s="57"/>
      <c r="H24087" s="18"/>
    </row>
    <row r="24088">
      <c r="C24088" s="18"/>
      <c r="D24088" s="19"/>
      <c r="E24088" s="57"/>
      <c r="H24088" s="18"/>
    </row>
    <row r="24089">
      <c r="C24089" s="18"/>
      <c r="D24089" s="19"/>
      <c r="E24089" s="57"/>
      <c r="H24089" s="18"/>
    </row>
    <row r="24090">
      <c r="C24090" s="18"/>
      <c r="D24090" s="19"/>
      <c r="E24090" s="57"/>
      <c r="H24090" s="18"/>
    </row>
    <row r="24091">
      <c r="C24091" s="18"/>
      <c r="D24091" s="19"/>
      <c r="E24091" s="57"/>
      <c r="H24091" s="18"/>
    </row>
    <row r="24092">
      <c r="C24092" s="18"/>
      <c r="D24092" s="19"/>
      <c r="E24092" s="57"/>
      <c r="H24092" s="18"/>
    </row>
    <row r="24093">
      <c r="C24093" s="18"/>
      <c r="D24093" s="19"/>
      <c r="E24093" s="57"/>
      <c r="H24093" s="18"/>
    </row>
    <row r="24094">
      <c r="C24094" s="18"/>
      <c r="D24094" s="19"/>
      <c r="E24094" s="57"/>
      <c r="H24094" s="18"/>
    </row>
    <row r="24095">
      <c r="C24095" s="18"/>
      <c r="D24095" s="19"/>
      <c r="E24095" s="57"/>
      <c r="H24095" s="18"/>
    </row>
    <row r="24096">
      <c r="C24096" s="18"/>
      <c r="D24096" s="19"/>
      <c r="E24096" s="57"/>
      <c r="H24096" s="18"/>
    </row>
    <row r="24097">
      <c r="C24097" s="18"/>
      <c r="D24097" s="19"/>
      <c r="E24097" s="57"/>
      <c r="H24097" s="18"/>
    </row>
    <row r="24098">
      <c r="C24098" s="18"/>
      <c r="D24098" s="19"/>
      <c r="E24098" s="57"/>
      <c r="H24098" s="18"/>
    </row>
    <row r="24099">
      <c r="C24099" s="18"/>
      <c r="D24099" s="19"/>
      <c r="E24099" s="57"/>
      <c r="H24099" s="18"/>
    </row>
    <row r="24100">
      <c r="C24100" s="18"/>
      <c r="D24100" s="19"/>
      <c r="E24100" s="57"/>
      <c r="H24100" s="18"/>
    </row>
    <row r="24101">
      <c r="C24101" s="18"/>
      <c r="D24101" s="19"/>
      <c r="E24101" s="57"/>
      <c r="H24101" s="18"/>
    </row>
    <row r="24102">
      <c r="C24102" s="18"/>
      <c r="D24102" s="19"/>
      <c r="E24102" s="57"/>
      <c r="H24102" s="18"/>
    </row>
    <row r="24103">
      <c r="C24103" s="18"/>
      <c r="D24103" s="19"/>
      <c r="E24103" s="57"/>
      <c r="H24103" s="18"/>
    </row>
    <row r="24104">
      <c r="C24104" s="18"/>
      <c r="D24104" s="19"/>
      <c r="E24104" s="57"/>
      <c r="H24104" s="18"/>
    </row>
    <row r="24105">
      <c r="C24105" s="18"/>
      <c r="D24105" s="19"/>
      <c r="E24105" s="57"/>
      <c r="H24105" s="18"/>
    </row>
    <row r="24106">
      <c r="C24106" s="18"/>
      <c r="D24106" s="19"/>
      <c r="E24106" s="57"/>
      <c r="H24106" s="18"/>
    </row>
    <row r="24107">
      <c r="C24107" s="18"/>
      <c r="D24107" s="19"/>
      <c r="E24107" s="57"/>
      <c r="H24107" s="18"/>
    </row>
    <row r="24108">
      <c r="C24108" s="18"/>
      <c r="D24108" s="19"/>
      <c r="E24108" s="57"/>
      <c r="H24108" s="18"/>
    </row>
    <row r="24109">
      <c r="C24109" s="18"/>
      <c r="D24109" s="19"/>
      <c r="E24109" s="57"/>
      <c r="H24109" s="18"/>
    </row>
    <row r="24110">
      <c r="C24110" s="18"/>
      <c r="D24110" s="19"/>
      <c r="E24110" s="57"/>
      <c r="H24110" s="18"/>
    </row>
    <row r="24111">
      <c r="C24111" s="18"/>
      <c r="D24111" s="19"/>
      <c r="E24111" s="57"/>
      <c r="H24111" s="18"/>
    </row>
    <row r="24112">
      <c r="C24112" s="18"/>
      <c r="D24112" s="19"/>
      <c r="E24112" s="57"/>
      <c r="H24112" s="18"/>
    </row>
    <row r="24113">
      <c r="C24113" s="18"/>
      <c r="D24113" s="19"/>
      <c r="E24113" s="57"/>
      <c r="H24113" s="18"/>
    </row>
    <row r="24114">
      <c r="C24114" s="18"/>
      <c r="D24114" s="19"/>
      <c r="E24114" s="57"/>
      <c r="H24114" s="18"/>
    </row>
    <row r="24115">
      <c r="C24115" s="18"/>
      <c r="D24115" s="19"/>
      <c r="E24115" s="57"/>
      <c r="H24115" s="18"/>
    </row>
    <row r="24116">
      <c r="C24116" s="18"/>
      <c r="D24116" s="19"/>
      <c r="E24116" s="57"/>
      <c r="H24116" s="18"/>
    </row>
    <row r="24117">
      <c r="C24117" s="18"/>
      <c r="D24117" s="19"/>
      <c r="E24117" s="57"/>
      <c r="H24117" s="18"/>
    </row>
    <row r="24118">
      <c r="C24118" s="18"/>
      <c r="D24118" s="19"/>
      <c r="E24118" s="57"/>
      <c r="H24118" s="18"/>
    </row>
    <row r="24119">
      <c r="C24119" s="18"/>
      <c r="D24119" s="19"/>
      <c r="E24119" s="57"/>
      <c r="H24119" s="18"/>
    </row>
    <row r="24120">
      <c r="C24120" s="18"/>
      <c r="D24120" s="19"/>
      <c r="E24120" s="57"/>
      <c r="H24120" s="18"/>
    </row>
    <row r="24121">
      <c r="C24121" s="18"/>
      <c r="D24121" s="19"/>
      <c r="E24121" s="57"/>
      <c r="H24121" s="18"/>
    </row>
    <row r="24122">
      <c r="C24122" s="18"/>
      <c r="D24122" s="19"/>
      <c r="E24122" s="57"/>
      <c r="H24122" s="18"/>
    </row>
    <row r="24123">
      <c r="C24123" s="18"/>
      <c r="D24123" s="19"/>
      <c r="E24123" s="57"/>
      <c r="H24123" s="18"/>
    </row>
    <row r="24124">
      <c r="C24124" s="18"/>
      <c r="D24124" s="19"/>
      <c r="E24124" s="57"/>
      <c r="H24124" s="18"/>
    </row>
    <row r="24125">
      <c r="C24125" s="18"/>
      <c r="D24125" s="19"/>
      <c r="E24125" s="57"/>
      <c r="H24125" s="18"/>
    </row>
    <row r="24126">
      <c r="C24126" s="18"/>
      <c r="D24126" s="19"/>
      <c r="E24126" s="57"/>
      <c r="H24126" s="18"/>
    </row>
    <row r="24127">
      <c r="C24127" s="18"/>
      <c r="D24127" s="19"/>
      <c r="E24127" s="57"/>
      <c r="H24127" s="18"/>
    </row>
    <row r="24128">
      <c r="C24128" s="18"/>
      <c r="D24128" s="19"/>
      <c r="E24128" s="57"/>
      <c r="H24128" s="18"/>
    </row>
    <row r="24129">
      <c r="C24129" s="18"/>
      <c r="D24129" s="19"/>
      <c r="E24129" s="57"/>
      <c r="H24129" s="18"/>
    </row>
    <row r="24130">
      <c r="C24130" s="18"/>
      <c r="D24130" s="19"/>
      <c r="E24130" s="57"/>
      <c r="H24130" s="18"/>
    </row>
    <row r="24131">
      <c r="C24131" s="18"/>
      <c r="D24131" s="19"/>
      <c r="E24131" s="57"/>
      <c r="H24131" s="18"/>
    </row>
    <row r="24132">
      <c r="C24132" s="18"/>
      <c r="D24132" s="19"/>
      <c r="E24132" s="57"/>
      <c r="H24132" s="18"/>
    </row>
    <row r="24133">
      <c r="C24133" s="18"/>
      <c r="D24133" s="19"/>
      <c r="E24133" s="57"/>
      <c r="H24133" s="18"/>
    </row>
    <row r="24134">
      <c r="C24134" s="18"/>
      <c r="D24134" s="19"/>
      <c r="E24134" s="57"/>
      <c r="H24134" s="18"/>
    </row>
    <row r="24135">
      <c r="C24135" s="18"/>
      <c r="D24135" s="19"/>
      <c r="E24135" s="57"/>
      <c r="H24135" s="18"/>
    </row>
    <row r="24136">
      <c r="C24136" s="18"/>
      <c r="D24136" s="19"/>
      <c r="E24136" s="57"/>
      <c r="H24136" s="18"/>
    </row>
    <row r="24137">
      <c r="C24137" s="18"/>
      <c r="D24137" s="19"/>
      <c r="E24137" s="57"/>
      <c r="H24137" s="18"/>
    </row>
    <row r="24138">
      <c r="C24138" s="18"/>
      <c r="D24138" s="19"/>
      <c r="E24138" s="57"/>
      <c r="H24138" s="18"/>
    </row>
    <row r="24139">
      <c r="C24139" s="18"/>
      <c r="D24139" s="19"/>
      <c r="E24139" s="57"/>
      <c r="H24139" s="18"/>
    </row>
    <row r="24140">
      <c r="C24140" s="18"/>
      <c r="D24140" s="19"/>
      <c r="E24140" s="57"/>
      <c r="H24140" s="18"/>
    </row>
    <row r="24141">
      <c r="C24141" s="18"/>
      <c r="D24141" s="19"/>
      <c r="E24141" s="57"/>
      <c r="H24141" s="18"/>
    </row>
    <row r="24142">
      <c r="C24142" s="18"/>
      <c r="D24142" s="19"/>
      <c r="E24142" s="57"/>
      <c r="H24142" s="18"/>
    </row>
    <row r="24143">
      <c r="C24143" s="18"/>
      <c r="D24143" s="19"/>
      <c r="E24143" s="57"/>
      <c r="H24143" s="18"/>
    </row>
    <row r="24144">
      <c r="C24144" s="18"/>
      <c r="D24144" s="19"/>
      <c r="E24144" s="57"/>
      <c r="H24144" s="18"/>
    </row>
    <row r="24145">
      <c r="C24145" s="18"/>
      <c r="D24145" s="19"/>
      <c r="E24145" s="57"/>
      <c r="H24145" s="18"/>
    </row>
    <row r="24146">
      <c r="C24146" s="18"/>
      <c r="D24146" s="19"/>
      <c r="E24146" s="57"/>
      <c r="H24146" s="18"/>
    </row>
    <row r="24147">
      <c r="C24147" s="18"/>
      <c r="D24147" s="19"/>
      <c r="E24147" s="57"/>
      <c r="H24147" s="18"/>
    </row>
    <row r="24148">
      <c r="C24148" s="18"/>
      <c r="D24148" s="19"/>
      <c r="E24148" s="57"/>
      <c r="H24148" s="18"/>
    </row>
    <row r="24149">
      <c r="C24149" s="18"/>
      <c r="D24149" s="19"/>
      <c r="E24149" s="57"/>
      <c r="H24149" s="18"/>
    </row>
    <row r="24150">
      <c r="C24150" s="18"/>
      <c r="D24150" s="19"/>
      <c r="E24150" s="57"/>
      <c r="H24150" s="18"/>
    </row>
    <row r="24151">
      <c r="C24151" s="18"/>
      <c r="D24151" s="19"/>
      <c r="E24151" s="57"/>
      <c r="H24151" s="18"/>
    </row>
    <row r="24152">
      <c r="C24152" s="18"/>
      <c r="D24152" s="19"/>
      <c r="E24152" s="57"/>
      <c r="H24152" s="18"/>
    </row>
    <row r="24153">
      <c r="C24153" s="18"/>
      <c r="D24153" s="19"/>
      <c r="E24153" s="57"/>
      <c r="H24153" s="18"/>
    </row>
    <row r="24154">
      <c r="C24154" s="18"/>
      <c r="D24154" s="19"/>
      <c r="E24154" s="57"/>
      <c r="H24154" s="18"/>
    </row>
    <row r="24155">
      <c r="C24155" s="18"/>
      <c r="D24155" s="19"/>
      <c r="E24155" s="57"/>
      <c r="H24155" s="18"/>
    </row>
    <row r="24156">
      <c r="C24156" s="18"/>
      <c r="D24156" s="19"/>
      <c r="E24156" s="57"/>
      <c r="H24156" s="18"/>
    </row>
    <row r="24157">
      <c r="C24157" s="18"/>
      <c r="D24157" s="19"/>
      <c r="E24157" s="57"/>
      <c r="H24157" s="18"/>
    </row>
    <row r="24158">
      <c r="C24158" s="18"/>
      <c r="D24158" s="19"/>
      <c r="E24158" s="57"/>
      <c r="H24158" s="18"/>
    </row>
    <row r="24159">
      <c r="C24159" s="18"/>
      <c r="D24159" s="19"/>
      <c r="E24159" s="57"/>
      <c r="H24159" s="18"/>
    </row>
    <row r="24160">
      <c r="C24160" s="18"/>
      <c r="D24160" s="19"/>
      <c r="E24160" s="57"/>
      <c r="H24160" s="18"/>
    </row>
    <row r="24161">
      <c r="C24161" s="18"/>
      <c r="D24161" s="19"/>
      <c r="E24161" s="57"/>
      <c r="H24161" s="18"/>
    </row>
    <row r="24162">
      <c r="C24162" s="18"/>
      <c r="D24162" s="19"/>
      <c r="E24162" s="57"/>
      <c r="H24162" s="18"/>
    </row>
    <row r="24163">
      <c r="C24163" s="18"/>
      <c r="D24163" s="19"/>
      <c r="E24163" s="57"/>
      <c r="H24163" s="18"/>
    </row>
    <row r="24164">
      <c r="C24164" s="18"/>
      <c r="D24164" s="19"/>
      <c r="E24164" s="57"/>
      <c r="H24164" s="18"/>
    </row>
    <row r="24165">
      <c r="C24165" s="18"/>
      <c r="D24165" s="19"/>
      <c r="E24165" s="57"/>
      <c r="H24165" s="18"/>
    </row>
    <row r="24166">
      <c r="C24166" s="18"/>
      <c r="D24166" s="19"/>
      <c r="E24166" s="57"/>
      <c r="H24166" s="18"/>
    </row>
    <row r="24167">
      <c r="C24167" s="18"/>
      <c r="D24167" s="19"/>
      <c r="E24167" s="57"/>
      <c r="H24167" s="18"/>
    </row>
    <row r="24168">
      <c r="C24168" s="18"/>
      <c r="D24168" s="19"/>
      <c r="E24168" s="57"/>
      <c r="H24168" s="18"/>
    </row>
    <row r="24169">
      <c r="C24169" s="18"/>
      <c r="D24169" s="19"/>
      <c r="E24169" s="57"/>
      <c r="H24169" s="18"/>
    </row>
    <row r="24170">
      <c r="C24170" s="18"/>
      <c r="D24170" s="19"/>
      <c r="E24170" s="57"/>
      <c r="H24170" s="18"/>
    </row>
    <row r="24171">
      <c r="C24171" s="18"/>
      <c r="D24171" s="19"/>
      <c r="E24171" s="57"/>
      <c r="H24171" s="18"/>
    </row>
    <row r="24172">
      <c r="C24172" s="18"/>
      <c r="D24172" s="19"/>
      <c r="E24172" s="57"/>
      <c r="H24172" s="18"/>
    </row>
    <row r="24173">
      <c r="C24173" s="18"/>
      <c r="D24173" s="19"/>
      <c r="E24173" s="57"/>
      <c r="H24173" s="18"/>
    </row>
    <row r="24174">
      <c r="C24174" s="18"/>
      <c r="D24174" s="19"/>
      <c r="E24174" s="57"/>
      <c r="H24174" s="18"/>
    </row>
    <row r="24175">
      <c r="C24175" s="18"/>
      <c r="D24175" s="19"/>
      <c r="E24175" s="57"/>
      <c r="H24175" s="18"/>
    </row>
    <row r="24176">
      <c r="C24176" s="18"/>
      <c r="D24176" s="19"/>
      <c r="E24176" s="57"/>
      <c r="H24176" s="18"/>
    </row>
    <row r="24177">
      <c r="C24177" s="18"/>
      <c r="D24177" s="19"/>
      <c r="E24177" s="57"/>
      <c r="H24177" s="18"/>
    </row>
    <row r="24178">
      <c r="C24178" s="18"/>
      <c r="D24178" s="19"/>
      <c r="E24178" s="57"/>
      <c r="H24178" s="18"/>
    </row>
    <row r="24179">
      <c r="C24179" s="18"/>
      <c r="D24179" s="19"/>
      <c r="E24179" s="57"/>
      <c r="H24179" s="18"/>
    </row>
    <row r="24180">
      <c r="C24180" s="18"/>
      <c r="D24180" s="19"/>
      <c r="E24180" s="57"/>
      <c r="H24180" s="18"/>
    </row>
    <row r="24181">
      <c r="C24181" s="18"/>
      <c r="D24181" s="19"/>
      <c r="E24181" s="57"/>
      <c r="H24181" s="18"/>
    </row>
    <row r="24182">
      <c r="C24182" s="18"/>
      <c r="D24182" s="19"/>
      <c r="E24182" s="57"/>
      <c r="H24182" s="18"/>
    </row>
    <row r="24183">
      <c r="C24183" s="18"/>
      <c r="D24183" s="19"/>
      <c r="E24183" s="57"/>
      <c r="H24183" s="18"/>
    </row>
    <row r="24184">
      <c r="C24184" s="18"/>
      <c r="D24184" s="19"/>
      <c r="E24184" s="57"/>
      <c r="H24184" s="18"/>
    </row>
    <row r="24185">
      <c r="C24185" s="18"/>
      <c r="D24185" s="19"/>
      <c r="E24185" s="57"/>
      <c r="H24185" s="18"/>
    </row>
    <row r="24186">
      <c r="C24186" s="18"/>
      <c r="D24186" s="19"/>
      <c r="E24186" s="57"/>
      <c r="H24186" s="18"/>
    </row>
    <row r="24187">
      <c r="C24187" s="18"/>
      <c r="D24187" s="19"/>
      <c r="E24187" s="57"/>
      <c r="H24187" s="18"/>
    </row>
    <row r="24188">
      <c r="C24188" s="18"/>
      <c r="D24188" s="19"/>
      <c r="E24188" s="57"/>
      <c r="H24188" s="18"/>
    </row>
    <row r="24189">
      <c r="C24189" s="18"/>
      <c r="D24189" s="19"/>
      <c r="E24189" s="57"/>
      <c r="H24189" s="18"/>
    </row>
    <row r="24190">
      <c r="C24190" s="18"/>
      <c r="D24190" s="19"/>
      <c r="E24190" s="57"/>
      <c r="H24190" s="18"/>
    </row>
    <row r="24191">
      <c r="C24191" s="18"/>
      <c r="D24191" s="19"/>
      <c r="E24191" s="57"/>
      <c r="H24191" s="18"/>
    </row>
    <row r="24192">
      <c r="C24192" s="18"/>
      <c r="D24192" s="19"/>
      <c r="E24192" s="57"/>
      <c r="H24192" s="18"/>
    </row>
    <row r="24193">
      <c r="C24193" s="18"/>
      <c r="D24193" s="19"/>
      <c r="E24193" s="57"/>
      <c r="H24193" s="18"/>
    </row>
    <row r="24194">
      <c r="C24194" s="18"/>
      <c r="D24194" s="19"/>
      <c r="E24194" s="57"/>
      <c r="H24194" s="18"/>
    </row>
    <row r="24195">
      <c r="C24195" s="18"/>
      <c r="D24195" s="19"/>
      <c r="E24195" s="57"/>
      <c r="H24195" s="18"/>
    </row>
    <row r="24196">
      <c r="C24196" s="18"/>
      <c r="D24196" s="19"/>
      <c r="E24196" s="57"/>
      <c r="H24196" s="18"/>
    </row>
    <row r="24197">
      <c r="C24197" s="18"/>
      <c r="D24197" s="19"/>
      <c r="E24197" s="57"/>
      <c r="H24197" s="18"/>
    </row>
    <row r="24198">
      <c r="C24198" s="18"/>
      <c r="D24198" s="19"/>
      <c r="E24198" s="57"/>
      <c r="H24198" s="18"/>
    </row>
    <row r="24199">
      <c r="C24199" s="18"/>
      <c r="D24199" s="19"/>
      <c r="E24199" s="57"/>
      <c r="H24199" s="18"/>
    </row>
    <row r="24200">
      <c r="C24200" s="18"/>
      <c r="D24200" s="19"/>
      <c r="E24200" s="57"/>
      <c r="H24200" s="18"/>
    </row>
    <row r="24201">
      <c r="C24201" s="18"/>
      <c r="D24201" s="19"/>
      <c r="E24201" s="57"/>
      <c r="H24201" s="18"/>
    </row>
    <row r="24202">
      <c r="C24202" s="18"/>
      <c r="D24202" s="19"/>
      <c r="E24202" s="57"/>
      <c r="H24202" s="18"/>
    </row>
    <row r="24203">
      <c r="C24203" s="18"/>
      <c r="D24203" s="19"/>
      <c r="E24203" s="57"/>
      <c r="H24203" s="18"/>
    </row>
    <row r="24204">
      <c r="C24204" s="18"/>
      <c r="D24204" s="19"/>
      <c r="E24204" s="57"/>
      <c r="H24204" s="18"/>
    </row>
    <row r="24205">
      <c r="C24205" s="18"/>
      <c r="D24205" s="19"/>
      <c r="E24205" s="57"/>
      <c r="H24205" s="18"/>
    </row>
    <row r="24206">
      <c r="C24206" s="18"/>
      <c r="D24206" s="19"/>
      <c r="E24206" s="57"/>
      <c r="H24206" s="18"/>
    </row>
    <row r="24207">
      <c r="C24207" s="18"/>
      <c r="D24207" s="19"/>
      <c r="E24207" s="57"/>
      <c r="H24207" s="18"/>
    </row>
    <row r="24208">
      <c r="C24208" s="18"/>
      <c r="D24208" s="19"/>
      <c r="E24208" s="57"/>
      <c r="H24208" s="18"/>
    </row>
    <row r="24209">
      <c r="C24209" s="18"/>
      <c r="D24209" s="19"/>
      <c r="E24209" s="57"/>
      <c r="H24209" s="18"/>
    </row>
    <row r="24210">
      <c r="C24210" s="18"/>
      <c r="D24210" s="19"/>
      <c r="E24210" s="57"/>
      <c r="H24210" s="18"/>
    </row>
    <row r="24211">
      <c r="C24211" s="18"/>
      <c r="D24211" s="19"/>
      <c r="E24211" s="57"/>
      <c r="H24211" s="18"/>
    </row>
    <row r="24212">
      <c r="C24212" s="18"/>
      <c r="D24212" s="19"/>
      <c r="E24212" s="57"/>
      <c r="H24212" s="18"/>
    </row>
    <row r="24213">
      <c r="C24213" s="18"/>
      <c r="D24213" s="19"/>
      <c r="E24213" s="57"/>
      <c r="H24213" s="18"/>
    </row>
    <row r="24214">
      <c r="C24214" s="18"/>
      <c r="D24214" s="19"/>
      <c r="E24214" s="57"/>
      <c r="H24214" s="18"/>
    </row>
    <row r="24215">
      <c r="C24215" s="18"/>
      <c r="D24215" s="19"/>
      <c r="E24215" s="57"/>
      <c r="H24215" s="18"/>
    </row>
    <row r="24216">
      <c r="C24216" s="18"/>
      <c r="D24216" s="19"/>
      <c r="E24216" s="57"/>
      <c r="H24216" s="18"/>
    </row>
    <row r="24217">
      <c r="C24217" s="18"/>
      <c r="D24217" s="19"/>
      <c r="E24217" s="57"/>
      <c r="H24217" s="18"/>
    </row>
    <row r="24218">
      <c r="C24218" s="18"/>
      <c r="D24218" s="19"/>
      <c r="E24218" s="57"/>
      <c r="H24218" s="18"/>
    </row>
    <row r="24219">
      <c r="C24219" s="18"/>
      <c r="D24219" s="19"/>
      <c r="E24219" s="57"/>
      <c r="H24219" s="18"/>
    </row>
    <row r="24220">
      <c r="C24220" s="18"/>
      <c r="D24220" s="19"/>
      <c r="E24220" s="57"/>
      <c r="H24220" s="18"/>
    </row>
    <row r="24221">
      <c r="C24221" s="18"/>
      <c r="D24221" s="19"/>
      <c r="E24221" s="57"/>
      <c r="H24221" s="18"/>
    </row>
    <row r="24222">
      <c r="C24222" s="18"/>
      <c r="D24222" s="19"/>
      <c r="E24222" s="57"/>
      <c r="H24222" s="18"/>
    </row>
    <row r="24223">
      <c r="C24223" s="18"/>
      <c r="D24223" s="19"/>
      <c r="E24223" s="57"/>
      <c r="H24223" s="18"/>
    </row>
    <row r="24224">
      <c r="C24224" s="18"/>
      <c r="D24224" s="19"/>
      <c r="E24224" s="57"/>
      <c r="H24224" s="18"/>
    </row>
    <row r="24225">
      <c r="C24225" s="18"/>
      <c r="D24225" s="19"/>
      <c r="E24225" s="57"/>
      <c r="H24225" s="18"/>
    </row>
    <row r="24226">
      <c r="C24226" s="18"/>
      <c r="D24226" s="19"/>
      <c r="E24226" s="57"/>
      <c r="H24226" s="18"/>
    </row>
    <row r="24227">
      <c r="C24227" s="18"/>
      <c r="D24227" s="19"/>
      <c r="E24227" s="57"/>
      <c r="H24227" s="18"/>
    </row>
    <row r="24228">
      <c r="C24228" s="18"/>
      <c r="D24228" s="19"/>
      <c r="E24228" s="57"/>
      <c r="H24228" s="18"/>
    </row>
    <row r="24229">
      <c r="C24229" s="18"/>
      <c r="D24229" s="19"/>
      <c r="E24229" s="57"/>
      <c r="H24229" s="18"/>
    </row>
    <row r="24230">
      <c r="C24230" s="18"/>
      <c r="D24230" s="19"/>
      <c r="E24230" s="57"/>
      <c r="H24230" s="18"/>
    </row>
    <row r="24231">
      <c r="C24231" s="18"/>
      <c r="D24231" s="19"/>
      <c r="E24231" s="57"/>
      <c r="H24231" s="18"/>
    </row>
    <row r="24232">
      <c r="C24232" s="18"/>
      <c r="D24232" s="19"/>
      <c r="E24232" s="57"/>
      <c r="H24232" s="18"/>
    </row>
    <row r="24233">
      <c r="C24233" s="18"/>
      <c r="D24233" s="19"/>
      <c r="E24233" s="57"/>
      <c r="H24233" s="18"/>
    </row>
    <row r="24234">
      <c r="C24234" s="18"/>
      <c r="D24234" s="19"/>
      <c r="E24234" s="57"/>
      <c r="H24234" s="18"/>
    </row>
    <row r="24235">
      <c r="C24235" s="18"/>
      <c r="D24235" s="19"/>
      <c r="E24235" s="57"/>
      <c r="H24235" s="18"/>
    </row>
    <row r="24236">
      <c r="C24236" s="18"/>
      <c r="D24236" s="19"/>
      <c r="E24236" s="57"/>
      <c r="H24236" s="18"/>
    </row>
    <row r="24237">
      <c r="C24237" s="18"/>
      <c r="D24237" s="19"/>
      <c r="E24237" s="57"/>
      <c r="H24237" s="18"/>
    </row>
    <row r="24238">
      <c r="C24238" s="18"/>
      <c r="D24238" s="19"/>
      <c r="E24238" s="57"/>
      <c r="H24238" s="18"/>
    </row>
    <row r="24239">
      <c r="C24239" s="18"/>
      <c r="D24239" s="19"/>
      <c r="E24239" s="57"/>
      <c r="H24239" s="18"/>
    </row>
    <row r="24240">
      <c r="C24240" s="18"/>
      <c r="D24240" s="19"/>
      <c r="E24240" s="57"/>
      <c r="H24240" s="18"/>
    </row>
    <row r="24241">
      <c r="C24241" s="18"/>
      <c r="D24241" s="19"/>
      <c r="E24241" s="57"/>
      <c r="H24241" s="18"/>
    </row>
    <row r="24242">
      <c r="C24242" s="18"/>
      <c r="D24242" s="19"/>
      <c r="E24242" s="57"/>
      <c r="H24242" s="18"/>
    </row>
    <row r="24243">
      <c r="C24243" s="18"/>
      <c r="D24243" s="19"/>
      <c r="E24243" s="57"/>
      <c r="H24243" s="18"/>
    </row>
    <row r="24244">
      <c r="C24244" s="18"/>
      <c r="D24244" s="19"/>
      <c r="E24244" s="57"/>
      <c r="H24244" s="18"/>
    </row>
    <row r="24245">
      <c r="C24245" s="18"/>
      <c r="D24245" s="19"/>
      <c r="E24245" s="57"/>
      <c r="H24245" s="18"/>
    </row>
    <row r="24246">
      <c r="C24246" s="18"/>
      <c r="D24246" s="19"/>
      <c r="E24246" s="57"/>
      <c r="H24246" s="18"/>
    </row>
    <row r="24247">
      <c r="C24247" s="18"/>
      <c r="D24247" s="19"/>
      <c r="E24247" s="57"/>
      <c r="H24247" s="18"/>
    </row>
    <row r="24248">
      <c r="C24248" s="18"/>
      <c r="D24248" s="19"/>
      <c r="E24248" s="57"/>
      <c r="H24248" s="18"/>
    </row>
    <row r="24249">
      <c r="C24249" s="18"/>
      <c r="D24249" s="19"/>
      <c r="E24249" s="57"/>
      <c r="H24249" s="18"/>
    </row>
    <row r="24250">
      <c r="C24250" s="18"/>
      <c r="D24250" s="19"/>
      <c r="E24250" s="57"/>
      <c r="H24250" s="18"/>
    </row>
    <row r="24251">
      <c r="C24251" s="18"/>
      <c r="D24251" s="19"/>
      <c r="E24251" s="57"/>
      <c r="H24251" s="18"/>
    </row>
    <row r="24252">
      <c r="C24252" s="18"/>
      <c r="D24252" s="19"/>
      <c r="E24252" s="57"/>
      <c r="H24252" s="18"/>
    </row>
    <row r="24253">
      <c r="C24253" s="18"/>
      <c r="D24253" s="19"/>
      <c r="E24253" s="57"/>
      <c r="H24253" s="18"/>
    </row>
    <row r="24254">
      <c r="C24254" s="18"/>
      <c r="D24254" s="19"/>
      <c r="E24254" s="57"/>
      <c r="H24254" s="18"/>
    </row>
    <row r="24255">
      <c r="C24255" s="18"/>
      <c r="D24255" s="19"/>
      <c r="E24255" s="57"/>
      <c r="H24255" s="18"/>
    </row>
    <row r="24256">
      <c r="C24256" s="18"/>
      <c r="D24256" s="19"/>
      <c r="E24256" s="57"/>
      <c r="H24256" s="18"/>
    </row>
    <row r="24257">
      <c r="C24257" s="18"/>
      <c r="D24257" s="19"/>
      <c r="E24257" s="57"/>
      <c r="H24257" s="18"/>
    </row>
    <row r="24258">
      <c r="C24258" s="18"/>
      <c r="D24258" s="19"/>
      <c r="E24258" s="57"/>
      <c r="H24258" s="18"/>
    </row>
    <row r="24259">
      <c r="C24259" s="18"/>
      <c r="D24259" s="19"/>
      <c r="E24259" s="57"/>
      <c r="H24259" s="18"/>
    </row>
    <row r="24260">
      <c r="C24260" s="18"/>
      <c r="D24260" s="19"/>
      <c r="E24260" s="57"/>
      <c r="H24260" s="18"/>
    </row>
    <row r="24261">
      <c r="C24261" s="18"/>
      <c r="D24261" s="19"/>
      <c r="E24261" s="57"/>
      <c r="H24261" s="18"/>
    </row>
    <row r="24262">
      <c r="C24262" s="18"/>
      <c r="D24262" s="19"/>
      <c r="E24262" s="57"/>
      <c r="H24262" s="18"/>
    </row>
    <row r="24263">
      <c r="C24263" s="18"/>
      <c r="D24263" s="19"/>
      <c r="E24263" s="57"/>
      <c r="H24263" s="18"/>
    </row>
    <row r="24264">
      <c r="C24264" s="18"/>
      <c r="D24264" s="19"/>
      <c r="E24264" s="57"/>
      <c r="H24264" s="18"/>
    </row>
    <row r="24265">
      <c r="C24265" s="18"/>
      <c r="D24265" s="19"/>
      <c r="E24265" s="57"/>
      <c r="H24265" s="18"/>
    </row>
    <row r="24266">
      <c r="C24266" s="18"/>
      <c r="D24266" s="19"/>
      <c r="E24266" s="57"/>
      <c r="H24266" s="18"/>
    </row>
    <row r="24267">
      <c r="C24267" s="18"/>
      <c r="D24267" s="19"/>
      <c r="E24267" s="57"/>
      <c r="H24267" s="18"/>
    </row>
    <row r="24268">
      <c r="C24268" s="18"/>
      <c r="D24268" s="19"/>
      <c r="E24268" s="57"/>
      <c r="H24268" s="18"/>
    </row>
    <row r="24269">
      <c r="C24269" s="18"/>
      <c r="D24269" s="19"/>
      <c r="E24269" s="57"/>
      <c r="H24269" s="18"/>
    </row>
    <row r="24270">
      <c r="C24270" s="18"/>
      <c r="D24270" s="19"/>
      <c r="E24270" s="57"/>
      <c r="H24270" s="18"/>
    </row>
    <row r="24271">
      <c r="C24271" s="18"/>
      <c r="D24271" s="19"/>
      <c r="E24271" s="57"/>
      <c r="H24271" s="18"/>
    </row>
    <row r="24272">
      <c r="C24272" s="18"/>
      <c r="D24272" s="19"/>
      <c r="E24272" s="57"/>
      <c r="H24272" s="18"/>
    </row>
    <row r="24273">
      <c r="C24273" s="18"/>
      <c r="D24273" s="19"/>
      <c r="E24273" s="57"/>
      <c r="H24273" s="18"/>
    </row>
    <row r="24274">
      <c r="C24274" s="18"/>
      <c r="D24274" s="19"/>
      <c r="E24274" s="57"/>
      <c r="H24274" s="18"/>
    </row>
    <row r="24275">
      <c r="C24275" s="18"/>
      <c r="D24275" s="19"/>
      <c r="E24275" s="57"/>
      <c r="H24275" s="18"/>
    </row>
    <row r="24276">
      <c r="C24276" s="18"/>
      <c r="D24276" s="19"/>
      <c r="E24276" s="57"/>
      <c r="H24276" s="18"/>
    </row>
    <row r="24277">
      <c r="C24277" s="18"/>
      <c r="D24277" s="19"/>
      <c r="E24277" s="57"/>
      <c r="H24277" s="18"/>
    </row>
    <row r="24278">
      <c r="C24278" s="18"/>
      <c r="D24278" s="19"/>
      <c r="E24278" s="57"/>
      <c r="H24278" s="18"/>
    </row>
    <row r="24279">
      <c r="C24279" s="18"/>
      <c r="D24279" s="19"/>
      <c r="E24279" s="57"/>
      <c r="H24279" s="18"/>
    </row>
    <row r="24280">
      <c r="C24280" s="18"/>
      <c r="D24280" s="19"/>
      <c r="E24280" s="57"/>
      <c r="H24280" s="18"/>
    </row>
    <row r="24281">
      <c r="C24281" s="18"/>
      <c r="D24281" s="19"/>
      <c r="E24281" s="57"/>
      <c r="H24281" s="18"/>
    </row>
    <row r="24282">
      <c r="C24282" s="18"/>
      <c r="D24282" s="19"/>
      <c r="E24282" s="57"/>
      <c r="H24282" s="18"/>
    </row>
    <row r="24283">
      <c r="C24283" s="18"/>
      <c r="D24283" s="19"/>
      <c r="E24283" s="57"/>
      <c r="H24283" s="18"/>
    </row>
    <row r="24284">
      <c r="C24284" s="18"/>
      <c r="D24284" s="19"/>
      <c r="E24284" s="57"/>
      <c r="H24284" s="18"/>
    </row>
    <row r="24285">
      <c r="C24285" s="18"/>
      <c r="D24285" s="19"/>
      <c r="E24285" s="57"/>
      <c r="H24285" s="18"/>
    </row>
    <row r="24286">
      <c r="C24286" s="18"/>
      <c r="D24286" s="19"/>
      <c r="E24286" s="57"/>
      <c r="H24286" s="18"/>
    </row>
    <row r="24287">
      <c r="C24287" s="18"/>
      <c r="D24287" s="19"/>
      <c r="E24287" s="57"/>
      <c r="H24287" s="18"/>
    </row>
    <row r="24288">
      <c r="C24288" s="18"/>
      <c r="D24288" s="19"/>
      <c r="E24288" s="57"/>
      <c r="H24288" s="18"/>
    </row>
    <row r="24289">
      <c r="C24289" s="18"/>
      <c r="D24289" s="19"/>
      <c r="E24289" s="57"/>
      <c r="H24289" s="18"/>
    </row>
    <row r="24290">
      <c r="C24290" s="18"/>
      <c r="D24290" s="19"/>
      <c r="E24290" s="57"/>
      <c r="H24290" s="18"/>
    </row>
    <row r="24291">
      <c r="C24291" s="18"/>
      <c r="D24291" s="19"/>
      <c r="E24291" s="57"/>
      <c r="H24291" s="18"/>
    </row>
    <row r="24292">
      <c r="C24292" s="18"/>
      <c r="D24292" s="19"/>
      <c r="E24292" s="57"/>
      <c r="H24292" s="18"/>
    </row>
    <row r="24293">
      <c r="C24293" s="18"/>
      <c r="D24293" s="19"/>
      <c r="E24293" s="57"/>
      <c r="H24293" s="18"/>
    </row>
    <row r="24294">
      <c r="C24294" s="18"/>
      <c r="D24294" s="19"/>
      <c r="E24294" s="57"/>
      <c r="H24294" s="18"/>
    </row>
    <row r="24295">
      <c r="C24295" s="18"/>
      <c r="D24295" s="19"/>
      <c r="E24295" s="57"/>
      <c r="H24295" s="18"/>
    </row>
    <row r="24296">
      <c r="C24296" s="18"/>
      <c r="D24296" s="19"/>
      <c r="E24296" s="57"/>
      <c r="H24296" s="18"/>
    </row>
    <row r="24297">
      <c r="C24297" s="18"/>
      <c r="D24297" s="19"/>
      <c r="E24297" s="57"/>
      <c r="H24297" s="18"/>
    </row>
    <row r="24298">
      <c r="C24298" s="18"/>
      <c r="D24298" s="19"/>
      <c r="E24298" s="57"/>
      <c r="H24298" s="18"/>
    </row>
    <row r="24299">
      <c r="C24299" s="18"/>
      <c r="D24299" s="19"/>
      <c r="E24299" s="57"/>
      <c r="H24299" s="18"/>
    </row>
    <row r="24300">
      <c r="C24300" s="18"/>
      <c r="D24300" s="19"/>
      <c r="E24300" s="57"/>
      <c r="H24300" s="18"/>
    </row>
    <row r="24301">
      <c r="C24301" s="18"/>
      <c r="D24301" s="19"/>
      <c r="E24301" s="57"/>
      <c r="H24301" s="18"/>
    </row>
    <row r="24302">
      <c r="C24302" s="18"/>
      <c r="D24302" s="19"/>
      <c r="E24302" s="57"/>
      <c r="H24302" s="18"/>
    </row>
    <row r="24303">
      <c r="C24303" s="18"/>
      <c r="D24303" s="19"/>
      <c r="E24303" s="57"/>
      <c r="H24303" s="18"/>
    </row>
    <row r="24304">
      <c r="C24304" s="18"/>
      <c r="D24304" s="19"/>
      <c r="E24304" s="57"/>
      <c r="H24304" s="18"/>
    </row>
    <row r="24305">
      <c r="C24305" s="18"/>
      <c r="D24305" s="19"/>
      <c r="E24305" s="57"/>
      <c r="H24305" s="18"/>
    </row>
    <row r="24306">
      <c r="C24306" s="18"/>
      <c r="D24306" s="19"/>
      <c r="E24306" s="57"/>
      <c r="H24306" s="18"/>
    </row>
    <row r="24307">
      <c r="C24307" s="18"/>
      <c r="D24307" s="19"/>
      <c r="E24307" s="57"/>
      <c r="H24307" s="18"/>
    </row>
    <row r="24308">
      <c r="C24308" s="18"/>
      <c r="D24308" s="19"/>
      <c r="E24308" s="57"/>
      <c r="H24308" s="18"/>
    </row>
    <row r="24309">
      <c r="C24309" s="18"/>
      <c r="D24309" s="19"/>
      <c r="E24309" s="57"/>
      <c r="H24309" s="18"/>
    </row>
    <row r="24310">
      <c r="C24310" s="18"/>
      <c r="D24310" s="19"/>
      <c r="E24310" s="57"/>
      <c r="H24310" s="18"/>
    </row>
    <row r="24311">
      <c r="C24311" s="18"/>
      <c r="D24311" s="19"/>
      <c r="E24311" s="57"/>
      <c r="H24311" s="18"/>
    </row>
    <row r="24312">
      <c r="C24312" s="18"/>
      <c r="D24312" s="19"/>
      <c r="E24312" s="57"/>
      <c r="H24312" s="18"/>
    </row>
    <row r="24313">
      <c r="C24313" s="18"/>
      <c r="D24313" s="19"/>
      <c r="E24313" s="57"/>
      <c r="H24313" s="18"/>
    </row>
    <row r="24314">
      <c r="C24314" s="18"/>
      <c r="D24314" s="19"/>
      <c r="E24314" s="57"/>
      <c r="H24314" s="18"/>
    </row>
    <row r="24315">
      <c r="C24315" s="18"/>
      <c r="D24315" s="19"/>
      <c r="E24315" s="57"/>
      <c r="H24315" s="18"/>
    </row>
    <row r="24316">
      <c r="C24316" s="18"/>
      <c r="D24316" s="19"/>
      <c r="E24316" s="57"/>
      <c r="H24316" s="18"/>
    </row>
    <row r="24317">
      <c r="C24317" s="18"/>
      <c r="D24317" s="19"/>
      <c r="E24317" s="57"/>
      <c r="H24317" s="18"/>
    </row>
    <row r="24318">
      <c r="C24318" s="18"/>
      <c r="D24318" s="19"/>
      <c r="E24318" s="57"/>
      <c r="H24318" s="18"/>
    </row>
    <row r="24319">
      <c r="C24319" s="18"/>
      <c r="D24319" s="19"/>
      <c r="E24319" s="57"/>
      <c r="H24319" s="18"/>
    </row>
    <row r="24320">
      <c r="C24320" s="18"/>
      <c r="D24320" s="19"/>
      <c r="E24320" s="57"/>
      <c r="H24320" s="18"/>
    </row>
    <row r="24321">
      <c r="C24321" s="18"/>
      <c r="D24321" s="19"/>
      <c r="E24321" s="57"/>
      <c r="H24321" s="18"/>
    </row>
    <row r="24322">
      <c r="C24322" s="18"/>
      <c r="D24322" s="19"/>
      <c r="E24322" s="57"/>
      <c r="H24322" s="18"/>
    </row>
    <row r="24323">
      <c r="C24323" s="18"/>
      <c r="D24323" s="19"/>
      <c r="E24323" s="57"/>
      <c r="H24323" s="18"/>
    </row>
    <row r="24324">
      <c r="C24324" s="18"/>
      <c r="D24324" s="19"/>
      <c r="E24324" s="57"/>
      <c r="H24324" s="18"/>
    </row>
    <row r="24325">
      <c r="C24325" s="18"/>
      <c r="D24325" s="19"/>
      <c r="E24325" s="57"/>
      <c r="H24325" s="18"/>
    </row>
    <row r="24326">
      <c r="C24326" s="18"/>
      <c r="D24326" s="19"/>
      <c r="E24326" s="57"/>
      <c r="H24326" s="18"/>
    </row>
    <row r="24327">
      <c r="C24327" s="18"/>
      <c r="D24327" s="19"/>
      <c r="E24327" s="57"/>
      <c r="H24327" s="18"/>
    </row>
    <row r="24328">
      <c r="C24328" s="18"/>
      <c r="D24328" s="19"/>
      <c r="E24328" s="57"/>
      <c r="H24328" s="18"/>
    </row>
    <row r="24329">
      <c r="C24329" s="18"/>
      <c r="D24329" s="19"/>
      <c r="E24329" s="57"/>
      <c r="H24329" s="18"/>
    </row>
    <row r="24330">
      <c r="C24330" s="18"/>
      <c r="D24330" s="19"/>
      <c r="E24330" s="57"/>
      <c r="H24330" s="18"/>
    </row>
    <row r="24331">
      <c r="C24331" s="18"/>
      <c r="D24331" s="19"/>
      <c r="E24331" s="57"/>
      <c r="H24331" s="18"/>
    </row>
    <row r="24332">
      <c r="C24332" s="18"/>
      <c r="D24332" s="19"/>
      <c r="E24332" s="57"/>
      <c r="H24332" s="18"/>
    </row>
    <row r="24333">
      <c r="C24333" s="18"/>
      <c r="D24333" s="19"/>
      <c r="E24333" s="57"/>
      <c r="H24333" s="18"/>
    </row>
    <row r="24334">
      <c r="C24334" s="18"/>
      <c r="D24334" s="19"/>
      <c r="E24334" s="57"/>
      <c r="H24334" s="18"/>
    </row>
    <row r="24335">
      <c r="C24335" s="18"/>
      <c r="D24335" s="19"/>
      <c r="E24335" s="57"/>
      <c r="H24335" s="18"/>
    </row>
    <row r="24336">
      <c r="C24336" s="18"/>
      <c r="D24336" s="19"/>
      <c r="E24336" s="57"/>
      <c r="H24336" s="18"/>
    </row>
    <row r="24337">
      <c r="C24337" s="18"/>
      <c r="D24337" s="19"/>
      <c r="E24337" s="57"/>
      <c r="H24337" s="18"/>
    </row>
    <row r="24338">
      <c r="C24338" s="18"/>
      <c r="D24338" s="19"/>
      <c r="E24338" s="57"/>
      <c r="H24338" s="18"/>
    </row>
    <row r="24339">
      <c r="C24339" s="18"/>
      <c r="D24339" s="19"/>
      <c r="E24339" s="57"/>
      <c r="H24339" s="18"/>
    </row>
    <row r="24340">
      <c r="C24340" s="18"/>
      <c r="D24340" s="19"/>
      <c r="E24340" s="57"/>
      <c r="H24340" s="18"/>
    </row>
    <row r="24341">
      <c r="C24341" s="18"/>
      <c r="D24341" s="19"/>
      <c r="E24341" s="57"/>
      <c r="H24341" s="18"/>
    </row>
    <row r="24342">
      <c r="C24342" s="18"/>
      <c r="D24342" s="19"/>
      <c r="E24342" s="57"/>
      <c r="H24342" s="18"/>
    </row>
    <row r="24343">
      <c r="C24343" s="18"/>
      <c r="D24343" s="19"/>
      <c r="E24343" s="57"/>
      <c r="H24343" s="18"/>
    </row>
    <row r="24344">
      <c r="C24344" s="18"/>
      <c r="D24344" s="19"/>
      <c r="E24344" s="57"/>
      <c r="H24344" s="18"/>
    </row>
    <row r="24345">
      <c r="C24345" s="18"/>
      <c r="D24345" s="19"/>
      <c r="E24345" s="57"/>
      <c r="H24345" s="18"/>
    </row>
    <row r="24346">
      <c r="C24346" s="18"/>
      <c r="D24346" s="19"/>
      <c r="E24346" s="57"/>
      <c r="H24346" s="18"/>
    </row>
    <row r="24347">
      <c r="C24347" s="18"/>
      <c r="D24347" s="19"/>
      <c r="E24347" s="57"/>
      <c r="H24347" s="18"/>
    </row>
    <row r="24348">
      <c r="C24348" s="18"/>
      <c r="D24348" s="19"/>
      <c r="E24348" s="57"/>
      <c r="H24348" s="18"/>
    </row>
    <row r="24349">
      <c r="C24349" s="18"/>
      <c r="D24349" s="19"/>
      <c r="E24349" s="57"/>
      <c r="H24349" s="18"/>
    </row>
    <row r="24350">
      <c r="C24350" s="18"/>
      <c r="D24350" s="19"/>
      <c r="E24350" s="57"/>
      <c r="H24350" s="18"/>
    </row>
    <row r="24351">
      <c r="C24351" s="18"/>
      <c r="D24351" s="19"/>
      <c r="E24351" s="57"/>
      <c r="H24351" s="18"/>
    </row>
    <row r="24352">
      <c r="C24352" s="18"/>
      <c r="D24352" s="19"/>
      <c r="E24352" s="57"/>
      <c r="H24352" s="18"/>
    </row>
    <row r="24353">
      <c r="C24353" s="18"/>
      <c r="D24353" s="19"/>
      <c r="E24353" s="57"/>
      <c r="H24353" s="18"/>
    </row>
    <row r="24354">
      <c r="C24354" s="18"/>
      <c r="D24354" s="19"/>
      <c r="E24354" s="57"/>
      <c r="H24354" s="18"/>
    </row>
    <row r="24355">
      <c r="C24355" s="18"/>
      <c r="D24355" s="19"/>
      <c r="E24355" s="57"/>
      <c r="H24355" s="18"/>
    </row>
    <row r="24356">
      <c r="C24356" s="18"/>
      <c r="D24356" s="19"/>
      <c r="E24356" s="57"/>
      <c r="H24356" s="18"/>
    </row>
    <row r="24357">
      <c r="C24357" s="18"/>
      <c r="D24357" s="19"/>
      <c r="E24357" s="57"/>
      <c r="H24357" s="18"/>
    </row>
    <row r="24358">
      <c r="C24358" s="18"/>
      <c r="D24358" s="19"/>
      <c r="E24358" s="57"/>
      <c r="H24358" s="18"/>
    </row>
    <row r="24359">
      <c r="C24359" s="18"/>
      <c r="D24359" s="19"/>
      <c r="E24359" s="57"/>
      <c r="H24359" s="18"/>
    </row>
    <row r="24360">
      <c r="C24360" s="18"/>
      <c r="D24360" s="19"/>
      <c r="E24360" s="57"/>
      <c r="H24360" s="18"/>
    </row>
    <row r="24361">
      <c r="C24361" s="18"/>
      <c r="D24361" s="19"/>
      <c r="E24361" s="57"/>
      <c r="H24361" s="18"/>
    </row>
    <row r="24362">
      <c r="C24362" s="18"/>
      <c r="D24362" s="19"/>
      <c r="E24362" s="57"/>
      <c r="H24362" s="18"/>
    </row>
    <row r="24363">
      <c r="C24363" s="18"/>
      <c r="D24363" s="19"/>
      <c r="E24363" s="57"/>
      <c r="H24363" s="18"/>
    </row>
    <row r="24364">
      <c r="C24364" s="18"/>
      <c r="D24364" s="19"/>
      <c r="E24364" s="57"/>
      <c r="H24364" s="18"/>
    </row>
    <row r="24365">
      <c r="C24365" s="18"/>
      <c r="D24365" s="19"/>
      <c r="E24365" s="57"/>
      <c r="H24365" s="18"/>
    </row>
    <row r="24366">
      <c r="C24366" s="18"/>
      <c r="D24366" s="19"/>
      <c r="E24366" s="57"/>
      <c r="H24366" s="18"/>
    </row>
    <row r="24367">
      <c r="C24367" s="18"/>
      <c r="D24367" s="19"/>
      <c r="E24367" s="57"/>
      <c r="H24367" s="18"/>
    </row>
    <row r="24368">
      <c r="C24368" s="18"/>
      <c r="D24368" s="19"/>
      <c r="E24368" s="57"/>
      <c r="H24368" s="18"/>
    </row>
    <row r="24369">
      <c r="C24369" s="18"/>
      <c r="D24369" s="19"/>
      <c r="E24369" s="57"/>
      <c r="H24369" s="18"/>
    </row>
    <row r="24370">
      <c r="C24370" s="18"/>
      <c r="D24370" s="19"/>
      <c r="E24370" s="57"/>
      <c r="H24370" s="18"/>
    </row>
    <row r="24371">
      <c r="C24371" s="18"/>
      <c r="D24371" s="19"/>
      <c r="E24371" s="57"/>
      <c r="H24371" s="18"/>
    </row>
    <row r="24372">
      <c r="C24372" s="18"/>
      <c r="D24372" s="19"/>
      <c r="E24372" s="57"/>
      <c r="H24372" s="18"/>
    </row>
    <row r="24373">
      <c r="C24373" s="18"/>
      <c r="D24373" s="19"/>
      <c r="E24373" s="57"/>
      <c r="H24373" s="18"/>
    </row>
    <row r="24374">
      <c r="C24374" s="18"/>
      <c r="D24374" s="19"/>
      <c r="E24374" s="57"/>
      <c r="H24374" s="18"/>
    </row>
    <row r="24375">
      <c r="C24375" s="18"/>
      <c r="D24375" s="19"/>
      <c r="E24375" s="57"/>
      <c r="H24375" s="18"/>
    </row>
    <row r="24376">
      <c r="C24376" s="18"/>
      <c r="D24376" s="19"/>
      <c r="E24376" s="57"/>
      <c r="H24376" s="18"/>
    </row>
    <row r="24377">
      <c r="C24377" s="18"/>
      <c r="D24377" s="19"/>
      <c r="E24377" s="57"/>
      <c r="H24377" s="18"/>
    </row>
    <row r="24378">
      <c r="C24378" s="18"/>
      <c r="D24378" s="19"/>
      <c r="E24378" s="57"/>
      <c r="H24378" s="18"/>
    </row>
    <row r="24379">
      <c r="C24379" s="18"/>
      <c r="D24379" s="19"/>
      <c r="E24379" s="57"/>
      <c r="H24379" s="18"/>
    </row>
    <row r="24380">
      <c r="C24380" s="18"/>
      <c r="D24380" s="19"/>
      <c r="E24380" s="57"/>
      <c r="H24380" s="18"/>
    </row>
    <row r="24381">
      <c r="C24381" s="18"/>
      <c r="D24381" s="19"/>
      <c r="E24381" s="57"/>
      <c r="H24381" s="18"/>
    </row>
    <row r="24382">
      <c r="C24382" s="18"/>
      <c r="D24382" s="19"/>
      <c r="E24382" s="57"/>
      <c r="H24382" s="18"/>
    </row>
    <row r="24383">
      <c r="C24383" s="18"/>
      <c r="D24383" s="19"/>
      <c r="E24383" s="57"/>
      <c r="H24383" s="18"/>
    </row>
    <row r="24384">
      <c r="C24384" s="18"/>
      <c r="D24384" s="19"/>
      <c r="E24384" s="57"/>
      <c r="H24384" s="18"/>
    </row>
    <row r="24385">
      <c r="C24385" s="18"/>
      <c r="D24385" s="19"/>
      <c r="E24385" s="57"/>
      <c r="H24385" s="18"/>
    </row>
    <row r="24386">
      <c r="C24386" s="18"/>
      <c r="D24386" s="19"/>
      <c r="E24386" s="57"/>
      <c r="H24386" s="18"/>
    </row>
    <row r="24387">
      <c r="C24387" s="18"/>
      <c r="D24387" s="19"/>
      <c r="E24387" s="57"/>
      <c r="H24387" s="18"/>
    </row>
    <row r="24388">
      <c r="C24388" s="18"/>
      <c r="D24388" s="19"/>
      <c r="E24388" s="57"/>
      <c r="H24388" s="18"/>
    </row>
    <row r="24389">
      <c r="C24389" s="18"/>
      <c r="D24389" s="19"/>
      <c r="E24389" s="57"/>
      <c r="H24389" s="18"/>
    </row>
    <row r="24390">
      <c r="C24390" s="18"/>
      <c r="D24390" s="19"/>
      <c r="E24390" s="57"/>
      <c r="H24390" s="18"/>
    </row>
    <row r="24391">
      <c r="C24391" s="18"/>
      <c r="D24391" s="19"/>
      <c r="E24391" s="57"/>
      <c r="H24391" s="18"/>
    </row>
    <row r="24392">
      <c r="C24392" s="18"/>
      <c r="D24392" s="19"/>
      <c r="E24392" s="57"/>
      <c r="H24392" s="18"/>
    </row>
    <row r="24393">
      <c r="C24393" s="18"/>
      <c r="D24393" s="19"/>
      <c r="E24393" s="57"/>
      <c r="H24393" s="18"/>
    </row>
    <row r="24394">
      <c r="C24394" s="18"/>
      <c r="D24394" s="19"/>
      <c r="E24394" s="57"/>
      <c r="H24394" s="18"/>
    </row>
    <row r="24395">
      <c r="C24395" s="18"/>
      <c r="D24395" s="19"/>
      <c r="E24395" s="57"/>
      <c r="H24395" s="18"/>
    </row>
    <row r="24396">
      <c r="C24396" s="18"/>
      <c r="D24396" s="19"/>
      <c r="E24396" s="57"/>
      <c r="H24396" s="18"/>
    </row>
    <row r="24397">
      <c r="C24397" s="18"/>
      <c r="D24397" s="19"/>
      <c r="E24397" s="57"/>
      <c r="H24397" s="18"/>
    </row>
    <row r="24398">
      <c r="C24398" s="18"/>
      <c r="D24398" s="19"/>
      <c r="E24398" s="57"/>
      <c r="H24398" s="18"/>
    </row>
    <row r="24399">
      <c r="C24399" s="18"/>
      <c r="D24399" s="19"/>
      <c r="E24399" s="57"/>
      <c r="H24399" s="18"/>
    </row>
    <row r="24400">
      <c r="C24400" s="18"/>
      <c r="D24400" s="19"/>
      <c r="E24400" s="57"/>
      <c r="H24400" s="18"/>
    </row>
    <row r="24401">
      <c r="C24401" s="18"/>
      <c r="D24401" s="19"/>
      <c r="E24401" s="57"/>
      <c r="H24401" s="18"/>
    </row>
    <row r="24402">
      <c r="C24402" s="18"/>
      <c r="D24402" s="19"/>
      <c r="E24402" s="57"/>
      <c r="H24402" s="18"/>
    </row>
    <row r="24403">
      <c r="C24403" s="18"/>
      <c r="D24403" s="19"/>
      <c r="E24403" s="57"/>
      <c r="H24403" s="18"/>
    </row>
    <row r="24404">
      <c r="C24404" s="18"/>
      <c r="D24404" s="19"/>
      <c r="E24404" s="57"/>
      <c r="H24404" s="18"/>
    </row>
    <row r="24405">
      <c r="C24405" s="18"/>
      <c r="D24405" s="19"/>
      <c r="E24405" s="57"/>
      <c r="H24405" s="18"/>
    </row>
    <row r="24406">
      <c r="C24406" s="18"/>
      <c r="D24406" s="19"/>
      <c r="E24406" s="57"/>
      <c r="H24406" s="18"/>
    </row>
    <row r="24407">
      <c r="C24407" s="18"/>
      <c r="D24407" s="19"/>
      <c r="E24407" s="57"/>
      <c r="H24407" s="18"/>
    </row>
    <row r="24408">
      <c r="C24408" s="18"/>
      <c r="D24408" s="19"/>
      <c r="E24408" s="57"/>
      <c r="H24408" s="18"/>
    </row>
    <row r="24409">
      <c r="C24409" s="18"/>
      <c r="D24409" s="19"/>
      <c r="E24409" s="57"/>
      <c r="H24409" s="18"/>
    </row>
    <row r="24410">
      <c r="C24410" s="18"/>
      <c r="D24410" s="19"/>
      <c r="E24410" s="57"/>
      <c r="H24410" s="18"/>
    </row>
    <row r="24411">
      <c r="C24411" s="18"/>
      <c r="D24411" s="19"/>
      <c r="E24411" s="57"/>
      <c r="H24411" s="18"/>
    </row>
    <row r="24412">
      <c r="C24412" s="18"/>
      <c r="D24412" s="19"/>
      <c r="E24412" s="57"/>
      <c r="H24412" s="18"/>
    </row>
    <row r="24413">
      <c r="C24413" s="18"/>
      <c r="D24413" s="19"/>
      <c r="E24413" s="57"/>
      <c r="H24413" s="18"/>
    </row>
    <row r="24414">
      <c r="C24414" s="18"/>
      <c r="D24414" s="19"/>
      <c r="E24414" s="57"/>
      <c r="H24414" s="18"/>
    </row>
    <row r="24415">
      <c r="C24415" s="18"/>
      <c r="D24415" s="19"/>
      <c r="E24415" s="57"/>
      <c r="H24415" s="18"/>
    </row>
    <row r="24416">
      <c r="C24416" s="18"/>
      <c r="D24416" s="19"/>
      <c r="E24416" s="57"/>
      <c r="H24416" s="18"/>
    </row>
    <row r="24417">
      <c r="C24417" s="18"/>
      <c r="D24417" s="19"/>
      <c r="E24417" s="57"/>
      <c r="H24417" s="18"/>
    </row>
    <row r="24418">
      <c r="C24418" s="18"/>
      <c r="D24418" s="19"/>
      <c r="E24418" s="57"/>
      <c r="H24418" s="18"/>
    </row>
    <row r="24419">
      <c r="C24419" s="18"/>
      <c r="D24419" s="19"/>
      <c r="E24419" s="57"/>
      <c r="H24419" s="18"/>
    </row>
    <row r="24420">
      <c r="C24420" s="18"/>
      <c r="D24420" s="19"/>
      <c r="E24420" s="57"/>
      <c r="H24420" s="18"/>
    </row>
    <row r="24421">
      <c r="C24421" s="18"/>
      <c r="D24421" s="19"/>
      <c r="E24421" s="57"/>
      <c r="H24421" s="18"/>
    </row>
    <row r="24422">
      <c r="C24422" s="18"/>
      <c r="D24422" s="19"/>
      <c r="E24422" s="57"/>
      <c r="H24422" s="18"/>
    </row>
    <row r="24423">
      <c r="C24423" s="18"/>
      <c r="D24423" s="19"/>
      <c r="E24423" s="57"/>
      <c r="H24423" s="18"/>
    </row>
    <row r="24424">
      <c r="C24424" s="18"/>
      <c r="D24424" s="19"/>
      <c r="E24424" s="57"/>
      <c r="H24424" s="18"/>
    </row>
    <row r="24425">
      <c r="C24425" s="18"/>
      <c r="D24425" s="19"/>
      <c r="E24425" s="57"/>
      <c r="H24425" s="18"/>
    </row>
    <row r="24426">
      <c r="C24426" s="18"/>
      <c r="D24426" s="19"/>
      <c r="E24426" s="57"/>
      <c r="H24426" s="18"/>
    </row>
    <row r="24427">
      <c r="C24427" s="18"/>
      <c r="D24427" s="19"/>
      <c r="E24427" s="57"/>
      <c r="H24427" s="18"/>
    </row>
    <row r="24428">
      <c r="C24428" s="18"/>
      <c r="D24428" s="19"/>
      <c r="E24428" s="57"/>
      <c r="H24428" s="18"/>
    </row>
    <row r="24429">
      <c r="C24429" s="18"/>
      <c r="D24429" s="19"/>
      <c r="E24429" s="57"/>
      <c r="H24429" s="18"/>
    </row>
    <row r="24430">
      <c r="C24430" s="18"/>
      <c r="D24430" s="19"/>
      <c r="E24430" s="57"/>
      <c r="H24430" s="18"/>
    </row>
    <row r="24431">
      <c r="C24431" s="18"/>
      <c r="D24431" s="19"/>
      <c r="E24431" s="57"/>
      <c r="H24431" s="18"/>
    </row>
    <row r="24432">
      <c r="C24432" s="18"/>
      <c r="D24432" s="19"/>
      <c r="E24432" s="57"/>
      <c r="H24432" s="18"/>
    </row>
    <row r="24433">
      <c r="C24433" s="18"/>
      <c r="D24433" s="19"/>
      <c r="E24433" s="57"/>
      <c r="H24433" s="18"/>
    </row>
    <row r="24434">
      <c r="C24434" s="18"/>
      <c r="D24434" s="19"/>
      <c r="E24434" s="57"/>
      <c r="H24434" s="18"/>
    </row>
    <row r="24435">
      <c r="C24435" s="18"/>
      <c r="D24435" s="19"/>
      <c r="E24435" s="57"/>
      <c r="H24435" s="18"/>
    </row>
    <row r="24436">
      <c r="C24436" s="18"/>
      <c r="D24436" s="19"/>
      <c r="E24436" s="57"/>
      <c r="H24436" s="18"/>
    </row>
    <row r="24437">
      <c r="C24437" s="18"/>
      <c r="D24437" s="19"/>
      <c r="E24437" s="57"/>
      <c r="H24437" s="18"/>
    </row>
    <row r="24438">
      <c r="C24438" s="18"/>
      <c r="D24438" s="19"/>
      <c r="E24438" s="57"/>
      <c r="H24438" s="18"/>
    </row>
    <row r="24439">
      <c r="C24439" s="18"/>
      <c r="D24439" s="19"/>
      <c r="E24439" s="57"/>
      <c r="H24439" s="18"/>
    </row>
    <row r="24440">
      <c r="C24440" s="18"/>
      <c r="D24440" s="19"/>
      <c r="E24440" s="57"/>
      <c r="H24440" s="18"/>
    </row>
    <row r="24441">
      <c r="C24441" s="18"/>
      <c r="D24441" s="19"/>
      <c r="E24441" s="57"/>
      <c r="H24441" s="18"/>
    </row>
    <row r="24442">
      <c r="C24442" s="18"/>
      <c r="D24442" s="19"/>
      <c r="E24442" s="57"/>
      <c r="H24442" s="18"/>
    </row>
    <row r="24443">
      <c r="C24443" s="18"/>
      <c r="D24443" s="19"/>
      <c r="E24443" s="57"/>
      <c r="H24443" s="18"/>
    </row>
    <row r="24444">
      <c r="C24444" s="18"/>
      <c r="D24444" s="19"/>
      <c r="E24444" s="57"/>
      <c r="H24444" s="18"/>
    </row>
    <row r="24445">
      <c r="C24445" s="18"/>
      <c r="D24445" s="19"/>
      <c r="E24445" s="57"/>
      <c r="H24445" s="18"/>
    </row>
    <row r="24446">
      <c r="C24446" s="18"/>
      <c r="D24446" s="19"/>
      <c r="E24446" s="57"/>
      <c r="H24446" s="18"/>
    </row>
    <row r="24447">
      <c r="C24447" s="18"/>
      <c r="D24447" s="19"/>
      <c r="E24447" s="57"/>
      <c r="H24447" s="18"/>
    </row>
    <row r="24448">
      <c r="C24448" s="18"/>
      <c r="D24448" s="19"/>
      <c r="E24448" s="57"/>
      <c r="H24448" s="18"/>
    </row>
    <row r="24449">
      <c r="C24449" s="18"/>
      <c r="D24449" s="19"/>
      <c r="E24449" s="57"/>
      <c r="H24449" s="18"/>
    </row>
    <row r="24450">
      <c r="C24450" s="18"/>
      <c r="D24450" s="19"/>
      <c r="E24450" s="57"/>
      <c r="H24450" s="18"/>
    </row>
    <row r="24451">
      <c r="C24451" s="18"/>
      <c r="D24451" s="19"/>
      <c r="E24451" s="57"/>
      <c r="H24451" s="18"/>
    </row>
    <row r="24452">
      <c r="C24452" s="18"/>
      <c r="D24452" s="19"/>
      <c r="E24452" s="57"/>
      <c r="H24452" s="18"/>
    </row>
    <row r="24453">
      <c r="C24453" s="18"/>
      <c r="D24453" s="19"/>
      <c r="E24453" s="57"/>
      <c r="H24453" s="18"/>
    </row>
    <row r="24454">
      <c r="C24454" s="18"/>
      <c r="D24454" s="19"/>
      <c r="E24454" s="57"/>
      <c r="H24454" s="18"/>
    </row>
    <row r="24455">
      <c r="C24455" s="18"/>
      <c r="D24455" s="19"/>
      <c r="E24455" s="57"/>
      <c r="H24455" s="18"/>
    </row>
    <row r="24456">
      <c r="C24456" s="18"/>
      <c r="D24456" s="19"/>
      <c r="E24456" s="57"/>
      <c r="H24456" s="18"/>
    </row>
    <row r="24457">
      <c r="C24457" s="18"/>
      <c r="D24457" s="19"/>
      <c r="E24457" s="57"/>
      <c r="H24457" s="18"/>
    </row>
    <row r="24458">
      <c r="C24458" s="18"/>
      <c r="D24458" s="19"/>
      <c r="E24458" s="57"/>
      <c r="H24458" s="18"/>
    </row>
    <row r="24459">
      <c r="C24459" s="18"/>
      <c r="D24459" s="19"/>
      <c r="E24459" s="57"/>
      <c r="H24459" s="18"/>
    </row>
    <row r="24460">
      <c r="C24460" s="18"/>
      <c r="D24460" s="19"/>
      <c r="E24460" s="57"/>
      <c r="H24460" s="18"/>
    </row>
    <row r="24461">
      <c r="C24461" s="18"/>
      <c r="D24461" s="19"/>
      <c r="E24461" s="57"/>
      <c r="H24461" s="18"/>
    </row>
    <row r="24462">
      <c r="C24462" s="18"/>
      <c r="D24462" s="19"/>
      <c r="E24462" s="57"/>
      <c r="H24462" s="18"/>
    </row>
    <row r="24463">
      <c r="C24463" s="18"/>
      <c r="D24463" s="19"/>
      <c r="E24463" s="57"/>
      <c r="H24463" s="18"/>
    </row>
    <row r="24464">
      <c r="C24464" s="18"/>
      <c r="D24464" s="19"/>
      <c r="E24464" s="57"/>
      <c r="H24464" s="18"/>
    </row>
    <row r="24465">
      <c r="C24465" s="18"/>
      <c r="D24465" s="19"/>
      <c r="E24465" s="57"/>
      <c r="H24465" s="18"/>
    </row>
    <row r="24466">
      <c r="C24466" s="18"/>
      <c r="D24466" s="19"/>
      <c r="E24466" s="57"/>
      <c r="H24466" s="18"/>
    </row>
    <row r="24467">
      <c r="C24467" s="18"/>
      <c r="D24467" s="19"/>
      <c r="E24467" s="57"/>
      <c r="H24467" s="18"/>
    </row>
    <row r="24468">
      <c r="C24468" s="18"/>
      <c r="D24468" s="19"/>
      <c r="E24468" s="57"/>
      <c r="H24468" s="18"/>
    </row>
    <row r="24469">
      <c r="C24469" s="18"/>
      <c r="D24469" s="19"/>
      <c r="E24469" s="57"/>
      <c r="H24469" s="18"/>
    </row>
    <row r="24470">
      <c r="C24470" s="18"/>
      <c r="D24470" s="19"/>
      <c r="E24470" s="57"/>
      <c r="H24470" s="18"/>
    </row>
    <row r="24471">
      <c r="C24471" s="18"/>
      <c r="D24471" s="19"/>
      <c r="E24471" s="57"/>
      <c r="H24471" s="18"/>
    </row>
    <row r="24472">
      <c r="C24472" s="18"/>
      <c r="D24472" s="19"/>
      <c r="E24472" s="57"/>
      <c r="H24472" s="18"/>
    </row>
    <row r="24473">
      <c r="C24473" s="18"/>
      <c r="D24473" s="19"/>
      <c r="E24473" s="57"/>
      <c r="H24473" s="18"/>
    </row>
    <row r="24474">
      <c r="C24474" s="18"/>
      <c r="D24474" s="19"/>
      <c r="E24474" s="57"/>
      <c r="H24474" s="18"/>
    </row>
    <row r="24475">
      <c r="C24475" s="18"/>
      <c r="D24475" s="19"/>
      <c r="E24475" s="57"/>
      <c r="H24475" s="18"/>
    </row>
    <row r="24476">
      <c r="C24476" s="18"/>
      <c r="D24476" s="19"/>
      <c r="E24476" s="57"/>
      <c r="H24476" s="18"/>
    </row>
    <row r="24477">
      <c r="C24477" s="18"/>
      <c r="D24477" s="19"/>
      <c r="E24477" s="57"/>
      <c r="H24477" s="18"/>
    </row>
    <row r="24478">
      <c r="C24478" s="18"/>
      <c r="D24478" s="19"/>
      <c r="E24478" s="57"/>
      <c r="H24478" s="18"/>
    </row>
    <row r="24479">
      <c r="C24479" s="18"/>
      <c r="D24479" s="19"/>
      <c r="E24479" s="57"/>
      <c r="H24479" s="18"/>
    </row>
    <row r="24480">
      <c r="C24480" s="18"/>
      <c r="D24480" s="19"/>
      <c r="E24480" s="57"/>
      <c r="H24480" s="18"/>
    </row>
    <row r="24481">
      <c r="C24481" s="18"/>
      <c r="D24481" s="19"/>
      <c r="E24481" s="57"/>
      <c r="H24481" s="18"/>
    </row>
    <row r="24482">
      <c r="C24482" s="18"/>
      <c r="D24482" s="19"/>
      <c r="E24482" s="57"/>
      <c r="H24482" s="18"/>
    </row>
    <row r="24483">
      <c r="C24483" s="18"/>
      <c r="D24483" s="19"/>
      <c r="E24483" s="57"/>
      <c r="H24483" s="18"/>
    </row>
    <row r="24484">
      <c r="C24484" s="18"/>
      <c r="D24484" s="19"/>
      <c r="E24484" s="57"/>
      <c r="H24484" s="18"/>
    </row>
    <row r="24485">
      <c r="C24485" s="18"/>
      <c r="D24485" s="19"/>
      <c r="E24485" s="57"/>
      <c r="H24485" s="18"/>
    </row>
    <row r="24486">
      <c r="C24486" s="18"/>
      <c r="D24486" s="19"/>
      <c r="E24486" s="57"/>
      <c r="H24486" s="18"/>
    </row>
    <row r="24487">
      <c r="C24487" s="18"/>
      <c r="D24487" s="19"/>
      <c r="E24487" s="57"/>
      <c r="H24487" s="18"/>
    </row>
    <row r="24488">
      <c r="C24488" s="18"/>
      <c r="D24488" s="19"/>
      <c r="E24488" s="57"/>
      <c r="H24488" s="18"/>
    </row>
    <row r="24489">
      <c r="C24489" s="18"/>
      <c r="D24489" s="19"/>
      <c r="E24489" s="57"/>
      <c r="H24489" s="18"/>
    </row>
    <row r="24490">
      <c r="C24490" s="18"/>
      <c r="D24490" s="19"/>
      <c r="E24490" s="57"/>
      <c r="H24490" s="18"/>
    </row>
    <row r="24491">
      <c r="C24491" s="18"/>
      <c r="D24491" s="19"/>
      <c r="E24491" s="57"/>
      <c r="H24491" s="18"/>
    </row>
    <row r="24492">
      <c r="C24492" s="18"/>
      <c r="D24492" s="19"/>
      <c r="E24492" s="57"/>
      <c r="H24492" s="18"/>
    </row>
    <row r="24493">
      <c r="C24493" s="18"/>
      <c r="D24493" s="19"/>
      <c r="E24493" s="57"/>
      <c r="H24493" s="18"/>
    </row>
    <row r="24494">
      <c r="C24494" s="18"/>
      <c r="D24494" s="19"/>
      <c r="E24494" s="57"/>
      <c r="H24494" s="18"/>
    </row>
    <row r="24495">
      <c r="C24495" s="18"/>
      <c r="D24495" s="19"/>
      <c r="E24495" s="57"/>
      <c r="H24495" s="18"/>
    </row>
    <row r="24496">
      <c r="C24496" s="18"/>
      <c r="D24496" s="19"/>
      <c r="E24496" s="57"/>
      <c r="H24496" s="18"/>
    </row>
    <row r="24497">
      <c r="C24497" s="18"/>
      <c r="D24497" s="19"/>
      <c r="E24497" s="57"/>
      <c r="H24497" s="18"/>
    </row>
    <row r="24498">
      <c r="C24498" s="18"/>
      <c r="D24498" s="19"/>
      <c r="E24498" s="57"/>
      <c r="H24498" s="18"/>
    </row>
    <row r="24499">
      <c r="C24499" s="18"/>
      <c r="D24499" s="19"/>
      <c r="E24499" s="57"/>
      <c r="H24499" s="18"/>
    </row>
    <row r="24500">
      <c r="C24500" s="18"/>
      <c r="D24500" s="19"/>
      <c r="E24500" s="57"/>
      <c r="H24500" s="18"/>
    </row>
    <row r="24501">
      <c r="C24501" s="18"/>
      <c r="D24501" s="19"/>
      <c r="E24501" s="57"/>
      <c r="H24501" s="18"/>
    </row>
    <row r="24502">
      <c r="C24502" s="18"/>
      <c r="D24502" s="19"/>
      <c r="E24502" s="57"/>
      <c r="H24502" s="18"/>
    </row>
    <row r="24503">
      <c r="C24503" s="18"/>
      <c r="D24503" s="19"/>
      <c r="E24503" s="57"/>
      <c r="H24503" s="18"/>
    </row>
    <row r="24504">
      <c r="C24504" s="18"/>
      <c r="D24504" s="19"/>
      <c r="E24504" s="57"/>
      <c r="H24504" s="18"/>
    </row>
    <row r="24505">
      <c r="C24505" s="18"/>
      <c r="D24505" s="19"/>
      <c r="E24505" s="57"/>
      <c r="H24505" s="18"/>
    </row>
    <row r="24506">
      <c r="C24506" s="18"/>
      <c r="D24506" s="19"/>
      <c r="E24506" s="57"/>
      <c r="H24506" s="18"/>
    </row>
    <row r="24507">
      <c r="C24507" s="18"/>
      <c r="D24507" s="19"/>
      <c r="E24507" s="57"/>
      <c r="H24507" s="18"/>
    </row>
    <row r="24508">
      <c r="C24508" s="18"/>
      <c r="D24508" s="19"/>
      <c r="E24508" s="57"/>
      <c r="H24508" s="18"/>
    </row>
    <row r="24509">
      <c r="C24509" s="18"/>
      <c r="D24509" s="19"/>
      <c r="E24509" s="57"/>
      <c r="H24509" s="18"/>
    </row>
    <row r="24510">
      <c r="C24510" s="18"/>
      <c r="D24510" s="19"/>
      <c r="E24510" s="57"/>
      <c r="H24510" s="18"/>
    </row>
    <row r="24511">
      <c r="C24511" s="18"/>
      <c r="D24511" s="19"/>
      <c r="E24511" s="57"/>
      <c r="H24511" s="18"/>
    </row>
    <row r="24512">
      <c r="C24512" s="18"/>
      <c r="D24512" s="19"/>
      <c r="E24512" s="57"/>
      <c r="H24512" s="18"/>
    </row>
    <row r="24513">
      <c r="C24513" s="18"/>
      <c r="D24513" s="19"/>
      <c r="E24513" s="57"/>
      <c r="H24513" s="18"/>
    </row>
    <row r="24514">
      <c r="C24514" s="18"/>
      <c r="D24514" s="19"/>
      <c r="E24514" s="57"/>
      <c r="H24514" s="18"/>
    </row>
    <row r="24515">
      <c r="C24515" s="18"/>
      <c r="D24515" s="19"/>
      <c r="E24515" s="57"/>
      <c r="H24515" s="18"/>
    </row>
    <row r="24516">
      <c r="C24516" s="18"/>
      <c r="D24516" s="19"/>
      <c r="E24516" s="57"/>
      <c r="H24516" s="18"/>
    </row>
    <row r="24517">
      <c r="C24517" s="18"/>
      <c r="D24517" s="19"/>
      <c r="E24517" s="57"/>
      <c r="H24517" s="18"/>
    </row>
    <row r="24518">
      <c r="C24518" s="18"/>
      <c r="D24518" s="19"/>
      <c r="E24518" s="57"/>
      <c r="H24518" s="18"/>
    </row>
    <row r="24519">
      <c r="C24519" s="18"/>
      <c r="D24519" s="19"/>
      <c r="E24519" s="57"/>
      <c r="H24519" s="18"/>
    </row>
    <row r="24520">
      <c r="C24520" s="18"/>
      <c r="D24520" s="19"/>
      <c r="E24520" s="57"/>
      <c r="H24520" s="18"/>
    </row>
    <row r="24521">
      <c r="C24521" s="18"/>
      <c r="D24521" s="19"/>
      <c r="E24521" s="57"/>
      <c r="H24521" s="18"/>
    </row>
    <row r="24522">
      <c r="C24522" s="18"/>
      <c r="D24522" s="19"/>
      <c r="E24522" s="57"/>
      <c r="H24522" s="18"/>
    </row>
    <row r="24523">
      <c r="C24523" s="18"/>
      <c r="D24523" s="19"/>
      <c r="E24523" s="57"/>
      <c r="H24523" s="18"/>
    </row>
    <row r="24524">
      <c r="C24524" s="18"/>
      <c r="D24524" s="19"/>
      <c r="E24524" s="57"/>
      <c r="H24524" s="18"/>
    </row>
    <row r="24525">
      <c r="C24525" s="18"/>
      <c r="D24525" s="19"/>
      <c r="E24525" s="57"/>
      <c r="H24525" s="18"/>
    </row>
    <row r="24526">
      <c r="C24526" s="18"/>
      <c r="D24526" s="19"/>
      <c r="E24526" s="57"/>
      <c r="H24526" s="18"/>
    </row>
    <row r="24527">
      <c r="C24527" s="18"/>
      <c r="D24527" s="19"/>
      <c r="E24527" s="57"/>
      <c r="H24527" s="18"/>
    </row>
    <row r="24528">
      <c r="C24528" s="18"/>
      <c r="D24528" s="19"/>
      <c r="E24528" s="57"/>
      <c r="H24528" s="18"/>
    </row>
    <row r="24529">
      <c r="C24529" s="18"/>
      <c r="D24529" s="19"/>
      <c r="E24529" s="57"/>
      <c r="H24529" s="18"/>
    </row>
    <row r="24530">
      <c r="C24530" s="18"/>
      <c r="D24530" s="19"/>
      <c r="E24530" s="57"/>
      <c r="H24530" s="18"/>
    </row>
    <row r="24531">
      <c r="C24531" s="18"/>
      <c r="D24531" s="19"/>
      <c r="E24531" s="57"/>
      <c r="H24531" s="18"/>
    </row>
    <row r="24532">
      <c r="C24532" s="18"/>
      <c r="D24532" s="19"/>
      <c r="E24532" s="57"/>
      <c r="H24532" s="18"/>
    </row>
    <row r="24533">
      <c r="C24533" s="18"/>
      <c r="D24533" s="19"/>
      <c r="E24533" s="57"/>
      <c r="H24533" s="18"/>
    </row>
    <row r="24534">
      <c r="C24534" s="18"/>
      <c r="D24534" s="19"/>
      <c r="E24534" s="57"/>
      <c r="H24534" s="18"/>
    </row>
    <row r="24535">
      <c r="C24535" s="18"/>
      <c r="D24535" s="19"/>
      <c r="E24535" s="57"/>
      <c r="H24535" s="18"/>
    </row>
    <row r="24536">
      <c r="C24536" s="18"/>
      <c r="D24536" s="19"/>
      <c r="E24536" s="57"/>
      <c r="H24536" s="18"/>
    </row>
    <row r="24537">
      <c r="C24537" s="18"/>
      <c r="D24537" s="19"/>
      <c r="E24537" s="57"/>
      <c r="H24537" s="18"/>
    </row>
    <row r="24538">
      <c r="C24538" s="18"/>
      <c r="D24538" s="19"/>
      <c r="E24538" s="57"/>
      <c r="H24538" s="18"/>
    </row>
    <row r="24539">
      <c r="C24539" s="18"/>
      <c r="D24539" s="19"/>
      <c r="E24539" s="57"/>
      <c r="H24539" s="18"/>
    </row>
    <row r="24540">
      <c r="C24540" s="18"/>
      <c r="D24540" s="19"/>
      <c r="E24540" s="57"/>
      <c r="H24540" s="18"/>
    </row>
    <row r="24541">
      <c r="C24541" s="18"/>
      <c r="D24541" s="19"/>
      <c r="E24541" s="57"/>
      <c r="H24541" s="18"/>
    </row>
    <row r="24542">
      <c r="C24542" s="18"/>
      <c r="D24542" s="19"/>
      <c r="E24542" s="57"/>
      <c r="H24542" s="18"/>
    </row>
    <row r="24543">
      <c r="C24543" s="18"/>
      <c r="D24543" s="19"/>
      <c r="E24543" s="57"/>
      <c r="H24543" s="18"/>
    </row>
    <row r="24544">
      <c r="C24544" s="18"/>
      <c r="D24544" s="19"/>
      <c r="E24544" s="57"/>
      <c r="H24544" s="18"/>
    </row>
    <row r="24545">
      <c r="C24545" s="18"/>
      <c r="D24545" s="19"/>
      <c r="E24545" s="57"/>
      <c r="H24545" s="18"/>
    </row>
    <row r="24546">
      <c r="C24546" s="18"/>
      <c r="D24546" s="19"/>
      <c r="E24546" s="57"/>
      <c r="H24546" s="18"/>
    </row>
    <row r="24547">
      <c r="C24547" s="18"/>
      <c r="D24547" s="19"/>
      <c r="E24547" s="57"/>
      <c r="H24547" s="18"/>
    </row>
    <row r="24548">
      <c r="C24548" s="18"/>
      <c r="D24548" s="19"/>
      <c r="E24548" s="57"/>
      <c r="H24548" s="18"/>
    </row>
    <row r="24549">
      <c r="C24549" s="18"/>
      <c r="D24549" s="19"/>
      <c r="E24549" s="57"/>
      <c r="H24549" s="18"/>
    </row>
    <row r="24550">
      <c r="C24550" s="18"/>
      <c r="D24550" s="19"/>
      <c r="E24550" s="57"/>
      <c r="H24550" s="18"/>
    </row>
    <row r="24551">
      <c r="C24551" s="18"/>
      <c r="D24551" s="19"/>
      <c r="E24551" s="57"/>
      <c r="H24551" s="18"/>
    </row>
    <row r="24552">
      <c r="C24552" s="18"/>
      <c r="D24552" s="19"/>
      <c r="E24552" s="57"/>
      <c r="H24552" s="18"/>
    </row>
    <row r="24553">
      <c r="C24553" s="18"/>
      <c r="D24553" s="19"/>
      <c r="E24553" s="57"/>
      <c r="H24553" s="18"/>
    </row>
    <row r="24554">
      <c r="C24554" s="18"/>
      <c r="D24554" s="19"/>
      <c r="E24554" s="57"/>
      <c r="H24554" s="18"/>
    </row>
    <row r="24555">
      <c r="C24555" s="18"/>
      <c r="D24555" s="19"/>
      <c r="E24555" s="57"/>
      <c r="H24555" s="18"/>
    </row>
    <row r="24556">
      <c r="C24556" s="18"/>
      <c r="D24556" s="19"/>
      <c r="E24556" s="57"/>
      <c r="H24556" s="18"/>
    </row>
    <row r="24557">
      <c r="C24557" s="18"/>
      <c r="D24557" s="19"/>
      <c r="E24557" s="57"/>
      <c r="H24557" s="18"/>
    </row>
    <row r="24558">
      <c r="C24558" s="18"/>
      <c r="D24558" s="19"/>
      <c r="E24558" s="57"/>
      <c r="H24558" s="18"/>
    </row>
    <row r="24559">
      <c r="C24559" s="18"/>
      <c r="D24559" s="19"/>
      <c r="E24559" s="57"/>
      <c r="H24559" s="18"/>
    </row>
    <row r="24560">
      <c r="C24560" s="18"/>
      <c r="D24560" s="19"/>
      <c r="E24560" s="57"/>
      <c r="H24560" s="18"/>
    </row>
    <row r="24561">
      <c r="C24561" s="18"/>
      <c r="D24561" s="19"/>
      <c r="E24561" s="57"/>
      <c r="H24561" s="18"/>
    </row>
    <row r="24562">
      <c r="C24562" s="18"/>
      <c r="D24562" s="19"/>
      <c r="E24562" s="57"/>
      <c r="H24562" s="18"/>
    </row>
    <row r="24563">
      <c r="C24563" s="18"/>
      <c r="D24563" s="19"/>
      <c r="E24563" s="57"/>
      <c r="H24563" s="18"/>
    </row>
    <row r="24564">
      <c r="C24564" s="18"/>
      <c r="D24564" s="19"/>
      <c r="E24564" s="57"/>
      <c r="H24564" s="18"/>
    </row>
    <row r="24565">
      <c r="C24565" s="18"/>
      <c r="D24565" s="19"/>
      <c r="E24565" s="57"/>
      <c r="H24565" s="18"/>
    </row>
    <row r="24566">
      <c r="C24566" s="18"/>
      <c r="D24566" s="19"/>
      <c r="E24566" s="57"/>
      <c r="H24566" s="18"/>
    </row>
    <row r="24567">
      <c r="C24567" s="18"/>
      <c r="D24567" s="19"/>
      <c r="E24567" s="57"/>
      <c r="H24567" s="18"/>
    </row>
    <row r="24568">
      <c r="C24568" s="18"/>
      <c r="D24568" s="19"/>
      <c r="E24568" s="57"/>
      <c r="H24568" s="18"/>
    </row>
    <row r="24569">
      <c r="C24569" s="18"/>
      <c r="D24569" s="19"/>
      <c r="E24569" s="57"/>
      <c r="H24569" s="18"/>
    </row>
    <row r="24570">
      <c r="C24570" s="18"/>
      <c r="D24570" s="19"/>
      <c r="E24570" s="57"/>
      <c r="H24570" s="18"/>
    </row>
    <row r="24571">
      <c r="C24571" s="18"/>
      <c r="D24571" s="19"/>
      <c r="E24571" s="57"/>
      <c r="H24571" s="18"/>
    </row>
    <row r="24572">
      <c r="C24572" s="18"/>
      <c r="D24572" s="19"/>
      <c r="E24572" s="57"/>
      <c r="H24572" s="18"/>
    </row>
    <row r="24573">
      <c r="C24573" s="18"/>
      <c r="D24573" s="19"/>
      <c r="E24573" s="57"/>
      <c r="H24573" s="18"/>
    </row>
    <row r="24574">
      <c r="C24574" s="18"/>
      <c r="D24574" s="19"/>
      <c r="E24574" s="57"/>
      <c r="H24574" s="18"/>
    </row>
    <row r="24575">
      <c r="C24575" s="18"/>
      <c r="D24575" s="19"/>
      <c r="E24575" s="57"/>
      <c r="H24575" s="18"/>
    </row>
    <row r="24576">
      <c r="C24576" s="18"/>
      <c r="D24576" s="19"/>
      <c r="E24576" s="57"/>
      <c r="H24576" s="18"/>
    </row>
    <row r="24577">
      <c r="C24577" s="18"/>
      <c r="D24577" s="19"/>
      <c r="E24577" s="57"/>
      <c r="H24577" s="18"/>
    </row>
    <row r="24578">
      <c r="C24578" s="18"/>
      <c r="D24578" s="19"/>
      <c r="E24578" s="57"/>
      <c r="H24578" s="18"/>
    </row>
    <row r="24579">
      <c r="C24579" s="18"/>
      <c r="D24579" s="19"/>
      <c r="E24579" s="57"/>
      <c r="H24579" s="18"/>
    </row>
    <row r="24580">
      <c r="C24580" s="18"/>
      <c r="D24580" s="19"/>
      <c r="E24580" s="57"/>
      <c r="H24580" s="18"/>
    </row>
    <row r="24581">
      <c r="C24581" s="18"/>
      <c r="D24581" s="19"/>
      <c r="E24581" s="57"/>
      <c r="H24581" s="18"/>
    </row>
    <row r="24582">
      <c r="C24582" s="18"/>
      <c r="D24582" s="19"/>
      <c r="E24582" s="57"/>
      <c r="H24582" s="18"/>
    </row>
    <row r="24583">
      <c r="C24583" s="18"/>
      <c r="D24583" s="19"/>
      <c r="E24583" s="57"/>
      <c r="H24583" s="18"/>
    </row>
    <row r="24584">
      <c r="C24584" s="18"/>
      <c r="D24584" s="19"/>
      <c r="E24584" s="57"/>
      <c r="H24584" s="18"/>
    </row>
    <row r="24585">
      <c r="C24585" s="18"/>
      <c r="D24585" s="19"/>
      <c r="E24585" s="57"/>
      <c r="H24585" s="18"/>
    </row>
    <row r="24586">
      <c r="C24586" s="18"/>
      <c r="D24586" s="19"/>
      <c r="E24586" s="57"/>
      <c r="H24586" s="18"/>
    </row>
    <row r="24587">
      <c r="C24587" s="18"/>
      <c r="D24587" s="19"/>
      <c r="E24587" s="57"/>
      <c r="H24587" s="18"/>
    </row>
    <row r="24588">
      <c r="C24588" s="18"/>
      <c r="D24588" s="19"/>
      <c r="E24588" s="57"/>
      <c r="H24588" s="18"/>
    </row>
    <row r="24589">
      <c r="C24589" s="18"/>
      <c r="D24589" s="19"/>
      <c r="E24589" s="57"/>
      <c r="H24589" s="18"/>
    </row>
    <row r="24590">
      <c r="C24590" s="18"/>
      <c r="D24590" s="19"/>
      <c r="E24590" s="57"/>
      <c r="H24590" s="18"/>
    </row>
    <row r="24591">
      <c r="C24591" s="18"/>
      <c r="D24591" s="19"/>
      <c r="E24591" s="57"/>
      <c r="H24591" s="18"/>
    </row>
    <row r="24592">
      <c r="C24592" s="18"/>
      <c r="D24592" s="19"/>
      <c r="E24592" s="57"/>
      <c r="H24592" s="18"/>
    </row>
    <row r="24593">
      <c r="C24593" s="18"/>
      <c r="D24593" s="19"/>
      <c r="E24593" s="57"/>
      <c r="H24593" s="18"/>
    </row>
    <row r="24594">
      <c r="C24594" s="18"/>
      <c r="D24594" s="19"/>
      <c r="E24594" s="57"/>
      <c r="H24594" s="18"/>
    </row>
    <row r="24595">
      <c r="C24595" s="18"/>
      <c r="D24595" s="19"/>
      <c r="E24595" s="57"/>
      <c r="H24595" s="18"/>
    </row>
    <row r="24596">
      <c r="C24596" s="18"/>
      <c r="D24596" s="19"/>
      <c r="E24596" s="57"/>
      <c r="H24596" s="18"/>
    </row>
    <row r="24597">
      <c r="C24597" s="18"/>
      <c r="D24597" s="19"/>
      <c r="E24597" s="57"/>
      <c r="H24597" s="18"/>
    </row>
    <row r="24598">
      <c r="C24598" s="18"/>
      <c r="D24598" s="19"/>
      <c r="E24598" s="57"/>
      <c r="H24598" s="18"/>
    </row>
    <row r="24599">
      <c r="C24599" s="18"/>
      <c r="D24599" s="19"/>
      <c r="E24599" s="57"/>
      <c r="H24599" s="18"/>
    </row>
    <row r="24600">
      <c r="C24600" s="18"/>
      <c r="D24600" s="19"/>
      <c r="E24600" s="57"/>
      <c r="H24600" s="18"/>
    </row>
    <row r="24601">
      <c r="C24601" s="18"/>
      <c r="D24601" s="19"/>
      <c r="E24601" s="57"/>
      <c r="H24601" s="18"/>
    </row>
    <row r="24602">
      <c r="C24602" s="18"/>
      <c r="D24602" s="19"/>
      <c r="E24602" s="57"/>
      <c r="H24602" s="18"/>
    </row>
    <row r="24603">
      <c r="C24603" s="18"/>
      <c r="D24603" s="19"/>
      <c r="E24603" s="57"/>
      <c r="H24603" s="18"/>
    </row>
    <row r="24604">
      <c r="C24604" s="18"/>
      <c r="D24604" s="19"/>
      <c r="E24604" s="57"/>
      <c r="H24604" s="18"/>
    </row>
    <row r="24605">
      <c r="C24605" s="18"/>
      <c r="D24605" s="19"/>
      <c r="E24605" s="57"/>
      <c r="H24605" s="18"/>
    </row>
    <row r="24606">
      <c r="C24606" s="18"/>
      <c r="D24606" s="19"/>
      <c r="E24606" s="57"/>
      <c r="H24606" s="18"/>
    </row>
    <row r="24607">
      <c r="C24607" s="18"/>
      <c r="D24607" s="19"/>
      <c r="E24607" s="57"/>
      <c r="H24607" s="18"/>
    </row>
    <row r="24608">
      <c r="C24608" s="18"/>
      <c r="D24608" s="19"/>
      <c r="E24608" s="57"/>
      <c r="H24608" s="18"/>
    </row>
    <row r="24609">
      <c r="C24609" s="18"/>
      <c r="D24609" s="19"/>
      <c r="E24609" s="57"/>
      <c r="H24609" s="18"/>
    </row>
    <row r="24610">
      <c r="C24610" s="18"/>
      <c r="D24610" s="19"/>
      <c r="E24610" s="57"/>
      <c r="H24610" s="18"/>
    </row>
    <row r="24611">
      <c r="C24611" s="18"/>
      <c r="D24611" s="19"/>
      <c r="E24611" s="57"/>
      <c r="H24611" s="18"/>
    </row>
    <row r="24612">
      <c r="C24612" s="18"/>
      <c r="D24612" s="19"/>
      <c r="E24612" s="57"/>
      <c r="H24612" s="18"/>
    </row>
    <row r="24613">
      <c r="C24613" s="18"/>
      <c r="D24613" s="19"/>
      <c r="E24613" s="57"/>
      <c r="H24613" s="18"/>
    </row>
    <row r="24614">
      <c r="C24614" s="18"/>
      <c r="D24614" s="19"/>
      <c r="E24614" s="57"/>
      <c r="H24614" s="18"/>
    </row>
    <row r="24615">
      <c r="C24615" s="18"/>
      <c r="D24615" s="19"/>
      <c r="E24615" s="57"/>
      <c r="H24615" s="18"/>
    </row>
    <row r="24616">
      <c r="C24616" s="18"/>
      <c r="D24616" s="19"/>
      <c r="E24616" s="57"/>
      <c r="H24616" s="18"/>
    </row>
    <row r="24617">
      <c r="C24617" s="18"/>
      <c r="D24617" s="19"/>
      <c r="E24617" s="57"/>
      <c r="H24617" s="18"/>
    </row>
    <row r="24618">
      <c r="C24618" s="18"/>
      <c r="D24618" s="19"/>
      <c r="E24618" s="57"/>
      <c r="H24618" s="18"/>
    </row>
    <row r="24619">
      <c r="C24619" s="18"/>
      <c r="D24619" s="19"/>
      <c r="E24619" s="57"/>
      <c r="H24619" s="18"/>
    </row>
    <row r="24620">
      <c r="C24620" s="18"/>
      <c r="D24620" s="19"/>
      <c r="E24620" s="57"/>
      <c r="H24620" s="18"/>
    </row>
    <row r="24621">
      <c r="C24621" s="18"/>
      <c r="D24621" s="19"/>
      <c r="E24621" s="57"/>
      <c r="H24621" s="18"/>
    </row>
    <row r="24622">
      <c r="C24622" s="18"/>
      <c r="D24622" s="19"/>
      <c r="E24622" s="57"/>
      <c r="H24622" s="18"/>
    </row>
    <row r="24623">
      <c r="C24623" s="18"/>
      <c r="D24623" s="19"/>
      <c r="E24623" s="57"/>
      <c r="H24623" s="18"/>
    </row>
    <row r="24624">
      <c r="C24624" s="18"/>
      <c r="D24624" s="19"/>
      <c r="E24624" s="57"/>
      <c r="H24624" s="18"/>
    </row>
    <row r="24625">
      <c r="C24625" s="18"/>
      <c r="D24625" s="19"/>
      <c r="E24625" s="57"/>
      <c r="H24625" s="18"/>
    </row>
    <row r="24626">
      <c r="C24626" s="18"/>
      <c r="D24626" s="19"/>
      <c r="E24626" s="57"/>
      <c r="H24626" s="18"/>
    </row>
    <row r="24627">
      <c r="C24627" s="18"/>
      <c r="D24627" s="19"/>
      <c r="E24627" s="57"/>
      <c r="H24627" s="18"/>
    </row>
    <row r="24628">
      <c r="C24628" s="18"/>
      <c r="D24628" s="19"/>
      <c r="E24628" s="57"/>
      <c r="H24628" s="18"/>
    </row>
    <row r="24629">
      <c r="C24629" s="18"/>
      <c r="D24629" s="19"/>
      <c r="E24629" s="57"/>
      <c r="H24629" s="18"/>
    </row>
    <row r="24630">
      <c r="C24630" s="18"/>
      <c r="D24630" s="19"/>
      <c r="E24630" s="57"/>
      <c r="H24630" s="18"/>
    </row>
    <row r="24631">
      <c r="C24631" s="18"/>
      <c r="D24631" s="19"/>
      <c r="E24631" s="57"/>
      <c r="H24631" s="18"/>
    </row>
    <row r="24632">
      <c r="C24632" s="18"/>
      <c r="D24632" s="19"/>
      <c r="E24632" s="57"/>
      <c r="H24632" s="18"/>
    </row>
    <row r="24633">
      <c r="C24633" s="18"/>
      <c r="D24633" s="19"/>
      <c r="E24633" s="57"/>
      <c r="H24633" s="18"/>
    </row>
    <row r="24634">
      <c r="C24634" s="18"/>
      <c r="D24634" s="19"/>
      <c r="E24634" s="57"/>
      <c r="H24634" s="18"/>
    </row>
    <row r="24635">
      <c r="C24635" s="18"/>
      <c r="D24635" s="19"/>
      <c r="E24635" s="57"/>
      <c r="H24635" s="18"/>
    </row>
    <row r="24636">
      <c r="C24636" s="18"/>
      <c r="D24636" s="19"/>
      <c r="E24636" s="57"/>
      <c r="H24636" s="18"/>
    </row>
    <row r="24637">
      <c r="C24637" s="18"/>
      <c r="D24637" s="19"/>
      <c r="E24637" s="57"/>
      <c r="H24637" s="18"/>
    </row>
    <row r="24638">
      <c r="C24638" s="18"/>
      <c r="D24638" s="19"/>
      <c r="E24638" s="57"/>
      <c r="H24638" s="18"/>
    </row>
    <row r="24639">
      <c r="C24639" s="18"/>
      <c r="D24639" s="19"/>
      <c r="E24639" s="57"/>
      <c r="H24639" s="18"/>
    </row>
    <row r="24640">
      <c r="C24640" s="18"/>
      <c r="D24640" s="19"/>
      <c r="E24640" s="57"/>
      <c r="H24640" s="18"/>
    </row>
    <row r="24641">
      <c r="C24641" s="18"/>
      <c r="D24641" s="19"/>
      <c r="E24641" s="57"/>
      <c r="H24641" s="18"/>
    </row>
    <row r="24642">
      <c r="C24642" s="18"/>
      <c r="D24642" s="19"/>
      <c r="E24642" s="57"/>
      <c r="H24642" s="18"/>
    </row>
    <row r="24643">
      <c r="C24643" s="18"/>
      <c r="D24643" s="19"/>
      <c r="E24643" s="57"/>
      <c r="H24643" s="18"/>
    </row>
    <row r="24644">
      <c r="C24644" s="18"/>
      <c r="D24644" s="19"/>
      <c r="E24644" s="57"/>
      <c r="H24644" s="18"/>
    </row>
    <row r="24645">
      <c r="C24645" s="18"/>
      <c r="D24645" s="19"/>
      <c r="E24645" s="57"/>
      <c r="H24645" s="18"/>
    </row>
    <row r="24646">
      <c r="C24646" s="18"/>
      <c r="D24646" s="19"/>
      <c r="E24646" s="57"/>
      <c r="H24646" s="18"/>
    </row>
    <row r="24647">
      <c r="C24647" s="18"/>
      <c r="D24647" s="19"/>
      <c r="E24647" s="57"/>
      <c r="H24647" s="18"/>
    </row>
    <row r="24648">
      <c r="C24648" s="18"/>
      <c r="D24648" s="19"/>
      <c r="E24648" s="57"/>
      <c r="H24648" s="18"/>
    </row>
    <row r="24649">
      <c r="C24649" s="18"/>
      <c r="D24649" s="19"/>
      <c r="E24649" s="57"/>
      <c r="H24649" s="18"/>
    </row>
    <row r="24650">
      <c r="C24650" s="18"/>
      <c r="D24650" s="19"/>
      <c r="E24650" s="57"/>
      <c r="H24650" s="18"/>
    </row>
    <row r="24651">
      <c r="C24651" s="18"/>
      <c r="D24651" s="19"/>
      <c r="E24651" s="57"/>
      <c r="H24651" s="18"/>
    </row>
    <row r="24652">
      <c r="C24652" s="18"/>
      <c r="D24652" s="19"/>
      <c r="E24652" s="57"/>
      <c r="H24652" s="18"/>
    </row>
    <row r="24653">
      <c r="C24653" s="18"/>
      <c r="D24653" s="19"/>
      <c r="E24653" s="57"/>
      <c r="H24653" s="18"/>
    </row>
    <row r="24654">
      <c r="C24654" s="18"/>
      <c r="D24654" s="19"/>
      <c r="E24654" s="57"/>
      <c r="H24654" s="18"/>
    </row>
    <row r="24655">
      <c r="C24655" s="18"/>
      <c r="D24655" s="19"/>
      <c r="E24655" s="57"/>
      <c r="H24655" s="18"/>
    </row>
    <row r="24656">
      <c r="C24656" s="18"/>
      <c r="D24656" s="19"/>
      <c r="E24656" s="57"/>
      <c r="H24656" s="18"/>
    </row>
    <row r="24657">
      <c r="C24657" s="18"/>
      <c r="D24657" s="19"/>
      <c r="E24657" s="57"/>
      <c r="H24657" s="18"/>
    </row>
    <row r="24658">
      <c r="C24658" s="18"/>
      <c r="D24658" s="19"/>
      <c r="E24658" s="57"/>
      <c r="H24658" s="18"/>
    </row>
    <row r="24659">
      <c r="C24659" s="18"/>
      <c r="D24659" s="19"/>
      <c r="E24659" s="57"/>
      <c r="H24659" s="18"/>
    </row>
    <row r="24660">
      <c r="C24660" s="18"/>
      <c r="D24660" s="19"/>
      <c r="E24660" s="57"/>
      <c r="H24660" s="18"/>
    </row>
    <row r="24661">
      <c r="C24661" s="18"/>
      <c r="D24661" s="19"/>
      <c r="E24661" s="57"/>
      <c r="H24661" s="18"/>
    </row>
    <row r="24662">
      <c r="C24662" s="18"/>
      <c r="D24662" s="19"/>
      <c r="E24662" s="57"/>
      <c r="H24662" s="18"/>
    </row>
    <row r="24663">
      <c r="C24663" s="18"/>
      <c r="D24663" s="19"/>
      <c r="E24663" s="57"/>
      <c r="H24663" s="18"/>
    </row>
    <row r="24664">
      <c r="C24664" s="18"/>
      <c r="D24664" s="19"/>
      <c r="E24664" s="57"/>
      <c r="H24664" s="18"/>
    </row>
    <row r="24665">
      <c r="C24665" s="18"/>
      <c r="D24665" s="19"/>
      <c r="E24665" s="57"/>
      <c r="H24665" s="18"/>
    </row>
    <row r="24666">
      <c r="C24666" s="18"/>
      <c r="D24666" s="19"/>
      <c r="E24666" s="57"/>
      <c r="H24666" s="18"/>
    </row>
    <row r="24667">
      <c r="C24667" s="18"/>
      <c r="D24667" s="19"/>
      <c r="E24667" s="57"/>
      <c r="H24667" s="18"/>
    </row>
    <row r="24668">
      <c r="C24668" s="18"/>
      <c r="D24668" s="19"/>
      <c r="E24668" s="57"/>
      <c r="H24668" s="18"/>
    </row>
    <row r="24669">
      <c r="C24669" s="18"/>
      <c r="D24669" s="19"/>
      <c r="E24669" s="57"/>
      <c r="H24669" s="18"/>
    </row>
    <row r="24670">
      <c r="C24670" s="18"/>
      <c r="D24670" s="19"/>
      <c r="E24670" s="57"/>
      <c r="H24670" s="18"/>
    </row>
    <row r="24671">
      <c r="C24671" s="18"/>
      <c r="D24671" s="19"/>
      <c r="E24671" s="57"/>
      <c r="H24671" s="18"/>
    </row>
    <row r="24672">
      <c r="C24672" s="18"/>
      <c r="D24672" s="19"/>
      <c r="E24672" s="57"/>
      <c r="H24672" s="18"/>
    </row>
    <row r="24673">
      <c r="C24673" s="18"/>
      <c r="D24673" s="19"/>
      <c r="E24673" s="57"/>
      <c r="H24673" s="18"/>
    </row>
    <row r="24674">
      <c r="C24674" s="18"/>
      <c r="D24674" s="19"/>
      <c r="E24674" s="57"/>
      <c r="H24674" s="18"/>
    </row>
    <row r="24675">
      <c r="C24675" s="18"/>
      <c r="D24675" s="19"/>
      <c r="E24675" s="57"/>
      <c r="H24675" s="18"/>
    </row>
    <row r="24676">
      <c r="C24676" s="18"/>
      <c r="D24676" s="19"/>
      <c r="E24676" s="57"/>
      <c r="H24676" s="18"/>
    </row>
    <row r="24677">
      <c r="C24677" s="18"/>
      <c r="D24677" s="19"/>
      <c r="E24677" s="57"/>
      <c r="H24677" s="18"/>
    </row>
    <row r="24678">
      <c r="C24678" s="18"/>
      <c r="D24678" s="19"/>
      <c r="E24678" s="57"/>
      <c r="H24678" s="18"/>
    </row>
    <row r="24679">
      <c r="C24679" s="18"/>
      <c r="D24679" s="19"/>
      <c r="E24679" s="57"/>
      <c r="H24679" s="18"/>
    </row>
    <row r="24680">
      <c r="C24680" s="18"/>
      <c r="D24680" s="19"/>
      <c r="E24680" s="57"/>
      <c r="H24680" s="18"/>
    </row>
    <row r="24681">
      <c r="C24681" s="18"/>
      <c r="D24681" s="19"/>
      <c r="E24681" s="57"/>
      <c r="H24681" s="18"/>
    </row>
    <row r="24682">
      <c r="C24682" s="18"/>
      <c r="D24682" s="19"/>
      <c r="E24682" s="57"/>
      <c r="H24682" s="18"/>
    </row>
    <row r="24683">
      <c r="C24683" s="18"/>
      <c r="D24683" s="19"/>
      <c r="E24683" s="57"/>
      <c r="H24683" s="18"/>
    </row>
    <row r="24684">
      <c r="C24684" s="18"/>
      <c r="D24684" s="19"/>
      <c r="E24684" s="57"/>
      <c r="H24684" s="18"/>
    </row>
    <row r="24685">
      <c r="C24685" s="18"/>
      <c r="D24685" s="19"/>
      <c r="E24685" s="57"/>
      <c r="H24685" s="18"/>
    </row>
    <row r="24686">
      <c r="C24686" s="18"/>
      <c r="D24686" s="19"/>
      <c r="E24686" s="57"/>
      <c r="H24686" s="18"/>
    </row>
    <row r="24687">
      <c r="C24687" s="18"/>
      <c r="D24687" s="19"/>
      <c r="E24687" s="57"/>
      <c r="H24687" s="18"/>
    </row>
    <row r="24688">
      <c r="C24688" s="18"/>
      <c r="D24688" s="19"/>
      <c r="E24688" s="57"/>
      <c r="H24688" s="18"/>
    </row>
    <row r="24689">
      <c r="C24689" s="18"/>
      <c r="D24689" s="19"/>
      <c r="E24689" s="57"/>
      <c r="H24689" s="18"/>
    </row>
    <row r="24690">
      <c r="C24690" s="18"/>
      <c r="D24690" s="19"/>
      <c r="E24690" s="57"/>
      <c r="H24690" s="18"/>
    </row>
    <row r="24691">
      <c r="C24691" s="18"/>
      <c r="D24691" s="19"/>
      <c r="E24691" s="57"/>
      <c r="H24691" s="18"/>
    </row>
    <row r="24692">
      <c r="C24692" s="18"/>
      <c r="D24692" s="19"/>
      <c r="E24692" s="57"/>
      <c r="H24692" s="18"/>
    </row>
    <row r="24693">
      <c r="C24693" s="18"/>
      <c r="D24693" s="19"/>
      <c r="E24693" s="57"/>
      <c r="H24693" s="18"/>
    </row>
    <row r="24694">
      <c r="C24694" s="18"/>
      <c r="D24694" s="19"/>
      <c r="E24694" s="57"/>
      <c r="H24694" s="18"/>
    </row>
    <row r="24695">
      <c r="C24695" s="18"/>
      <c r="D24695" s="19"/>
      <c r="E24695" s="57"/>
      <c r="H24695" s="18"/>
    </row>
    <row r="24696">
      <c r="C24696" s="18"/>
      <c r="D24696" s="19"/>
      <c r="E24696" s="57"/>
      <c r="H24696" s="18"/>
    </row>
    <row r="24697">
      <c r="C24697" s="18"/>
      <c r="D24697" s="19"/>
      <c r="E24697" s="57"/>
      <c r="H24697" s="18"/>
    </row>
    <row r="24698">
      <c r="C24698" s="18"/>
      <c r="D24698" s="19"/>
      <c r="E24698" s="57"/>
      <c r="H24698" s="18"/>
    </row>
    <row r="24699">
      <c r="C24699" s="18"/>
      <c r="D24699" s="19"/>
      <c r="E24699" s="57"/>
      <c r="H24699" s="18"/>
    </row>
    <row r="24700">
      <c r="C24700" s="18"/>
      <c r="D24700" s="19"/>
      <c r="E24700" s="57"/>
      <c r="H24700" s="18"/>
    </row>
    <row r="24701">
      <c r="C24701" s="18"/>
      <c r="D24701" s="19"/>
      <c r="E24701" s="57"/>
      <c r="H24701" s="18"/>
    </row>
    <row r="24702">
      <c r="C24702" s="18"/>
      <c r="D24702" s="19"/>
      <c r="E24702" s="57"/>
      <c r="H24702" s="18"/>
    </row>
    <row r="24703">
      <c r="C24703" s="18"/>
      <c r="D24703" s="19"/>
      <c r="E24703" s="57"/>
      <c r="H24703" s="18"/>
    </row>
    <row r="24704">
      <c r="C24704" s="18"/>
      <c r="D24704" s="19"/>
      <c r="E24704" s="57"/>
      <c r="H24704" s="18"/>
    </row>
    <row r="24705">
      <c r="C24705" s="18"/>
      <c r="D24705" s="19"/>
      <c r="E24705" s="57"/>
      <c r="H24705" s="18"/>
    </row>
    <row r="24706">
      <c r="C24706" s="18"/>
      <c r="D24706" s="19"/>
      <c r="E24706" s="57"/>
      <c r="H24706" s="18"/>
    </row>
    <row r="24707">
      <c r="C24707" s="18"/>
      <c r="D24707" s="19"/>
      <c r="E24707" s="57"/>
      <c r="H24707" s="18"/>
    </row>
    <row r="24708">
      <c r="C24708" s="18"/>
      <c r="D24708" s="19"/>
      <c r="E24708" s="57"/>
      <c r="H24708" s="18"/>
    </row>
    <row r="24709">
      <c r="C24709" s="18"/>
      <c r="D24709" s="19"/>
      <c r="E24709" s="57"/>
      <c r="H24709" s="18"/>
    </row>
    <row r="24710">
      <c r="C24710" s="18"/>
      <c r="D24710" s="19"/>
      <c r="E24710" s="57"/>
      <c r="H24710" s="18"/>
    </row>
    <row r="24711">
      <c r="C24711" s="18"/>
      <c r="D24711" s="19"/>
      <c r="E24711" s="57"/>
      <c r="H24711" s="18"/>
    </row>
    <row r="24712">
      <c r="C24712" s="18"/>
      <c r="D24712" s="19"/>
      <c r="E24712" s="57"/>
      <c r="H24712" s="18"/>
    </row>
    <row r="24713">
      <c r="C24713" s="18"/>
      <c r="D24713" s="19"/>
      <c r="E24713" s="57"/>
      <c r="H24713" s="18"/>
    </row>
    <row r="24714">
      <c r="C24714" s="18"/>
      <c r="D24714" s="19"/>
      <c r="E24714" s="57"/>
      <c r="H24714" s="18"/>
    </row>
    <row r="24715">
      <c r="C24715" s="18"/>
      <c r="D24715" s="19"/>
      <c r="E24715" s="57"/>
      <c r="H24715" s="18"/>
    </row>
    <row r="24716">
      <c r="C24716" s="18"/>
      <c r="D24716" s="19"/>
      <c r="E24716" s="57"/>
      <c r="H24716" s="18"/>
    </row>
    <row r="24717">
      <c r="C24717" s="18"/>
      <c r="D24717" s="19"/>
      <c r="E24717" s="57"/>
      <c r="H24717" s="18"/>
    </row>
    <row r="24718">
      <c r="C24718" s="18"/>
      <c r="D24718" s="19"/>
      <c r="E24718" s="57"/>
      <c r="H24718" s="18"/>
    </row>
    <row r="24719">
      <c r="C24719" s="18"/>
      <c r="D24719" s="19"/>
      <c r="E24719" s="57"/>
      <c r="H24719" s="18"/>
    </row>
    <row r="24720">
      <c r="C24720" s="18"/>
      <c r="D24720" s="19"/>
      <c r="E24720" s="57"/>
      <c r="H24720" s="18"/>
    </row>
    <row r="24721">
      <c r="C24721" s="18"/>
      <c r="D24721" s="19"/>
      <c r="E24721" s="57"/>
      <c r="H24721" s="18"/>
    </row>
    <row r="24722">
      <c r="C24722" s="18"/>
      <c r="D24722" s="19"/>
      <c r="E24722" s="57"/>
      <c r="H24722" s="18"/>
    </row>
    <row r="24723">
      <c r="C24723" s="18"/>
      <c r="D24723" s="19"/>
      <c r="E24723" s="57"/>
      <c r="H24723" s="18"/>
    </row>
    <row r="24724">
      <c r="C24724" s="18"/>
      <c r="D24724" s="19"/>
      <c r="E24724" s="57"/>
      <c r="H24724" s="18"/>
    </row>
    <row r="24725">
      <c r="C24725" s="18"/>
      <c r="D24725" s="19"/>
      <c r="E24725" s="57"/>
      <c r="H24725" s="18"/>
    </row>
    <row r="24726">
      <c r="C24726" s="18"/>
      <c r="D24726" s="19"/>
      <c r="E24726" s="57"/>
      <c r="H24726" s="18"/>
    </row>
    <row r="24727">
      <c r="C24727" s="18"/>
      <c r="D24727" s="19"/>
      <c r="E24727" s="57"/>
      <c r="H24727" s="18"/>
    </row>
    <row r="24728">
      <c r="C24728" s="18"/>
      <c r="D24728" s="19"/>
      <c r="E24728" s="57"/>
      <c r="H24728" s="18"/>
    </row>
    <row r="24729">
      <c r="C24729" s="18"/>
      <c r="D24729" s="19"/>
      <c r="E24729" s="57"/>
      <c r="H24729" s="18"/>
    </row>
    <row r="24730">
      <c r="C24730" s="18"/>
      <c r="D24730" s="19"/>
      <c r="E24730" s="57"/>
      <c r="H24730" s="18"/>
    </row>
    <row r="24731">
      <c r="C24731" s="18"/>
      <c r="D24731" s="19"/>
      <c r="E24731" s="57"/>
      <c r="H24731" s="18"/>
    </row>
    <row r="24732">
      <c r="C24732" s="18"/>
      <c r="D24732" s="19"/>
      <c r="E24732" s="57"/>
      <c r="H24732" s="18"/>
    </row>
    <row r="24733">
      <c r="C24733" s="18"/>
      <c r="D24733" s="19"/>
      <c r="E24733" s="57"/>
      <c r="H24733" s="18"/>
    </row>
    <row r="24734">
      <c r="C24734" s="18"/>
      <c r="D24734" s="19"/>
      <c r="E24734" s="57"/>
      <c r="H24734" s="18"/>
    </row>
    <row r="24735">
      <c r="C24735" s="18"/>
      <c r="D24735" s="19"/>
      <c r="E24735" s="57"/>
      <c r="H24735" s="18"/>
    </row>
    <row r="24736">
      <c r="C24736" s="18"/>
      <c r="D24736" s="19"/>
      <c r="E24736" s="57"/>
      <c r="H24736" s="18"/>
    </row>
    <row r="24737">
      <c r="C24737" s="18"/>
      <c r="D24737" s="19"/>
      <c r="E24737" s="57"/>
      <c r="H24737" s="18"/>
    </row>
    <row r="24738">
      <c r="C24738" s="18"/>
      <c r="D24738" s="19"/>
      <c r="E24738" s="57"/>
      <c r="H24738" s="18"/>
    </row>
    <row r="24739">
      <c r="C24739" s="18"/>
      <c r="D24739" s="19"/>
      <c r="E24739" s="57"/>
      <c r="H24739" s="18"/>
    </row>
    <row r="24740">
      <c r="C24740" s="18"/>
      <c r="D24740" s="19"/>
      <c r="E24740" s="57"/>
      <c r="H24740" s="18"/>
    </row>
    <row r="24741">
      <c r="C24741" s="18"/>
      <c r="D24741" s="19"/>
      <c r="E24741" s="57"/>
      <c r="H24741" s="18"/>
    </row>
    <row r="24742">
      <c r="C24742" s="18"/>
      <c r="D24742" s="19"/>
      <c r="E24742" s="57"/>
      <c r="H24742" s="18"/>
    </row>
    <row r="24743">
      <c r="C24743" s="18"/>
      <c r="D24743" s="19"/>
      <c r="E24743" s="57"/>
      <c r="H24743" s="18"/>
    </row>
    <row r="24744">
      <c r="C24744" s="18"/>
      <c r="D24744" s="19"/>
      <c r="E24744" s="57"/>
      <c r="H24744" s="18"/>
    </row>
    <row r="24745">
      <c r="C24745" s="18"/>
      <c r="D24745" s="19"/>
      <c r="E24745" s="57"/>
      <c r="H24745" s="18"/>
    </row>
    <row r="24746">
      <c r="C24746" s="18"/>
      <c r="D24746" s="19"/>
      <c r="E24746" s="57"/>
      <c r="H24746" s="18"/>
    </row>
    <row r="24747">
      <c r="C24747" s="18"/>
      <c r="D24747" s="19"/>
      <c r="E24747" s="57"/>
      <c r="H24747" s="18"/>
    </row>
    <row r="24748">
      <c r="C24748" s="18"/>
      <c r="D24748" s="19"/>
      <c r="E24748" s="57"/>
      <c r="H24748" s="18"/>
    </row>
    <row r="24749">
      <c r="C24749" s="18"/>
      <c r="D24749" s="19"/>
      <c r="E24749" s="57"/>
      <c r="H24749" s="18"/>
    </row>
    <row r="24750">
      <c r="C24750" s="18"/>
      <c r="D24750" s="19"/>
      <c r="E24750" s="57"/>
      <c r="H24750" s="18"/>
    </row>
    <row r="24751">
      <c r="C24751" s="18"/>
      <c r="D24751" s="19"/>
      <c r="E24751" s="57"/>
      <c r="H24751" s="18"/>
    </row>
    <row r="24752">
      <c r="C24752" s="18"/>
      <c r="D24752" s="19"/>
      <c r="E24752" s="57"/>
      <c r="H24752" s="18"/>
    </row>
    <row r="24753">
      <c r="C24753" s="18"/>
      <c r="D24753" s="19"/>
      <c r="E24753" s="57"/>
      <c r="H24753" s="18"/>
    </row>
    <row r="24754">
      <c r="C24754" s="18"/>
      <c r="D24754" s="19"/>
      <c r="E24754" s="57"/>
      <c r="H24754" s="18"/>
    </row>
    <row r="24755">
      <c r="C24755" s="18"/>
      <c r="D24755" s="19"/>
      <c r="E24755" s="57"/>
      <c r="H24755" s="18"/>
    </row>
    <row r="24756">
      <c r="C24756" s="18"/>
      <c r="D24756" s="19"/>
      <c r="E24756" s="57"/>
      <c r="H24756" s="18"/>
    </row>
    <row r="24757">
      <c r="C24757" s="18"/>
      <c r="D24757" s="19"/>
      <c r="E24757" s="57"/>
      <c r="H24757" s="18"/>
    </row>
    <row r="24758">
      <c r="C24758" s="18"/>
      <c r="D24758" s="19"/>
      <c r="E24758" s="57"/>
      <c r="H24758" s="18"/>
    </row>
    <row r="24759">
      <c r="C24759" s="18"/>
      <c r="D24759" s="19"/>
      <c r="E24759" s="57"/>
      <c r="H24759" s="18"/>
    </row>
    <row r="24760">
      <c r="C24760" s="18"/>
      <c r="D24760" s="19"/>
      <c r="E24760" s="57"/>
      <c r="H24760" s="18"/>
    </row>
    <row r="24761">
      <c r="C24761" s="18"/>
      <c r="D24761" s="19"/>
      <c r="E24761" s="57"/>
      <c r="H24761" s="18"/>
    </row>
    <row r="24762">
      <c r="C24762" s="18"/>
      <c r="D24762" s="19"/>
      <c r="E24762" s="57"/>
      <c r="H24762" s="18"/>
    </row>
    <row r="24763">
      <c r="C24763" s="18"/>
      <c r="D24763" s="19"/>
      <c r="E24763" s="57"/>
      <c r="H24763" s="18"/>
    </row>
    <row r="24764">
      <c r="C24764" s="18"/>
      <c r="D24764" s="19"/>
      <c r="E24764" s="57"/>
      <c r="H24764" s="18"/>
    </row>
    <row r="24765">
      <c r="C24765" s="18"/>
      <c r="D24765" s="19"/>
      <c r="E24765" s="57"/>
      <c r="H24765" s="18"/>
    </row>
    <row r="24766">
      <c r="C24766" s="18"/>
      <c r="D24766" s="19"/>
      <c r="E24766" s="57"/>
      <c r="H24766" s="18"/>
    </row>
    <row r="24767">
      <c r="C24767" s="18"/>
      <c r="D24767" s="19"/>
      <c r="E24767" s="57"/>
      <c r="H24767" s="18"/>
    </row>
    <row r="24768">
      <c r="C24768" s="18"/>
      <c r="D24768" s="19"/>
      <c r="E24768" s="57"/>
      <c r="H24768" s="18"/>
    </row>
    <row r="24769">
      <c r="C24769" s="18"/>
      <c r="D24769" s="19"/>
      <c r="E24769" s="57"/>
      <c r="H24769" s="18"/>
    </row>
    <row r="24770">
      <c r="C24770" s="18"/>
      <c r="D24770" s="19"/>
      <c r="E24770" s="57"/>
      <c r="H24770" s="18"/>
    </row>
    <row r="24771">
      <c r="C24771" s="18"/>
      <c r="D24771" s="19"/>
      <c r="E24771" s="57"/>
      <c r="H24771" s="18"/>
    </row>
    <row r="24772">
      <c r="C24772" s="18"/>
      <c r="D24772" s="19"/>
      <c r="E24772" s="57"/>
      <c r="H24772" s="18"/>
    </row>
    <row r="24773">
      <c r="C24773" s="18"/>
      <c r="D24773" s="19"/>
      <c r="E24773" s="57"/>
      <c r="H24773" s="18"/>
    </row>
    <row r="24774">
      <c r="C24774" s="18"/>
      <c r="D24774" s="19"/>
      <c r="E24774" s="57"/>
      <c r="H24774" s="18"/>
    </row>
    <row r="24775">
      <c r="C24775" s="18"/>
      <c r="D24775" s="19"/>
      <c r="E24775" s="57"/>
      <c r="H24775" s="18"/>
    </row>
    <row r="24776">
      <c r="C24776" s="18"/>
      <c r="D24776" s="19"/>
      <c r="E24776" s="57"/>
      <c r="H24776" s="18"/>
    </row>
    <row r="24777">
      <c r="C24777" s="18"/>
      <c r="D24777" s="19"/>
      <c r="E24777" s="57"/>
      <c r="H24777" s="18"/>
    </row>
    <row r="24778">
      <c r="C24778" s="18"/>
      <c r="D24778" s="19"/>
      <c r="E24778" s="57"/>
      <c r="H24778" s="18"/>
    </row>
    <row r="24779">
      <c r="C24779" s="18"/>
      <c r="D24779" s="19"/>
      <c r="E24779" s="57"/>
      <c r="H24779" s="18"/>
    </row>
    <row r="24780">
      <c r="C24780" s="18"/>
      <c r="D24780" s="19"/>
      <c r="E24780" s="57"/>
      <c r="H24780" s="18"/>
    </row>
    <row r="24781">
      <c r="C24781" s="18"/>
      <c r="D24781" s="19"/>
      <c r="E24781" s="57"/>
      <c r="H24781" s="18"/>
    </row>
    <row r="24782">
      <c r="C24782" s="18"/>
      <c r="D24782" s="19"/>
      <c r="E24782" s="57"/>
      <c r="H24782" s="18"/>
    </row>
    <row r="24783">
      <c r="C24783" s="18"/>
      <c r="D24783" s="19"/>
      <c r="E24783" s="57"/>
      <c r="H24783" s="18"/>
    </row>
    <row r="24784">
      <c r="C24784" s="18"/>
      <c r="D24784" s="19"/>
      <c r="E24784" s="57"/>
      <c r="H24784" s="18"/>
    </row>
    <row r="24785">
      <c r="C24785" s="18"/>
      <c r="D24785" s="19"/>
      <c r="E24785" s="57"/>
      <c r="H24785" s="18"/>
    </row>
    <row r="24786">
      <c r="C24786" s="18"/>
      <c r="D24786" s="19"/>
      <c r="E24786" s="57"/>
      <c r="H24786" s="18"/>
    </row>
    <row r="24787">
      <c r="C24787" s="18"/>
      <c r="D24787" s="19"/>
      <c r="E24787" s="57"/>
      <c r="H24787" s="18"/>
    </row>
    <row r="24788">
      <c r="C24788" s="18"/>
      <c r="D24788" s="19"/>
      <c r="E24788" s="57"/>
      <c r="H24788" s="18"/>
    </row>
    <row r="24789">
      <c r="C24789" s="18"/>
      <c r="D24789" s="19"/>
      <c r="E24789" s="57"/>
      <c r="H24789" s="18"/>
    </row>
    <row r="24790">
      <c r="C24790" s="18"/>
      <c r="D24790" s="19"/>
      <c r="E24790" s="57"/>
      <c r="H24790" s="18"/>
    </row>
    <row r="24791">
      <c r="C24791" s="18"/>
      <c r="D24791" s="19"/>
      <c r="E24791" s="57"/>
      <c r="H24791" s="18"/>
    </row>
    <row r="24792">
      <c r="C24792" s="18"/>
      <c r="D24792" s="19"/>
      <c r="E24792" s="57"/>
      <c r="H24792" s="18"/>
    </row>
    <row r="24793">
      <c r="C24793" s="18"/>
      <c r="D24793" s="19"/>
      <c r="E24793" s="57"/>
      <c r="H24793" s="18"/>
    </row>
    <row r="24794">
      <c r="C24794" s="18"/>
      <c r="D24794" s="19"/>
      <c r="E24794" s="57"/>
      <c r="H24794" s="18"/>
    </row>
    <row r="24795">
      <c r="C24795" s="18"/>
      <c r="D24795" s="19"/>
      <c r="E24795" s="57"/>
      <c r="H24795" s="18"/>
    </row>
    <row r="24796">
      <c r="C24796" s="18"/>
      <c r="D24796" s="19"/>
      <c r="E24796" s="57"/>
      <c r="H24796" s="18"/>
    </row>
    <row r="24797">
      <c r="C24797" s="18"/>
      <c r="D24797" s="19"/>
      <c r="E24797" s="57"/>
      <c r="H24797" s="18"/>
    </row>
    <row r="24798">
      <c r="C24798" s="18"/>
      <c r="D24798" s="19"/>
      <c r="E24798" s="57"/>
      <c r="H24798" s="18"/>
    </row>
    <row r="24799">
      <c r="C24799" s="18"/>
      <c r="D24799" s="19"/>
      <c r="E24799" s="57"/>
      <c r="H24799" s="18"/>
    </row>
    <row r="24800">
      <c r="C24800" s="18"/>
      <c r="D24800" s="19"/>
      <c r="E24800" s="57"/>
      <c r="H24800" s="18"/>
    </row>
    <row r="24801">
      <c r="C24801" s="18"/>
      <c r="D24801" s="19"/>
      <c r="E24801" s="57"/>
      <c r="H24801" s="18"/>
    </row>
    <row r="24802">
      <c r="C24802" s="18"/>
      <c r="D24802" s="19"/>
      <c r="E24802" s="57"/>
      <c r="H24802" s="18"/>
    </row>
    <row r="24803">
      <c r="C24803" s="18"/>
      <c r="D24803" s="19"/>
      <c r="E24803" s="57"/>
      <c r="H24803" s="18"/>
    </row>
    <row r="24804">
      <c r="C24804" s="18"/>
      <c r="D24804" s="19"/>
      <c r="E24804" s="57"/>
      <c r="H24804" s="18"/>
    </row>
    <row r="24805">
      <c r="C24805" s="18"/>
      <c r="D24805" s="19"/>
      <c r="E24805" s="57"/>
      <c r="H24805" s="18"/>
    </row>
    <row r="24806">
      <c r="C24806" s="18"/>
      <c r="D24806" s="19"/>
      <c r="E24806" s="57"/>
      <c r="H24806" s="18"/>
    </row>
    <row r="24807">
      <c r="C24807" s="18"/>
      <c r="D24807" s="19"/>
      <c r="E24807" s="57"/>
      <c r="H24807" s="18"/>
    </row>
    <row r="24808">
      <c r="C24808" s="18"/>
      <c r="D24808" s="19"/>
      <c r="E24808" s="57"/>
      <c r="H24808" s="18"/>
    </row>
    <row r="24809">
      <c r="C24809" s="18"/>
      <c r="D24809" s="19"/>
      <c r="E24809" s="57"/>
      <c r="H24809" s="18"/>
    </row>
    <row r="24810">
      <c r="C24810" s="18"/>
      <c r="D24810" s="19"/>
      <c r="E24810" s="57"/>
      <c r="H24810" s="18"/>
    </row>
    <row r="24811">
      <c r="C24811" s="18"/>
      <c r="D24811" s="19"/>
      <c r="E24811" s="57"/>
      <c r="H24811" s="18"/>
    </row>
    <row r="24812">
      <c r="C24812" s="18"/>
      <c r="D24812" s="19"/>
      <c r="E24812" s="57"/>
      <c r="H24812" s="18"/>
    </row>
    <row r="24813">
      <c r="C24813" s="18"/>
      <c r="D24813" s="19"/>
      <c r="E24813" s="57"/>
      <c r="H24813" s="18"/>
    </row>
    <row r="24814">
      <c r="C24814" s="18"/>
      <c r="D24814" s="19"/>
      <c r="E24814" s="57"/>
      <c r="H24814" s="18"/>
    </row>
    <row r="24815">
      <c r="C24815" s="18"/>
      <c r="D24815" s="19"/>
      <c r="E24815" s="57"/>
      <c r="H24815" s="18"/>
    </row>
    <row r="24816">
      <c r="C24816" s="18"/>
      <c r="D24816" s="19"/>
      <c r="E24816" s="57"/>
      <c r="H24816" s="18"/>
    </row>
    <row r="24817">
      <c r="C24817" s="18"/>
      <c r="D24817" s="19"/>
      <c r="E24817" s="57"/>
      <c r="H24817" s="18"/>
    </row>
    <row r="24818">
      <c r="C24818" s="18"/>
      <c r="D24818" s="19"/>
      <c r="E24818" s="57"/>
      <c r="H24818" s="18"/>
    </row>
    <row r="24819">
      <c r="C24819" s="18"/>
      <c r="D24819" s="19"/>
      <c r="E24819" s="57"/>
      <c r="H24819" s="18"/>
    </row>
    <row r="24820">
      <c r="C24820" s="18"/>
      <c r="D24820" s="19"/>
      <c r="E24820" s="57"/>
      <c r="H24820" s="18"/>
    </row>
    <row r="24821">
      <c r="C24821" s="18"/>
      <c r="D24821" s="19"/>
      <c r="E24821" s="57"/>
      <c r="H24821" s="18"/>
    </row>
    <row r="24822">
      <c r="C24822" s="18"/>
      <c r="D24822" s="19"/>
      <c r="E24822" s="57"/>
      <c r="H24822" s="18"/>
    </row>
    <row r="24823">
      <c r="C24823" s="18"/>
      <c r="D24823" s="19"/>
      <c r="E24823" s="57"/>
      <c r="H24823" s="18"/>
    </row>
    <row r="24824">
      <c r="C24824" s="18"/>
      <c r="D24824" s="19"/>
      <c r="E24824" s="57"/>
      <c r="H24824" s="18"/>
    </row>
    <row r="24825">
      <c r="C24825" s="18"/>
      <c r="D24825" s="19"/>
      <c r="E24825" s="57"/>
      <c r="H24825" s="18"/>
    </row>
    <row r="24826">
      <c r="C24826" s="18"/>
      <c r="D24826" s="19"/>
      <c r="E24826" s="57"/>
      <c r="H24826" s="18"/>
    </row>
    <row r="24827">
      <c r="C24827" s="18"/>
      <c r="D24827" s="19"/>
      <c r="E24827" s="57"/>
      <c r="H24827" s="18"/>
    </row>
    <row r="24828">
      <c r="C24828" s="18"/>
      <c r="D24828" s="19"/>
      <c r="E24828" s="57"/>
      <c r="H24828" s="18"/>
    </row>
    <row r="24829">
      <c r="C24829" s="18"/>
      <c r="D24829" s="19"/>
      <c r="E24829" s="57"/>
      <c r="H24829" s="18"/>
    </row>
    <row r="24830">
      <c r="C24830" s="18"/>
      <c r="D24830" s="19"/>
      <c r="E24830" s="57"/>
      <c r="H24830" s="18"/>
    </row>
    <row r="24831">
      <c r="C24831" s="18"/>
      <c r="D24831" s="19"/>
      <c r="E24831" s="57"/>
      <c r="H24831" s="18"/>
    </row>
    <row r="24832">
      <c r="C24832" s="18"/>
      <c r="D24832" s="19"/>
      <c r="E24832" s="57"/>
      <c r="H24832" s="18"/>
    </row>
    <row r="24833">
      <c r="C24833" s="18"/>
      <c r="D24833" s="19"/>
      <c r="E24833" s="57"/>
      <c r="H24833" s="18"/>
    </row>
    <row r="24834">
      <c r="C24834" s="18"/>
      <c r="D24834" s="19"/>
      <c r="E24834" s="57"/>
      <c r="H24834" s="18"/>
    </row>
    <row r="24835">
      <c r="C24835" s="18"/>
      <c r="D24835" s="19"/>
      <c r="E24835" s="57"/>
      <c r="H24835" s="18"/>
    </row>
    <row r="24836">
      <c r="C24836" s="18"/>
      <c r="D24836" s="19"/>
      <c r="E24836" s="57"/>
      <c r="H24836" s="18"/>
    </row>
    <row r="24837">
      <c r="C24837" s="18"/>
      <c r="D24837" s="19"/>
      <c r="E24837" s="57"/>
      <c r="H24837" s="18"/>
    </row>
    <row r="24838">
      <c r="C24838" s="18"/>
      <c r="D24838" s="19"/>
      <c r="E24838" s="57"/>
      <c r="H24838" s="18"/>
    </row>
    <row r="24839">
      <c r="C24839" s="18"/>
      <c r="D24839" s="19"/>
      <c r="E24839" s="57"/>
      <c r="H24839" s="18"/>
    </row>
    <row r="24840">
      <c r="C24840" s="18"/>
      <c r="D24840" s="19"/>
      <c r="E24840" s="57"/>
      <c r="H24840" s="18"/>
    </row>
    <row r="24841">
      <c r="C24841" s="18"/>
      <c r="D24841" s="19"/>
      <c r="E24841" s="57"/>
      <c r="H24841" s="18"/>
    </row>
    <row r="24842">
      <c r="C24842" s="18"/>
      <c r="D24842" s="19"/>
      <c r="E24842" s="57"/>
      <c r="H24842" s="18"/>
    </row>
    <row r="24843">
      <c r="C24843" s="18"/>
      <c r="D24843" s="19"/>
      <c r="E24843" s="57"/>
      <c r="H24843" s="18"/>
    </row>
    <row r="24844">
      <c r="C24844" s="18"/>
      <c r="D24844" s="19"/>
      <c r="E24844" s="57"/>
      <c r="H24844" s="18"/>
    </row>
    <row r="24845">
      <c r="C24845" s="18"/>
      <c r="D24845" s="19"/>
      <c r="E24845" s="57"/>
      <c r="H24845" s="18"/>
    </row>
    <row r="24846">
      <c r="C24846" s="18"/>
      <c r="D24846" s="19"/>
      <c r="E24846" s="57"/>
      <c r="H24846" s="18"/>
    </row>
    <row r="24847">
      <c r="C24847" s="18"/>
      <c r="D24847" s="19"/>
      <c r="E24847" s="57"/>
      <c r="H24847" s="18"/>
    </row>
    <row r="24848">
      <c r="C24848" s="18"/>
      <c r="D24848" s="19"/>
      <c r="E24848" s="57"/>
      <c r="H24848" s="18"/>
    </row>
    <row r="24849">
      <c r="C24849" s="18"/>
      <c r="D24849" s="19"/>
      <c r="E24849" s="57"/>
      <c r="H24849" s="18"/>
    </row>
    <row r="24850">
      <c r="C24850" s="18"/>
      <c r="D24850" s="19"/>
      <c r="E24850" s="57"/>
      <c r="H24850" s="18"/>
    </row>
    <row r="24851">
      <c r="C24851" s="18"/>
      <c r="D24851" s="19"/>
      <c r="E24851" s="57"/>
      <c r="H24851" s="18"/>
    </row>
    <row r="24852">
      <c r="C24852" s="18"/>
      <c r="D24852" s="19"/>
      <c r="E24852" s="57"/>
      <c r="H24852" s="18"/>
    </row>
    <row r="24853">
      <c r="C24853" s="18"/>
      <c r="D24853" s="19"/>
      <c r="E24853" s="57"/>
      <c r="H24853" s="18"/>
    </row>
    <row r="24854">
      <c r="C24854" s="18"/>
      <c r="D24854" s="19"/>
      <c r="E24854" s="57"/>
      <c r="H24854" s="18"/>
    </row>
    <row r="24855">
      <c r="C24855" s="18"/>
      <c r="D24855" s="19"/>
      <c r="E24855" s="57"/>
      <c r="H24855" s="18"/>
    </row>
    <row r="24856">
      <c r="C24856" s="18"/>
      <c r="D24856" s="19"/>
      <c r="E24856" s="57"/>
      <c r="H24856" s="18"/>
    </row>
    <row r="24857">
      <c r="C24857" s="18"/>
      <c r="D24857" s="19"/>
      <c r="E24857" s="57"/>
      <c r="H24857" s="18"/>
    </row>
    <row r="24858">
      <c r="C24858" s="18"/>
      <c r="D24858" s="19"/>
      <c r="E24858" s="57"/>
      <c r="H24858" s="18"/>
    </row>
    <row r="24859">
      <c r="C24859" s="18"/>
      <c r="D24859" s="19"/>
      <c r="E24859" s="57"/>
      <c r="H24859" s="18"/>
    </row>
    <row r="24860">
      <c r="C24860" s="18"/>
      <c r="D24860" s="19"/>
      <c r="E24860" s="57"/>
      <c r="H24860" s="18"/>
    </row>
    <row r="24861">
      <c r="C24861" s="18"/>
      <c r="D24861" s="19"/>
      <c r="E24861" s="57"/>
      <c r="H24861" s="18"/>
    </row>
    <row r="24862">
      <c r="C24862" s="18"/>
      <c r="D24862" s="19"/>
      <c r="E24862" s="57"/>
      <c r="H24862" s="18"/>
    </row>
    <row r="24863">
      <c r="C24863" s="18"/>
      <c r="D24863" s="19"/>
      <c r="E24863" s="57"/>
      <c r="H24863" s="18"/>
    </row>
    <row r="24864">
      <c r="C24864" s="18"/>
      <c r="D24864" s="19"/>
      <c r="E24864" s="57"/>
      <c r="H24864" s="18"/>
    </row>
    <row r="24865">
      <c r="C24865" s="18"/>
      <c r="D24865" s="19"/>
      <c r="E24865" s="57"/>
      <c r="H24865" s="18"/>
    </row>
    <row r="24866">
      <c r="C24866" s="18"/>
      <c r="D24866" s="19"/>
      <c r="E24866" s="57"/>
      <c r="H24866" s="18"/>
    </row>
    <row r="24867">
      <c r="C24867" s="18"/>
      <c r="D24867" s="19"/>
      <c r="E24867" s="57"/>
      <c r="H24867" s="18"/>
    </row>
    <row r="24868">
      <c r="C24868" s="18"/>
      <c r="D24868" s="19"/>
      <c r="E24868" s="57"/>
      <c r="H24868" s="18"/>
    </row>
    <row r="24869">
      <c r="C24869" s="18"/>
      <c r="D24869" s="19"/>
      <c r="E24869" s="57"/>
      <c r="H24869" s="18"/>
    </row>
    <row r="24870">
      <c r="C24870" s="18"/>
      <c r="D24870" s="19"/>
      <c r="E24870" s="57"/>
      <c r="H24870" s="18"/>
    </row>
    <row r="24871">
      <c r="C24871" s="18"/>
      <c r="D24871" s="19"/>
      <c r="E24871" s="57"/>
      <c r="H24871" s="18"/>
    </row>
    <row r="24872">
      <c r="C24872" s="18"/>
      <c r="D24872" s="19"/>
      <c r="E24872" s="57"/>
      <c r="H24872" s="18"/>
    </row>
    <row r="24873">
      <c r="C24873" s="18"/>
      <c r="D24873" s="19"/>
      <c r="E24873" s="57"/>
      <c r="H24873" s="18"/>
    </row>
    <row r="24874">
      <c r="C24874" s="18"/>
      <c r="D24874" s="19"/>
      <c r="E24874" s="57"/>
      <c r="H24874" s="18"/>
    </row>
    <row r="24875">
      <c r="C24875" s="18"/>
      <c r="D24875" s="19"/>
      <c r="E24875" s="57"/>
      <c r="H24875" s="18"/>
    </row>
    <row r="24876">
      <c r="C24876" s="18"/>
      <c r="D24876" s="19"/>
      <c r="E24876" s="57"/>
      <c r="H24876" s="18"/>
    </row>
    <row r="24877">
      <c r="C24877" s="18"/>
      <c r="D24877" s="19"/>
      <c r="E24877" s="57"/>
      <c r="H24877" s="18"/>
    </row>
    <row r="24878">
      <c r="C24878" s="18"/>
      <c r="D24878" s="19"/>
      <c r="E24878" s="57"/>
      <c r="H24878" s="18"/>
    </row>
    <row r="24879">
      <c r="C24879" s="18"/>
      <c r="D24879" s="19"/>
      <c r="E24879" s="57"/>
      <c r="H24879" s="18"/>
    </row>
    <row r="24880">
      <c r="C24880" s="18"/>
      <c r="D24880" s="19"/>
      <c r="E24880" s="57"/>
      <c r="H24880" s="18"/>
    </row>
    <row r="24881">
      <c r="C24881" s="18"/>
      <c r="D24881" s="19"/>
      <c r="E24881" s="57"/>
      <c r="H24881" s="18"/>
    </row>
    <row r="24882">
      <c r="C24882" s="18"/>
      <c r="D24882" s="19"/>
      <c r="E24882" s="57"/>
      <c r="H24882" s="18"/>
    </row>
    <row r="24883">
      <c r="C24883" s="18"/>
      <c r="D24883" s="19"/>
      <c r="E24883" s="57"/>
      <c r="H24883" s="18"/>
    </row>
    <row r="24884">
      <c r="C24884" s="18"/>
      <c r="D24884" s="19"/>
      <c r="E24884" s="57"/>
      <c r="H24884" s="18"/>
    </row>
    <row r="24885">
      <c r="C24885" s="18"/>
      <c r="D24885" s="19"/>
      <c r="E24885" s="57"/>
      <c r="H24885" s="18"/>
    </row>
    <row r="24886">
      <c r="C24886" s="18"/>
      <c r="D24886" s="19"/>
      <c r="E24886" s="57"/>
      <c r="H24886" s="18"/>
    </row>
    <row r="24887">
      <c r="C24887" s="18"/>
      <c r="D24887" s="19"/>
      <c r="E24887" s="57"/>
      <c r="H24887" s="18"/>
    </row>
    <row r="24888">
      <c r="C24888" s="18"/>
      <c r="D24888" s="19"/>
      <c r="E24888" s="57"/>
      <c r="H24888" s="18"/>
    </row>
    <row r="24889">
      <c r="C24889" s="18"/>
      <c r="D24889" s="19"/>
      <c r="E24889" s="57"/>
      <c r="H24889" s="18"/>
    </row>
    <row r="24890">
      <c r="C24890" s="18"/>
      <c r="D24890" s="19"/>
      <c r="E24890" s="57"/>
      <c r="H24890" s="18"/>
    </row>
    <row r="24891">
      <c r="C24891" s="18"/>
      <c r="D24891" s="19"/>
      <c r="E24891" s="57"/>
      <c r="H24891" s="18"/>
    </row>
    <row r="24892">
      <c r="C24892" s="18"/>
      <c r="D24892" s="19"/>
      <c r="E24892" s="57"/>
      <c r="H24892" s="18"/>
    </row>
    <row r="24893">
      <c r="C24893" s="18"/>
      <c r="D24893" s="19"/>
      <c r="E24893" s="57"/>
      <c r="H24893" s="18"/>
    </row>
    <row r="24894">
      <c r="C24894" s="18"/>
      <c r="D24894" s="19"/>
      <c r="E24894" s="57"/>
      <c r="H24894" s="18"/>
    </row>
    <row r="24895">
      <c r="C24895" s="18"/>
      <c r="D24895" s="19"/>
      <c r="E24895" s="57"/>
      <c r="H24895" s="18"/>
    </row>
    <row r="24896">
      <c r="C24896" s="18"/>
      <c r="D24896" s="19"/>
      <c r="E24896" s="57"/>
      <c r="H24896" s="18"/>
    </row>
    <row r="24897">
      <c r="C24897" s="18"/>
      <c r="D24897" s="19"/>
      <c r="E24897" s="57"/>
      <c r="H24897" s="18"/>
    </row>
    <row r="24898">
      <c r="C24898" s="18"/>
      <c r="D24898" s="19"/>
      <c r="E24898" s="57"/>
      <c r="H24898" s="18"/>
    </row>
    <row r="24899">
      <c r="C24899" s="18"/>
      <c r="D24899" s="19"/>
      <c r="E24899" s="57"/>
      <c r="H24899" s="18"/>
    </row>
    <row r="24900">
      <c r="C24900" s="18"/>
      <c r="D24900" s="19"/>
      <c r="E24900" s="57"/>
      <c r="H24900" s="18"/>
    </row>
    <row r="24901">
      <c r="C24901" s="18"/>
      <c r="D24901" s="19"/>
      <c r="E24901" s="57"/>
      <c r="H24901" s="18"/>
    </row>
    <row r="24902">
      <c r="C24902" s="18"/>
      <c r="D24902" s="19"/>
      <c r="E24902" s="57"/>
      <c r="H24902" s="18"/>
    </row>
    <row r="24903">
      <c r="C24903" s="18"/>
      <c r="D24903" s="19"/>
      <c r="E24903" s="57"/>
      <c r="H24903" s="18"/>
    </row>
    <row r="24904">
      <c r="C24904" s="18"/>
      <c r="D24904" s="19"/>
      <c r="E24904" s="57"/>
      <c r="H24904" s="18"/>
    </row>
    <row r="24905">
      <c r="C24905" s="18"/>
      <c r="D24905" s="19"/>
      <c r="E24905" s="57"/>
      <c r="H24905" s="18"/>
    </row>
    <row r="24906">
      <c r="C24906" s="18"/>
      <c r="D24906" s="19"/>
      <c r="E24906" s="57"/>
      <c r="H24906" s="18"/>
    </row>
    <row r="24907">
      <c r="C24907" s="18"/>
      <c r="D24907" s="19"/>
      <c r="E24907" s="57"/>
      <c r="H24907" s="18"/>
    </row>
    <row r="24908">
      <c r="C24908" s="18"/>
      <c r="D24908" s="19"/>
      <c r="E24908" s="57"/>
      <c r="H24908" s="18"/>
    </row>
    <row r="24909">
      <c r="C24909" s="18"/>
      <c r="D24909" s="19"/>
      <c r="E24909" s="57"/>
      <c r="H24909" s="18"/>
    </row>
    <row r="24910">
      <c r="C24910" s="18"/>
      <c r="D24910" s="19"/>
      <c r="E24910" s="57"/>
      <c r="H24910" s="18"/>
    </row>
    <row r="24911">
      <c r="C24911" s="18"/>
      <c r="D24911" s="19"/>
      <c r="E24911" s="57"/>
      <c r="H24911" s="18"/>
    </row>
    <row r="24912">
      <c r="C24912" s="18"/>
      <c r="D24912" s="19"/>
      <c r="E24912" s="57"/>
      <c r="H24912" s="18"/>
    </row>
    <row r="24913">
      <c r="C24913" s="18"/>
      <c r="D24913" s="19"/>
      <c r="E24913" s="57"/>
      <c r="H24913" s="18"/>
    </row>
    <row r="24914">
      <c r="C24914" s="18"/>
      <c r="D24914" s="19"/>
      <c r="E24914" s="57"/>
      <c r="H24914" s="18"/>
    </row>
    <row r="24915">
      <c r="C24915" s="18"/>
      <c r="D24915" s="19"/>
      <c r="E24915" s="57"/>
      <c r="H24915" s="18"/>
    </row>
    <row r="24916">
      <c r="C24916" s="18"/>
      <c r="D24916" s="19"/>
      <c r="E24916" s="57"/>
      <c r="H24916" s="18"/>
    </row>
    <row r="24917">
      <c r="C24917" s="18"/>
      <c r="D24917" s="19"/>
      <c r="E24917" s="57"/>
      <c r="H24917" s="18"/>
    </row>
    <row r="24918">
      <c r="C24918" s="18"/>
      <c r="D24918" s="19"/>
      <c r="E24918" s="57"/>
      <c r="H24918" s="18"/>
    </row>
    <row r="24919">
      <c r="C24919" s="18"/>
      <c r="D24919" s="19"/>
      <c r="E24919" s="57"/>
      <c r="H24919" s="18"/>
    </row>
    <row r="24920">
      <c r="C24920" s="18"/>
      <c r="D24920" s="19"/>
      <c r="E24920" s="57"/>
      <c r="H24920" s="18"/>
    </row>
    <row r="24921">
      <c r="C24921" s="18"/>
      <c r="D24921" s="19"/>
      <c r="E24921" s="57"/>
      <c r="H24921" s="18"/>
    </row>
    <row r="24922">
      <c r="C24922" s="18"/>
      <c r="D24922" s="19"/>
      <c r="E24922" s="57"/>
      <c r="H24922" s="18"/>
    </row>
    <row r="24923">
      <c r="C24923" s="18"/>
      <c r="D24923" s="19"/>
      <c r="E24923" s="57"/>
      <c r="H24923" s="18"/>
    </row>
    <row r="24924">
      <c r="C24924" s="18"/>
      <c r="D24924" s="19"/>
      <c r="E24924" s="57"/>
      <c r="H24924" s="18"/>
    </row>
    <row r="24925">
      <c r="C24925" s="18"/>
      <c r="D24925" s="19"/>
      <c r="E24925" s="57"/>
      <c r="H24925" s="18"/>
    </row>
    <row r="24926">
      <c r="C24926" s="18"/>
      <c r="D24926" s="19"/>
      <c r="E24926" s="57"/>
      <c r="H24926" s="18"/>
    </row>
    <row r="24927">
      <c r="C24927" s="18"/>
      <c r="D24927" s="19"/>
      <c r="E24927" s="57"/>
      <c r="H24927" s="18"/>
    </row>
    <row r="24928">
      <c r="C24928" s="18"/>
      <c r="D24928" s="19"/>
      <c r="E24928" s="57"/>
      <c r="H24928" s="18"/>
    </row>
    <row r="24929">
      <c r="C24929" s="18"/>
      <c r="D24929" s="19"/>
      <c r="E24929" s="57"/>
      <c r="H24929" s="18"/>
    </row>
    <row r="24930">
      <c r="C24930" s="18"/>
      <c r="D24930" s="19"/>
      <c r="E24930" s="57"/>
      <c r="H24930" s="18"/>
    </row>
    <row r="24931">
      <c r="C24931" s="18"/>
      <c r="D24931" s="19"/>
      <c r="E24931" s="57"/>
      <c r="H24931" s="18"/>
    </row>
    <row r="24932">
      <c r="C24932" s="18"/>
      <c r="D24932" s="19"/>
      <c r="E24932" s="57"/>
      <c r="H24932" s="18"/>
    </row>
    <row r="24933">
      <c r="C24933" s="18"/>
      <c r="D24933" s="19"/>
      <c r="E24933" s="57"/>
      <c r="H24933" s="18"/>
    </row>
    <row r="24934">
      <c r="C24934" s="18"/>
      <c r="D24934" s="19"/>
      <c r="E24934" s="57"/>
      <c r="H24934" s="18"/>
    </row>
    <row r="24935">
      <c r="C24935" s="18"/>
      <c r="D24935" s="19"/>
      <c r="E24935" s="57"/>
      <c r="H24935" s="18"/>
    </row>
    <row r="24936">
      <c r="C24936" s="18"/>
      <c r="D24936" s="19"/>
      <c r="E24936" s="57"/>
      <c r="H24936" s="18"/>
    </row>
    <row r="24937">
      <c r="C24937" s="18"/>
      <c r="D24937" s="19"/>
      <c r="E24937" s="57"/>
      <c r="H24937" s="18"/>
    </row>
    <row r="24938">
      <c r="C24938" s="18"/>
      <c r="D24938" s="19"/>
      <c r="E24938" s="57"/>
      <c r="H24938" s="18"/>
    </row>
    <row r="24939">
      <c r="C24939" s="18"/>
      <c r="D24939" s="19"/>
      <c r="E24939" s="57"/>
      <c r="H24939" s="18"/>
    </row>
    <row r="24940">
      <c r="C24940" s="18"/>
      <c r="D24940" s="19"/>
      <c r="E24940" s="57"/>
      <c r="H24940" s="18"/>
    </row>
    <row r="24941">
      <c r="C24941" s="18"/>
      <c r="D24941" s="19"/>
      <c r="E24941" s="57"/>
      <c r="H24941" s="18"/>
    </row>
    <row r="24942">
      <c r="C24942" s="18"/>
      <c r="D24942" s="19"/>
      <c r="E24942" s="57"/>
      <c r="H24942" s="18"/>
    </row>
    <row r="24943">
      <c r="C24943" s="18"/>
      <c r="D24943" s="19"/>
      <c r="E24943" s="57"/>
      <c r="H24943" s="18"/>
    </row>
    <row r="24944">
      <c r="C24944" s="18"/>
      <c r="D24944" s="19"/>
      <c r="E24944" s="57"/>
      <c r="H24944" s="18"/>
    </row>
    <row r="24945">
      <c r="C24945" s="18"/>
      <c r="D24945" s="19"/>
      <c r="E24945" s="57"/>
      <c r="H24945" s="18"/>
    </row>
    <row r="24946">
      <c r="C24946" s="18"/>
      <c r="D24946" s="19"/>
      <c r="E24946" s="57"/>
      <c r="H24946" s="18"/>
    </row>
    <row r="24947">
      <c r="C24947" s="18"/>
      <c r="D24947" s="19"/>
      <c r="E24947" s="57"/>
      <c r="H24947" s="18"/>
    </row>
    <row r="24948">
      <c r="C24948" s="18"/>
      <c r="D24948" s="19"/>
      <c r="E24948" s="57"/>
      <c r="H24948" s="18"/>
    </row>
    <row r="24949">
      <c r="C24949" s="18"/>
      <c r="D24949" s="19"/>
      <c r="E24949" s="57"/>
      <c r="H24949" s="18"/>
    </row>
    <row r="24950">
      <c r="C24950" s="18"/>
      <c r="D24950" s="19"/>
      <c r="E24950" s="57"/>
      <c r="H24950" s="18"/>
    </row>
    <row r="24951">
      <c r="C24951" s="18"/>
      <c r="D24951" s="19"/>
      <c r="E24951" s="57"/>
      <c r="H24951" s="18"/>
    </row>
    <row r="24952">
      <c r="C24952" s="18"/>
      <c r="D24952" s="19"/>
      <c r="E24952" s="57"/>
      <c r="H24952" s="18"/>
    </row>
    <row r="24953">
      <c r="C24953" s="18"/>
      <c r="D24953" s="19"/>
      <c r="E24953" s="57"/>
      <c r="H24953" s="18"/>
    </row>
    <row r="24954">
      <c r="C24954" s="18"/>
      <c r="D24954" s="19"/>
      <c r="E24954" s="57"/>
      <c r="H24954" s="18"/>
    </row>
    <row r="24955">
      <c r="C24955" s="18"/>
      <c r="D24955" s="19"/>
      <c r="E24955" s="57"/>
      <c r="H24955" s="18"/>
    </row>
    <row r="24956">
      <c r="C24956" s="18"/>
      <c r="D24956" s="19"/>
      <c r="E24956" s="57"/>
      <c r="H24956" s="18"/>
    </row>
    <row r="24957">
      <c r="C24957" s="18"/>
      <c r="D24957" s="19"/>
      <c r="E24957" s="57"/>
      <c r="H24957" s="18"/>
    </row>
    <row r="24958">
      <c r="C24958" s="18"/>
      <c r="D24958" s="19"/>
      <c r="E24958" s="57"/>
      <c r="H24958" s="18"/>
    </row>
    <row r="24959">
      <c r="C24959" s="18"/>
      <c r="D24959" s="19"/>
      <c r="E24959" s="57"/>
      <c r="H24959" s="18"/>
    </row>
    <row r="24960">
      <c r="C24960" s="18"/>
      <c r="D24960" s="19"/>
      <c r="E24960" s="57"/>
      <c r="H24960" s="18"/>
    </row>
    <row r="24961">
      <c r="C24961" s="18"/>
      <c r="D24961" s="19"/>
      <c r="E24961" s="57"/>
      <c r="H24961" s="18"/>
    </row>
    <row r="24962">
      <c r="C24962" s="18"/>
      <c r="D24962" s="19"/>
      <c r="E24962" s="57"/>
      <c r="H24962" s="18"/>
    </row>
    <row r="24963">
      <c r="C24963" s="18"/>
      <c r="D24963" s="19"/>
      <c r="E24963" s="57"/>
      <c r="H24963" s="18"/>
    </row>
    <row r="24964">
      <c r="C24964" s="18"/>
      <c r="D24964" s="19"/>
      <c r="E24964" s="57"/>
      <c r="H24964" s="18"/>
    </row>
    <row r="24965">
      <c r="C24965" s="18"/>
      <c r="D24965" s="19"/>
      <c r="E24965" s="57"/>
      <c r="H24965" s="18"/>
    </row>
    <row r="24966">
      <c r="C24966" s="18"/>
      <c r="D24966" s="19"/>
      <c r="E24966" s="57"/>
      <c r="H24966" s="18"/>
    </row>
    <row r="24967">
      <c r="C24967" s="18"/>
      <c r="D24967" s="19"/>
      <c r="E24967" s="57"/>
      <c r="H24967" s="18"/>
    </row>
    <row r="24968">
      <c r="C24968" s="18"/>
      <c r="D24968" s="19"/>
      <c r="E24968" s="57"/>
      <c r="H24968" s="18"/>
    </row>
    <row r="24969">
      <c r="C24969" s="18"/>
      <c r="D24969" s="19"/>
      <c r="E24969" s="57"/>
      <c r="H24969" s="18"/>
    </row>
    <row r="24970">
      <c r="C24970" s="18"/>
      <c r="D24970" s="19"/>
      <c r="E24970" s="57"/>
      <c r="H24970" s="18"/>
    </row>
    <row r="24971">
      <c r="C24971" s="18"/>
      <c r="D24971" s="19"/>
      <c r="E24971" s="57"/>
      <c r="H24971" s="18"/>
    </row>
    <row r="24972">
      <c r="C24972" s="18"/>
      <c r="D24972" s="19"/>
      <c r="E24972" s="57"/>
      <c r="H24972" s="18"/>
    </row>
    <row r="24973">
      <c r="C24973" s="18"/>
      <c r="D24973" s="19"/>
      <c r="E24973" s="57"/>
      <c r="H24973" s="18"/>
    </row>
    <row r="24974">
      <c r="C24974" s="18"/>
      <c r="D24974" s="19"/>
      <c r="E24974" s="57"/>
      <c r="H24974" s="18"/>
    </row>
    <row r="24975">
      <c r="C24975" s="18"/>
      <c r="D24975" s="19"/>
      <c r="E24975" s="57"/>
      <c r="H24975" s="18"/>
    </row>
    <row r="24976">
      <c r="C24976" s="18"/>
      <c r="D24976" s="19"/>
      <c r="E24976" s="57"/>
      <c r="H24976" s="18"/>
    </row>
    <row r="24977">
      <c r="C24977" s="18"/>
      <c r="D24977" s="19"/>
      <c r="E24977" s="57"/>
      <c r="H24977" s="18"/>
    </row>
    <row r="24978">
      <c r="C24978" s="18"/>
      <c r="D24978" s="19"/>
      <c r="E24978" s="57"/>
      <c r="H24978" s="18"/>
    </row>
    <row r="24979">
      <c r="C24979" s="18"/>
      <c r="D24979" s="19"/>
      <c r="E24979" s="57"/>
      <c r="H24979" s="18"/>
    </row>
    <row r="24980">
      <c r="C24980" s="18"/>
      <c r="D24980" s="19"/>
      <c r="E24980" s="57"/>
      <c r="H24980" s="18"/>
    </row>
    <row r="24981">
      <c r="C24981" s="18"/>
      <c r="D24981" s="19"/>
      <c r="E24981" s="57"/>
      <c r="H24981" s="18"/>
    </row>
    <row r="24982">
      <c r="C24982" s="18"/>
      <c r="D24982" s="19"/>
      <c r="E24982" s="57"/>
      <c r="H24982" s="18"/>
    </row>
    <row r="24983">
      <c r="C24983" s="18"/>
      <c r="D24983" s="19"/>
      <c r="E24983" s="57"/>
      <c r="H24983" s="18"/>
    </row>
    <row r="24984">
      <c r="C24984" s="18"/>
      <c r="D24984" s="19"/>
      <c r="E24984" s="57"/>
      <c r="H24984" s="18"/>
    </row>
    <row r="24985">
      <c r="C24985" s="18"/>
      <c r="D24985" s="19"/>
      <c r="E24985" s="57"/>
      <c r="H24985" s="18"/>
    </row>
    <row r="24986">
      <c r="C24986" s="18"/>
      <c r="D24986" s="19"/>
      <c r="E24986" s="57"/>
      <c r="H24986" s="18"/>
    </row>
    <row r="24987">
      <c r="C24987" s="18"/>
      <c r="D24987" s="19"/>
      <c r="E24987" s="57"/>
      <c r="H24987" s="18"/>
    </row>
    <row r="24988">
      <c r="C24988" s="18"/>
      <c r="D24988" s="19"/>
      <c r="E24988" s="57"/>
      <c r="H24988" s="18"/>
    </row>
    <row r="24989">
      <c r="C24989" s="18"/>
      <c r="D24989" s="19"/>
      <c r="E24989" s="57"/>
      <c r="H24989" s="18"/>
    </row>
    <row r="24990">
      <c r="C24990" s="18"/>
      <c r="D24990" s="19"/>
      <c r="E24990" s="57"/>
      <c r="H24990" s="18"/>
    </row>
    <row r="24991">
      <c r="C24991" s="18"/>
      <c r="D24991" s="19"/>
      <c r="E24991" s="57"/>
      <c r="H24991" s="18"/>
    </row>
    <row r="24992">
      <c r="C24992" s="18"/>
      <c r="D24992" s="19"/>
      <c r="E24992" s="57"/>
      <c r="H24992" s="18"/>
    </row>
    <row r="24993">
      <c r="C24993" s="18"/>
      <c r="D24993" s="19"/>
      <c r="E24993" s="57"/>
      <c r="H24993" s="18"/>
    </row>
    <row r="24994">
      <c r="C24994" s="18"/>
      <c r="D24994" s="19"/>
      <c r="E24994" s="57"/>
      <c r="H24994" s="18"/>
    </row>
    <row r="24995">
      <c r="C24995" s="18"/>
      <c r="D24995" s="19"/>
      <c r="E24995" s="57"/>
      <c r="H24995" s="18"/>
    </row>
    <row r="24996">
      <c r="C24996" s="18"/>
      <c r="D24996" s="19"/>
      <c r="E24996" s="57"/>
      <c r="H24996" s="18"/>
    </row>
    <row r="24997">
      <c r="C24997" s="18"/>
      <c r="D24997" s="19"/>
      <c r="E24997" s="57"/>
      <c r="H24997" s="18"/>
    </row>
    <row r="24998">
      <c r="C24998" s="18"/>
      <c r="D24998" s="19"/>
      <c r="E24998" s="57"/>
      <c r="H24998" s="18"/>
    </row>
    <row r="24999">
      <c r="C24999" s="18"/>
      <c r="D24999" s="19"/>
      <c r="E24999" s="57"/>
      <c r="H24999" s="18"/>
    </row>
    <row r="25000">
      <c r="C25000" s="18"/>
      <c r="D25000" s="19"/>
      <c r="E25000" s="57"/>
      <c r="H25000" s="18"/>
    </row>
    <row r="25001">
      <c r="C25001" s="18"/>
      <c r="D25001" s="19"/>
      <c r="E25001" s="57"/>
      <c r="H25001" s="18"/>
    </row>
    <row r="25002">
      <c r="C25002" s="18"/>
      <c r="D25002" s="19"/>
      <c r="E25002" s="57"/>
      <c r="H25002" s="18"/>
    </row>
    <row r="25003">
      <c r="C25003" s="18"/>
      <c r="D25003" s="19"/>
      <c r="E25003" s="57"/>
      <c r="H25003" s="18"/>
    </row>
    <row r="25004">
      <c r="C25004" s="18"/>
      <c r="D25004" s="19"/>
      <c r="E25004" s="57"/>
      <c r="H25004" s="18"/>
    </row>
    <row r="25005">
      <c r="C25005" s="18"/>
      <c r="D25005" s="19"/>
      <c r="E25005" s="57"/>
      <c r="H25005" s="18"/>
    </row>
    <row r="25006">
      <c r="C25006" s="18"/>
      <c r="D25006" s="19"/>
      <c r="E25006" s="57"/>
      <c r="H25006" s="18"/>
    </row>
    <row r="25007">
      <c r="C25007" s="18"/>
      <c r="D25007" s="19"/>
      <c r="E25007" s="57"/>
      <c r="H25007" s="18"/>
    </row>
    <row r="25008">
      <c r="C25008" s="18"/>
      <c r="D25008" s="19"/>
      <c r="E25008" s="57"/>
      <c r="H25008" s="18"/>
    </row>
    <row r="25009">
      <c r="C25009" s="18"/>
      <c r="D25009" s="19"/>
      <c r="E25009" s="57"/>
      <c r="H25009" s="18"/>
    </row>
    <row r="25010">
      <c r="C25010" s="18"/>
      <c r="D25010" s="19"/>
      <c r="E25010" s="57"/>
      <c r="H25010" s="18"/>
    </row>
    <row r="25011">
      <c r="C25011" s="18"/>
      <c r="D25011" s="19"/>
      <c r="E25011" s="57"/>
      <c r="H25011" s="18"/>
    </row>
    <row r="25012">
      <c r="C25012" s="18"/>
      <c r="D25012" s="19"/>
      <c r="E25012" s="57"/>
      <c r="H25012" s="18"/>
    </row>
    <row r="25013">
      <c r="C25013" s="18"/>
      <c r="D25013" s="19"/>
      <c r="E25013" s="57"/>
      <c r="H25013" s="18"/>
    </row>
    <row r="25014">
      <c r="C25014" s="18"/>
      <c r="D25014" s="19"/>
      <c r="E25014" s="57"/>
      <c r="H25014" s="18"/>
    </row>
    <row r="25015">
      <c r="C25015" s="18"/>
      <c r="D25015" s="19"/>
      <c r="E25015" s="57"/>
      <c r="H25015" s="18"/>
    </row>
    <row r="25016">
      <c r="C25016" s="18"/>
      <c r="D25016" s="19"/>
      <c r="E25016" s="57"/>
      <c r="H25016" s="18"/>
    </row>
    <row r="25017">
      <c r="C25017" s="18"/>
      <c r="D25017" s="19"/>
      <c r="E25017" s="57"/>
      <c r="H25017" s="18"/>
    </row>
    <row r="25018">
      <c r="C25018" s="18"/>
      <c r="D25018" s="19"/>
      <c r="E25018" s="57"/>
      <c r="H25018" s="18"/>
    </row>
    <row r="25019">
      <c r="C25019" s="18"/>
      <c r="D25019" s="19"/>
      <c r="E25019" s="57"/>
      <c r="H25019" s="18"/>
    </row>
    <row r="25020">
      <c r="C25020" s="18"/>
      <c r="D25020" s="19"/>
      <c r="E25020" s="57"/>
      <c r="H25020" s="18"/>
    </row>
    <row r="25021">
      <c r="C25021" s="18"/>
      <c r="D25021" s="19"/>
      <c r="E25021" s="57"/>
      <c r="H25021" s="18"/>
    </row>
    <row r="25022">
      <c r="C25022" s="18"/>
      <c r="D25022" s="19"/>
      <c r="E25022" s="57"/>
      <c r="H25022" s="18"/>
    </row>
    <row r="25023">
      <c r="C25023" s="18"/>
      <c r="D25023" s="19"/>
      <c r="E25023" s="57"/>
      <c r="H25023" s="18"/>
    </row>
    <row r="25024">
      <c r="C25024" s="18"/>
      <c r="D25024" s="19"/>
      <c r="E25024" s="57"/>
      <c r="H25024" s="18"/>
    </row>
    <row r="25025">
      <c r="C25025" s="18"/>
      <c r="D25025" s="19"/>
      <c r="E25025" s="57"/>
      <c r="H25025" s="18"/>
    </row>
    <row r="25026">
      <c r="C25026" s="18"/>
      <c r="D25026" s="19"/>
      <c r="E25026" s="57"/>
      <c r="H25026" s="18"/>
    </row>
    <row r="25027">
      <c r="C25027" s="18"/>
      <c r="D25027" s="19"/>
      <c r="E25027" s="57"/>
      <c r="H25027" s="18"/>
    </row>
    <row r="25028">
      <c r="C25028" s="18"/>
      <c r="D25028" s="19"/>
      <c r="E25028" s="57"/>
      <c r="H25028" s="18"/>
    </row>
    <row r="25029">
      <c r="C25029" s="18"/>
      <c r="D25029" s="19"/>
      <c r="E25029" s="57"/>
      <c r="H25029" s="18"/>
    </row>
    <row r="25030">
      <c r="C25030" s="18"/>
      <c r="D25030" s="19"/>
      <c r="E25030" s="57"/>
      <c r="H25030" s="18"/>
    </row>
    <row r="25031">
      <c r="C25031" s="18"/>
      <c r="D25031" s="19"/>
      <c r="E25031" s="57"/>
      <c r="H25031" s="18"/>
    </row>
    <row r="25032">
      <c r="C25032" s="18"/>
      <c r="D25032" s="19"/>
      <c r="E25032" s="57"/>
      <c r="H25032" s="18"/>
    </row>
    <row r="25033">
      <c r="C25033" s="18"/>
      <c r="D25033" s="19"/>
      <c r="E25033" s="57"/>
      <c r="H25033" s="18"/>
    </row>
    <row r="25034">
      <c r="C25034" s="18"/>
      <c r="D25034" s="19"/>
      <c r="E25034" s="57"/>
      <c r="H25034" s="18"/>
    </row>
    <row r="25035">
      <c r="C25035" s="18"/>
      <c r="D25035" s="19"/>
      <c r="E25035" s="57"/>
      <c r="H25035" s="18"/>
    </row>
    <row r="25036">
      <c r="C25036" s="18"/>
      <c r="D25036" s="19"/>
      <c r="E25036" s="57"/>
      <c r="H25036" s="18"/>
    </row>
    <row r="25037">
      <c r="C25037" s="18"/>
      <c r="D25037" s="19"/>
      <c r="E25037" s="57"/>
      <c r="H25037" s="18"/>
    </row>
    <row r="25038">
      <c r="C25038" s="18"/>
      <c r="D25038" s="19"/>
      <c r="E25038" s="57"/>
      <c r="H25038" s="18"/>
    </row>
    <row r="25039">
      <c r="C25039" s="18"/>
      <c r="D25039" s="19"/>
      <c r="E25039" s="57"/>
      <c r="H25039" s="18"/>
    </row>
    <row r="25040">
      <c r="C25040" s="18"/>
      <c r="D25040" s="19"/>
      <c r="E25040" s="57"/>
      <c r="H25040" s="18"/>
    </row>
    <row r="25041">
      <c r="C25041" s="18"/>
      <c r="D25041" s="19"/>
      <c r="E25041" s="57"/>
      <c r="H25041" s="18"/>
    </row>
    <row r="25042">
      <c r="C25042" s="18"/>
      <c r="D25042" s="19"/>
      <c r="E25042" s="57"/>
      <c r="H25042" s="18"/>
    </row>
    <row r="25043">
      <c r="C25043" s="18"/>
      <c r="D25043" s="19"/>
      <c r="E25043" s="57"/>
      <c r="H25043" s="18"/>
    </row>
    <row r="25044">
      <c r="C25044" s="18"/>
      <c r="D25044" s="19"/>
      <c r="E25044" s="57"/>
      <c r="H25044" s="18"/>
    </row>
    <row r="25045">
      <c r="C25045" s="18"/>
      <c r="D25045" s="19"/>
      <c r="E25045" s="57"/>
      <c r="H25045" s="18"/>
    </row>
    <row r="25046">
      <c r="C25046" s="18"/>
      <c r="D25046" s="19"/>
      <c r="E25046" s="57"/>
      <c r="H25046" s="18"/>
    </row>
    <row r="25047">
      <c r="C25047" s="18"/>
      <c r="D25047" s="19"/>
      <c r="E25047" s="57"/>
      <c r="H25047" s="18"/>
    </row>
    <row r="25048">
      <c r="C25048" s="18"/>
      <c r="D25048" s="19"/>
      <c r="E25048" s="57"/>
      <c r="H25048" s="18"/>
    </row>
    <row r="25049">
      <c r="C25049" s="18"/>
      <c r="D25049" s="19"/>
      <c r="E25049" s="57"/>
      <c r="H25049" s="18"/>
    </row>
    <row r="25050">
      <c r="C25050" s="18"/>
      <c r="D25050" s="19"/>
      <c r="E25050" s="57"/>
      <c r="H25050" s="18"/>
    </row>
    <row r="25051">
      <c r="C25051" s="18"/>
      <c r="D25051" s="19"/>
      <c r="E25051" s="57"/>
      <c r="H25051" s="18"/>
    </row>
    <row r="25052">
      <c r="C25052" s="18"/>
      <c r="D25052" s="19"/>
      <c r="E25052" s="57"/>
      <c r="H25052" s="18"/>
    </row>
    <row r="25053">
      <c r="C25053" s="18"/>
      <c r="D25053" s="19"/>
      <c r="E25053" s="57"/>
      <c r="H25053" s="18"/>
    </row>
    <row r="25054">
      <c r="C25054" s="18"/>
      <c r="D25054" s="19"/>
      <c r="E25054" s="57"/>
      <c r="H25054" s="18"/>
    </row>
    <row r="25055">
      <c r="C25055" s="18"/>
      <c r="D25055" s="19"/>
      <c r="E25055" s="57"/>
      <c r="H25055" s="18"/>
    </row>
    <row r="25056">
      <c r="C25056" s="18"/>
      <c r="D25056" s="19"/>
      <c r="E25056" s="57"/>
      <c r="H25056" s="18"/>
    </row>
    <row r="25057">
      <c r="C25057" s="18"/>
      <c r="D25057" s="19"/>
      <c r="E25057" s="57"/>
      <c r="H25057" s="18"/>
    </row>
    <row r="25058">
      <c r="C25058" s="18"/>
      <c r="D25058" s="19"/>
      <c r="E25058" s="57"/>
      <c r="H25058" s="18"/>
    </row>
    <row r="25059">
      <c r="C25059" s="18"/>
      <c r="D25059" s="19"/>
      <c r="E25059" s="57"/>
      <c r="H25059" s="18"/>
    </row>
    <row r="25060">
      <c r="C25060" s="18"/>
      <c r="D25060" s="19"/>
      <c r="E25060" s="57"/>
      <c r="H25060" s="18"/>
    </row>
    <row r="25061">
      <c r="C25061" s="18"/>
      <c r="D25061" s="19"/>
      <c r="E25061" s="57"/>
      <c r="H25061" s="18"/>
    </row>
    <row r="25062">
      <c r="C25062" s="18"/>
      <c r="D25062" s="19"/>
      <c r="E25062" s="57"/>
      <c r="H25062" s="18"/>
    </row>
    <row r="25063">
      <c r="C25063" s="18"/>
      <c r="D25063" s="19"/>
      <c r="E25063" s="57"/>
      <c r="H25063" s="18"/>
    </row>
    <row r="25064">
      <c r="C25064" s="18"/>
      <c r="D25064" s="19"/>
      <c r="E25064" s="57"/>
      <c r="H25064" s="18"/>
    </row>
    <row r="25065">
      <c r="C25065" s="18"/>
      <c r="D25065" s="19"/>
      <c r="E25065" s="57"/>
      <c r="H25065" s="18"/>
    </row>
    <row r="25066">
      <c r="C25066" s="18"/>
      <c r="D25066" s="19"/>
      <c r="E25066" s="57"/>
      <c r="H25066" s="18"/>
    </row>
    <row r="25067">
      <c r="C25067" s="18"/>
      <c r="D25067" s="19"/>
      <c r="E25067" s="57"/>
      <c r="H25067" s="18"/>
    </row>
    <row r="25068">
      <c r="C25068" s="18"/>
      <c r="D25068" s="19"/>
      <c r="E25068" s="57"/>
      <c r="H25068" s="18"/>
    </row>
    <row r="25069">
      <c r="C25069" s="18"/>
      <c r="D25069" s="19"/>
      <c r="E25069" s="57"/>
      <c r="H25069" s="18"/>
    </row>
    <row r="25070">
      <c r="C25070" s="18"/>
      <c r="D25070" s="19"/>
      <c r="E25070" s="57"/>
      <c r="H25070" s="18"/>
    </row>
    <row r="25071">
      <c r="C25071" s="18"/>
      <c r="D25071" s="19"/>
      <c r="E25071" s="57"/>
      <c r="H25071" s="18"/>
    </row>
    <row r="25072">
      <c r="C25072" s="18"/>
      <c r="D25072" s="19"/>
      <c r="E25072" s="57"/>
      <c r="H25072" s="18"/>
    </row>
    <row r="25073">
      <c r="C25073" s="18"/>
      <c r="D25073" s="19"/>
      <c r="E25073" s="57"/>
      <c r="H25073" s="18"/>
    </row>
    <row r="25074">
      <c r="C25074" s="18"/>
      <c r="D25074" s="19"/>
      <c r="E25074" s="57"/>
      <c r="H25074" s="18"/>
    </row>
    <row r="25075">
      <c r="C25075" s="18"/>
      <c r="D25075" s="19"/>
      <c r="E25075" s="57"/>
      <c r="H25075" s="18"/>
    </row>
    <row r="25076">
      <c r="C25076" s="18"/>
      <c r="D25076" s="19"/>
      <c r="E25076" s="57"/>
      <c r="H25076" s="18"/>
    </row>
    <row r="25077">
      <c r="C25077" s="18"/>
      <c r="D25077" s="19"/>
      <c r="E25077" s="57"/>
      <c r="H25077" s="18"/>
    </row>
    <row r="25078">
      <c r="C25078" s="18"/>
      <c r="D25078" s="19"/>
      <c r="E25078" s="57"/>
      <c r="H25078" s="18"/>
    </row>
    <row r="25079">
      <c r="C25079" s="18"/>
      <c r="D25079" s="19"/>
      <c r="E25079" s="57"/>
      <c r="H25079" s="18"/>
    </row>
    <row r="25080">
      <c r="C25080" s="18"/>
      <c r="D25080" s="19"/>
      <c r="E25080" s="57"/>
      <c r="H25080" s="18"/>
    </row>
    <row r="25081">
      <c r="C25081" s="18"/>
      <c r="D25081" s="19"/>
      <c r="E25081" s="57"/>
      <c r="H25081" s="18"/>
    </row>
    <row r="25082">
      <c r="C25082" s="18"/>
      <c r="D25082" s="19"/>
      <c r="E25082" s="57"/>
      <c r="H25082" s="18"/>
    </row>
    <row r="25083">
      <c r="C25083" s="18"/>
      <c r="D25083" s="19"/>
      <c r="E25083" s="57"/>
      <c r="H25083" s="18"/>
    </row>
    <row r="25084">
      <c r="C25084" s="18"/>
      <c r="D25084" s="19"/>
      <c r="E25084" s="57"/>
      <c r="H25084" s="18"/>
    </row>
    <row r="25085">
      <c r="C25085" s="18"/>
      <c r="D25085" s="19"/>
      <c r="E25085" s="57"/>
      <c r="H25085" s="18"/>
    </row>
    <row r="25086">
      <c r="C25086" s="18"/>
      <c r="D25086" s="19"/>
      <c r="E25086" s="57"/>
      <c r="H25086" s="18"/>
    </row>
    <row r="25087">
      <c r="C25087" s="18"/>
      <c r="D25087" s="19"/>
      <c r="E25087" s="57"/>
      <c r="H25087" s="18"/>
    </row>
    <row r="25088">
      <c r="C25088" s="18"/>
      <c r="D25088" s="19"/>
      <c r="E25088" s="57"/>
      <c r="H25088" s="18"/>
    </row>
    <row r="25089">
      <c r="C25089" s="18"/>
      <c r="D25089" s="19"/>
      <c r="E25089" s="57"/>
      <c r="H25089" s="18"/>
    </row>
    <row r="25090">
      <c r="C25090" s="18"/>
      <c r="D25090" s="19"/>
      <c r="E25090" s="57"/>
      <c r="H25090" s="18"/>
    </row>
    <row r="25091">
      <c r="C25091" s="18"/>
      <c r="D25091" s="19"/>
      <c r="E25091" s="57"/>
      <c r="H25091" s="18"/>
    </row>
    <row r="25092">
      <c r="C25092" s="18"/>
      <c r="D25092" s="19"/>
      <c r="E25092" s="57"/>
      <c r="H25092" s="18"/>
    </row>
    <row r="25093">
      <c r="C25093" s="18"/>
      <c r="D25093" s="19"/>
      <c r="E25093" s="57"/>
      <c r="H25093" s="18"/>
    </row>
    <row r="25094">
      <c r="C25094" s="18"/>
      <c r="D25094" s="19"/>
      <c r="E25094" s="57"/>
      <c r="H25094" s="18"/>
    </row>
    <row r="25095">
      <c r="C25095" s="18"/>
      <c r="D25095" s="19"/>
      <c r="E25095" s="57"/>
      <c r="H25095" s="18"/>
    </row>
    <row r="25096">
      <c r="C25096" s="18"/>
      <c r="D25096" s="19"/>
      <c r="E25096" s="57"/>
      <c r="H25096" s="18"/>
    </row>
    <row r="25097">
      <c r="C25097" s="18"/>
      <c r="D25097" s="19"/>
      <c r="E25097" s="57"/>
      <c r="H25097" s="18"/>
    </row>
    <row r="25098">
      <c r="C25098" s="18"/>
      <c r="D25098" s="19"/>
      <c r="E25098" s="57"/>
      <c r="H25098" s="18"/>
    </row>
    <row r="25099">
      <c r="C25099" s="18"/>
      <c r="D25099" s="19"/>
      <c r="E25099" s="57"/>
      <c r="H25099" s="18"/>
    </row>
    <row r="25100">
      <c r="C25100" s="18"/>
      <c r="D25100" s="19"/>
      <c r="E25100" s="57"/>
      <c r="H25100" s="18"/>
    </row>
    <row r="25101">
      <c r="C25101" s="18"/>
      <c r="D25101" s="19"/>
      <c r="E25101" s="57"/>
      <c r="H25101" s="18"/>
    </row>
    <row r="25102">
      <c r="C25102" s="18"/>
      <c r="D25102" s="19"/>
      <c r="E25102" s="57"/>
      <c r="H25102" s="18"/>
    </row>
    <row r="25103">
      <c r="C25103" s="18"/>
      <c r="D25103" s="19"/>
      <c r="E25103" s="57"/>
      <c r="H25103" s="18"/>
    </row>
    <row r="25104">
      <c r="C25104" s="18"/>
      <c r="D25104" s="19"/>
      <c r="E25104" s="57"/>
      <c r="H25104" s="18"/>
    </row>
    <row r="25105">
      <c r="C25105" s="18"/>
      <c r="D25105" s="19"/>
      <c r="E25105" s="57"/>
      <c r="H25105" s="18"/>
    </row>
    <row r="25106">
      <c r="C25106" s="18"/>
      <c r="D25106" s="19"/>
      <c r="E25106" s="57"/>
      <c r="H25106" s="18"/>
    </row>
    <row r="25107">
      <c r="C25107" s="18"/>
      <c r="D25107" s="19"/>
      <c r="E25107" s="57"/>
      <c r="H25107" s="18"/>
    </row>
    <row r="25108">
      <c r="C25108" s="18"/>
      <c r="D25108" s="19"/>
      <c r="E25108" s="57"/>
      <c r="H25108" s="18"/>
    </row>
    <row r="25109">
      <c r="C25109" s="18"/>
      <c r="D25109" s="19"/>
      <c r="E25109" s="57"/>
      <c r="H25109" s="18"/>
    </row>
    <row r="25110">
      <c r="C25110" s="18"/>
      <c r="D25110" s="19"/>
      <c r="E25110" s="57"/>
      <c r="H25110" s="18"/>
    </row>
    <row r="25111">
      <c r="C25111" s="18"/>
      <c r="D25111" s="19"/>
      <c r="E25111" s="57"/>
      <c r="H25111" s="18"/>
    </row>
    <row r="25112">
      <c r="C25112" s="18"/>
      <c r="D25112" s="19"/>
      <c r="E25112" s="57"/>
      <c r="H25112" s="18"/>
    </row>
    <row r="25113">
      <c r="C25113" s="18"/>
      <c r="D25113" s="19"/>
      <c r="E25113" s="57"/>
      <c r="H25113" s="18"/>
    </row>
    <row r="25114">
      <c r="C25114" s="18"/>
      <c r="D25114" s="19"/>
      <c r="E25114" s="57"/>
      <c r="H25114" s="18"/>
    </row>
    <row r="25115">
      <c r="C25115" s="18"/>
      <c r="D25115" s="19"/>
      <c r="E25115" s="57"/>
      <c r="H25115" s="18"/>
    </row>
    <row r="25116">
      <c r="C25116" s="18"/>
      <c r="D25116" s="19"/>
      <c r="E25116" s="57"/>
      <c r="H25116" s="18"/>
    </row>
    <row r="25117">
      <c r="C25117" s="18"/>
      <c r="D25117" s="19"/>
      <c r="E25117" s="57"/>
      <c r="H25117" s="18"/>
    </row>
    <row r="25118">
      <c r="C25118" s="18"/>
      <c r="D25118" s="19"/>
      <c r="E25118" s="57"/>
      <c r="H25118" s="18"/>
    </row>
    <row r="25119">
      <c r="C25119" s="18"/>
      <c r="D25119" s="19"/>
      <c r="E25119" s="57"/>
      <c r="H25119" s="18"/>
    </row>
    <row r="25120">
      <c r="C25120" s="18"/>
      <c r="D25120" s="19"/>
      <c r="E25120" s="57"/>
      <c r="H25120" s="18"/>
    </row>
    <row r="25121">
      <c r="C25121" s="18"/>
      <c r="D25121" s="19"/>
      <c r="E25121" s="57"/>
      <c r="H25121" s="18"/>
    </row>
    <row r="25122">
      <c r="C25122" s="18"/>
      <c r="D25122" s="19"/>
      <c r="E25122" s="57"/>
      <c r="H25122" s="18"/>
    </row>
    <row r="25123">
      <c r="C25123" s="18"/>
      <c r="D25123" s="19"/>
      <c r="E25123" s="57"/>
      <c r="H25123" s="18"/>
    </row>
    <row r="25124">
      <c r="C25124" s="18"/>
      <c r="D25124" s="19"/>
      <c r="E25124" s="57"/>
      <c r="H25124" s="18"/>
    </row>
    <row r="25125">
      <c r="C25125" s="18"/>
      <c r="D25125" s="19"/>
      <c r="E25125" s="57"/>
      <c r="H25125" s="18"/>
    </row>
    <row r="25126">
      <c r="C25126" s="18"/>
      <c r="D25126" s="19"/>
      <c r="E25126" s="57"/>
      <c r="H25126" s="18"/>
    </row>
    <row r="25127">
      <c r="C25127" s="18"/>
      <c r="D25127" s="19"/>
      <c r="E25127" s="57"/>
      <c r="H25127" s="18"/>
    </row>
    <row r="25128">
      <c r="C25128" s="18"/>
      <c r="D25128" s="19"/>
      <c r="E25128" s="57"/>
      <c r="H25128" s="18"/>
    </row>
    <row r="25129">
      <c r="C25129" s="18"/>
      <c r="D25129" s="19"/>
      <c r="E25129" s="57"/>
      <c r="H25129" s="18"/>
    </row>
    <row r="25130">
      <c r="C25130" s="18"/>
      <c r="D25130" s="19"/>
      <c r="E25130" s="57"/>
      <c r="H25130" s="18"/>
    </row>
    <row r="25131">
      <c r="C25131" s="18"/>
      <c r="D25131" s="19"/>
      <c r="E25131" s="57"/>
      <c r="H25131" s="18"/>
    </row>
    <row r="25132">
      <c r="C25132" s="18"/>
      <c r="D25132" s="19"/>
      <c r="E25132" s="57"/>
      <c r="H25132" s="18"/>
    </row>
    <row r="25133">
      <c r="C25133" s="18"/>
      <c r="D25133" s="19"/>
      <c r="E25133" s="57"/>
      <c r="H25133" s="18"/>
    </row>
    <row r="25134">
      <c r="C25134" s="18"/>
      <c r="D25134" s="19"/>
      <c r="E25134" s="57"/>
      <c r="H25134" s="18"/>
    </row>
    <row r="25135">
      <c r="C25135" s="18"/>
      <c r="D25135" s="19"/>
      <c r="E25135" s="57"/>
      <c r="H25135" s="18"/>
    </row>
    <row r="25136">
      <c r="C25136" s="18"/>
      <c r="D25136" s="19"/>
      <c r="E25136" s="57"/>
      <c r="H25136" s="18"/>
    </row>
    <row r="25137">
      <c r="C25137" s="18"/>
      <c r="D25137" s="19"/>
      <c r="E25137" s="57"/>
      <c r="H25137" s="18"/>
    </row>
    <row r="25138">
      <c r="C25138" s="18"/>
      <c r="D25138" s="19"/>
      <c r="E25138" s="57"/>
      <c r="H25138" s="18"/>
    </row>
    <row r="25139">
      <c r="C25139" s="18"/>
      <c r="D25139" s="19"/>
      <c r="E25139" s="57"/>
      <c r="H25139" s="18"/>
    </row>
    <row r="25140">
      <c r="C25140" s="18"/>
      <c r="D25140" s="19"/>
      <c r="E25140" s="57"/>
      <c r="H25140" s="18"/>
    </row>
    <row r="25141">
      <c r="C25141" s="18"/>
      <c r="D25141" s="19"/>
      <c r="E25141" s="57"/>
      <c r="H25141" s="18"/>
    </row>
    <row r="25142">
      <c r="C25142" s="18"/>
      <c r="D25142" s="19"/>
      <c r="E25142" s="57"/>
      <c r="H25142" s="18"/>
    </row>
    <row r="25143">
      <c r="C25143" s="18"/>
      <c r="D25143" s="19"/>
      <c r="E25143" s="57"/>
      <c r="H25143" s="18"/>
    </row>
    <row r="25144">
      <c r="C25144" s="18"/>
      <c r="D25144" s="19"/>
      <c r="E25144" s="57"/>
      <c r="H25144" s="18"/>
    </row>
    <row r="25145">
      <c r="C25145" s="18"/>
      <c r="D25145" s="19"/>
      <c r="E25145" s="57"/>
      <c r="H25145" s="18"/>
    </row>
    <row r="25146">
      <c r="C25146" s="18"/>
      <c r="D25146" s="19"/>
      <c r="E25146" s="57"/>
      <c r="H25146" s="18"/>
    </row>
    <row r="25147">
      <c r="C25147" s="18"/>
      <c r="D25147" s="19"/>
      <c r="E25147" s="57"/>
      <c r="H25147" s="18"/>
    </row>
    <row r="25148">
      <c r="C25148" s="18"/>
      <c r="D25148" s="19"/>
      <c r="E25148" s="57"/>
      <c r="H25148" s="18"/>
    </row>
    <row r="25149">
      <c r="C25149" s="18"/>
      <c r="D25149" s="19"/>
      <c r="E25149" s="57"/>
      <c r="H25149" s="18"/>
    </row>
    <row r="25150">
      <c r="C25150" s="18"/>
      <c r="D25150" s="19"/>
      <c r="E25150" s="57"/>
      <c r="H25150" s="18"/>
    </row>
    <row r="25151">
      <c r="C25151" s="18"/>
      <c r="D25151" s="19"/>
      <c r="E25151" s="57"/>
      <c r="H25151" s="18"/>
    </row>
    <row r="25152">
      <c r="C25152" s="18"/>
      <c r="D25152" s="19"/>
      <c r="E25152" s="57"/>
      <c r="H25152" s="18"/>
    </row>
    <row r="25153">
      <c r="C25153" s="18"/>
      <c r="D25153" s="19"/>
      <c r="E25153" s="57"/>
      <c r="H25153" s="18"/>
    </row>
    <row r="25154">
      <c r="C25154" s="18"/>
      <c r="D25154" s="19"/>
      <c r="E25154" s="57"/>
      <c r="H25154" s="18"/>
    </row>
    <row r="25155">
      <c r="C25155" s="18"/>
      <c r="D25155" s="19"/>
      <c r="E25155" s="57"/>
      <c r="H25155" s="18"/>
    </row>
    <row r="25156">
      <c r="C25156" s="18"/>
      <c r="D25156" s="19"/>
      <c r="E25156" s="57"/>
      <c r="H25156" s="18"/>
    </row>
    <row r="25157">
      <c r="C25157" s="18"/>
      <c r="D25157" s="19"/>
      <c r="E25157" s="57"/>
      <c r="H25157" s="18"/>
    </row>
    <row r="25158">
      <c r="C25158" s="18"/>
      <c r="D25158" s="19"/>
      <c r="E25158" s="57"/>
      <c r="H25158" s="18"/>
    </row>
    <row r="25159">
      <c r="C25159" s="18"/>
      <c r="D25159" s="19"/>
      <c r="E25159" s="57"/>
      <c r="H25159" s="18"/>
    </row>
    <row r="25160">
      <c r="C25160" s="18"/>
      <c r="D25160" s="19"/>
      <c r="E25160" s="57"/>
      <c r="H25160" s="18"/>
    </row>
    <row r="25161">
      <c r="C25161" s="18"/>
      <c r="D25161" s="19"/>
      <c r="E25161" s="57"/>
      <c r="H25161" s="18"/>
    </row>
    <row r="25162">
      <c r="C25162" s="18"/>
      <c r="D25162" s="19"/>
      <c r="E25162" s="57"/>
      <c r="H25162" s="18"/>
    </row>
    <row r="25163">
      <c r="C25163" s="18"/>
      <c r="D25163" s="19"/>
      <c r="E25163" s="57"/>
      <c r="H25163" s="18"/>
    </row>
    <row r="25164">
      <c r="C25164" s="18"/>
      <c r="D25164" s="19"/>
      <c r="E25164" s="57"/>
      <c r="H25164" s="18"/>
    </row>
    <row r="25165">
      <c r="C25165" s="18"/>
      <c r="D25165" s="19"/>
      <c r="E25165" s="57"/>
      <c r="H25165" s="18"/>
    </row>
    <row r="25166">
      <c r="C25166" s="18"/>
      <c r="D25166" s="19"/>
      <c r="E25166" s="57"/>
      <c r="H25166" s="18"/>
    </row>
    <row r="25167">
      <c r="C25167" s="18"/>
      <c r="D25167" s="19"/>
      <c r="E25167" s="57"/>
      <c r="H25167" s="18"/>
    </row>
    <row r="25168">
      <c r="C25168" s="18"/>
      <c r="D25168" s="19"/>
      <c r="E25168" s="57"/>
      <c r="H25168" s="18"/>
    </row>
    <row r="25169">
      <c r="C25169" s="18"/>
      <c r="D25169" s="19"/>
      <c r="E25169" s="57"/>
      <c r="H25169" s="18"/>
    </row>
    <row r="25170">
      <c r="C25170" s="18"/>
      <c r="D25170" s="19"/>
      <c r="E25170" s="57"/>
      <c r="H25170" s="18"/>
    </row>
    <row r="25171">
      <c r="C25171" s="18"/>
      <c r="D25171" s="19"/>
      <c r="E25171" s="57"/>
      <c r="H25171" s="18"/>
    </row>
    <row r="25172">
      <c r="C25172" s="18"/>
      <c r="D25172" s="19"/>
      <c r="E25172" s="57"/>
      <c r="H25172" s="18"/>
    </row>
    <row r="25173">
      <c r="C25173" s="18"/>
      <c r="D25173" s="19"/>
      <c r="E25173" s="57"/>
      <c r="H25173" s="18"/>
    </row>
    <row r="25174">
      <c r="C25174" s="18"/>
      <c r="D25174" s="19"/>
      <c r="E25174" s="57"/>
      <c r="H25174" s="18"/>
    </row>
    <row r="25175">
      <c r="C25175" s="18"/>
      <c r="D25175" s="19"/>
      <c r="E25175" s="57"/>
      <c r="H25175" s="18"/>
    </row>
    <row r="25176">
      <c r="C25176" s="18"/>
      <c r="D25176" s="19"/>
      <c r="E25176" s="57"/>
      <c r="H25176" s="18"/>
    </row>
    <row r="25177">
      <c r="C25177" s="18"/>
      <c r="D25177" s="19"/>
      <c r="E25177" s="57"/>
      <c r="H25177" s="18"/>
    </row>
    <row r="25178">
      <c r="C25178" s="18"/>
      <c r="D25178" s="19"/>
      <c r="E25178" s="57"/>
      <c r="H25178" s="18"/>
    </row>
    <row r="25179">
      <c r="C25179" s="18"/>
      <c r="D25179" s="19"/>
      <c r="E25179" s="57"/>
      <c r="H25179" s="18"/>
    </row>
    <row r="25180">
      <c r="C25180" s="18"/>
      <c r="D25180" s="19"/>
      <c r="E25180" s="57"/>
      <c r="H25180" s="18"/>
    </row>
    <row r="25181">
      <c r="C25181" s="18"/>
      <c r="D25181" s="19"/>
      <c r="E25181" s="57"/>
      <c r="H25181" s="18"/>
    </row>
    <row r="25182">
      <c r="C25182" s="18"/>
      <c r="D25182" s="19"/>
      <c r="E25182" s="57"/>
      <c r="H25182" s="18"/>
    </row>
    <row r="25183">
      <c r="C25183" s="18"/>
      <c r="D25183" s="19"/>
      <c r="E25183" s="57"/>
      <c r="H25183" s="18"/>
    </row>
    <row r="25184">
      <c r="C25184" s="18"/>
      <c r="D25184" s="19"/>
      <c r="E25184" s="57"/>
      <c r="H25184" s="18"/>
    </row>
    <row r="25185">
      <c r="C25185" s="18"/>
      <c r="D25185" s="19"/>
      <c r="E25185" s="57"/>
      <c r="H25185" s="18"/>
    </row>
    <row r="25186">
      <c r="C25186" s="18"/>
      <c r="D25186" s="19"/>
      <c r="E25186" s="57"/>
      <c r="H25186" s="18"/>
    </row>
    <row r="25187">
      <c r="C25187" s="18"/>
      <c r="D25187" s="19"/>
      <c r="E25187" s="57"/>
      <c r="H25187" s="18"/>
    </row>
    <row r="25188">
      <c r="C25188" s="18"/>
      <c r="D25188" s="19"/>
      <c r="E25188" s="57"/>
      <c r="H25188" s="18"/>
    </row>
    <row r="25189">
      <c r="C25189" s="18"/>
      <c r="D25189" s="19"/>
      <c r="E25189" s="57"/>
      <c r="H25189" s="18"/>
    </row>
    <row r="25190">
      <c r="C25190" s="18"/>
      <c r="D25190" s="19"/>
      <c r="E25190" s="57"/>
      <c r="H25190" s="18"/>
    </row>
    <row r="25191">
      <c r="C25191" s="18"/>
      <c r="D25191" s="19"/>
      <c r="E25191" s="57"/>
      <c r="H25191" s="18"/>
    </row>
    <row r="25192">
      <c r="C25192" s="18"/>
      <c r="D25192" s="19"/>
      <c r="E25192" s="57"/>
      <c r="H25192" s="18"/>
    </row>
    <row r="25193">
      <c r="C25193" s="18"/>
      <c r="D25193" s="19"/>
      <c r="E25193" s="57"/>
      <c r="H25193" s="18"/>
    </row>
    <row r="25194">
      <c r="C25194" s="18"/>
      <c r="D25194" s="19"/>
      <c r="E25194" s="57"/>
      <c r="H25194" s="18"/>
    </row>
    <row r="25195">
      <c r="C25195" s="18"/>
      <c r="D25195" s="19"/>
      <c r="E25195" s="57"/>
      <c r="H25195" s="18"/>
    </row>
    <row r="25196">
      <c r="C25196" s="18"/>
      <c r="D25196" s="19"/>
      <c r="E25196" s="57"/>
      <c r="H25196" s="18"/>
    </row>
    <row r="25197">
      <c r="C25197" s="18"/>
      <c r="D25197" s="19"/>
      <c r="E25197" s="57"/>
      <c r="H25197" s="18"/>
    </row>
    <row r="25198">
      <c r="C25198" s="18"/>
      <c r="D25198" s="19"/>
      <c r="E25198" s="57"/>
      <c r="H25198" s="18"/>
    </row>
    <row r="25199">
      <c r="C25199" s="18"/>
      <c r="D25199" s="19"/>
      <c r="E25199" s="57"/>
      <c r="H25199" s="18"/>
    </row>
    <row r="25200">
      <c r="C25200" s="18"/>
      <c r="D25200" s="19"/>
      <c r="E25200" s="57"/>
      <c r="H25200" s="18"/>
    </row>
    <row r="25201">
      <c r="C25201" s="18"/>
      <c r="D25201" s="19"/>
      <c r="E25201" s="57"/>
      <c r="H25201" s="18"/>
    </row>
    <row r="25202">
      <c r="C25202" s="18"/>
      <c r="D25202" s="19"/>
      <c r="E25202" s="57"/>
      <c r="H25202" s="18"/>
    </row>
    <row r="25203">
      <c r="C25203" s="18"/>
      <c r="D25203" s="19"/>
      <c r="E25203" s="57"/>
      <c r="H25203" s="18"/>
    </row>
    <row r="25204">
      <c r="C25204" s="18"/>
      <c r="D25204" s="19"/>
      <c r="E25204" s="57"/>
      <c r="H25204" s="18"/>
    </row>
    <row r="25205">
      <c r="C25205" s="18"/>
      <c r="D25205" s="19"/>
      <c r="E25205" s="57"/>
      <c r="H25205" s="18"/>
    </row>
    <row r="25206">
      <c r="C25206" s="18"/>
      <c r="D25206" s="19"/>
      <c r="E25206" s="57"/>
      <c r="H25206" s="18"/>
    </row>
    <row r="25207">
      <c r="C25207" s="18"/>
      <c r="D25207" s="19"/>
      <c r="E25207" s="57"/>
      <c r="H25207" s="18"/>
    </row>
    <row r="25208">
      <c r="C25208" s="18"/>
      <c r="D25208" s="19"/>
      <c r="E25208" s="57"/>
      <c r="H25208" s="18"/>
    </row>
    <row r="25209">
      <c r="C25209" s="18"/>
      <c r="D25209" s="19"/>
      <c r="E25209" s="57"/>
      <c r="H25209" s="18"/>
    </row>
    <row r="25210">
      <c r="C25210" s="18"/>
      <c r="D25210" s="19"/>
      <c r="E25210" s="57"/>
      <c r="H25210" s="18"/>
    </row>
    <row r="25211">
      <c r="C25211" s="18"/>
      <c r="D25211" s="19"/>
      <c r="E25211" s="57"/>
      <c r="H25211" s="18"/>
    </row>
    <row r="25212">
      <c r="C25212" s="18"/>
      <c r="D25212" s="19"/>
      <c r="E25212" s="57"/>
      <c r="H25212" s="18"/>
    </row>
    <row r="25213">
      <c r="C25213" s="18"/>
      <c r="D25213" s="19"/>
      <c r="E25213" s="57"/>
      <c r="H25213" s="18"/>
    </row>
    <row r="25214">
      <c r="C25214" s="18"/>
      <c r="D25214" s="19"/>
      <c r="E25214" s="57"/>
      <c r="H25214" s="18"/>
    </row>
    <row r="25215">
      <c r="C25215" s="18"/>
      <c r="D25215" s="19"/>
      <c r="E25215" s="57"/>
      <c r="H25215" s="18"/>
    </row>
    <row r="25216">
      <c r="C25216" s="18"/>
      <c r="D25216" s="19"/>
      <c r="E25216" s="57"/>
      <c r="H25216" s="18"/>
    </row>
    <row r="25217">
      <c r="C25217" s="18"/>
      <c r="D25217" s="19"/>
      <c r="E25217" s="57"/>
      <c r="H25217" s="18"/>
    </row>
    <row r="25218">
      <c r="C25218" s="18"/>
      <c r="D25218" s="19"/>
      <c r="E25218" s="57"/>
      <c r="H25218" s="18"/>
    </row>
    <row r="25219">
      <c r="C25219" s="18"/>
      <c r="D25219" s="19"/>
      <c r="E25219" s="57"/>
      <c r="H25219" s="18"/>
    </row>
    <row r="25220">
      <c r="C25220" s="18"/>
      <c r="D25220" s="19"/>
      <c r="E25220" s="57"/>
      <c r="H25220" s="18"/>
    </row>
    <row r="25221">
      <c r="C25221" s="18"/>
      <c r="D25221" s="19"/>
      <c r="E25221" s="57"/>
      <c r="H25221" s="18"/>
    </row>
    <row r="25222">
      <c r="C25222" s="18"/>
      <c r="D25222" s="19"/>
      <c r="E25222" s="57"/>
      <c r="H25222" s="18"/>
    </row>
    <row r="25223">
      <c r="C25223" s="18"/>
      <c r="D25223" s="19"/>
      <c r="E25223" s="57"/>
      <c r="H25223" s="18"/>
    </row>
    <row r="25224">
      <c r="C25224" s="18"/>
      <c r="D25224" s="19"/>
      <c r="E25224" s="57"/>
      <c r="H25224" s="18"/>
    </row>
    <row r="25225">
      <c r="C25225" s="18"/>
      <c r="D25225" s="19"/>
      <c r="E25225" s="57"/>
      <c r="H25225" s="18"/>
    </row>
    <row r="25226">
      <c r="C25226" s="18"/>
      <c r="D25226" s="19"/>
      <c r="E25226" s="57"/>
      <c r="H25226" s="18"/>
    </row>
    <row r="25227">
      <c r="C25227" s="18"/>
      <c r="D25227" s="19"/>
      <c r="E25227" s="57"/>
      <c r="H25227" s="18"/>
    </row>
    <row r="25228">
      <c r="C25228" s="18"/>
      <c r="D25228" s="19"/>
      <c r="E25228" s="57"/>
      <c r="H25228" s="18"/>
    </row>
    <row r="25229">
      <c r="C25229" s="18"/>
      <c r="D25229" s="19"/>
      <c r="E25229" s="57"/>
      <c r="H25229" s="18"/>
    </row>
    <row r="25230">
      <c r="C25230" s="18"/>
      <c r="D25230" s="19"/>
      <c r="E25230" s="57"/>
      <c r="H25230" s="18"/>
    </row>
    <row r="25231">
      <c r="C25231" s="18"/>
      <c r="D25231" s="19"/>
      <c r="E25231" s="57"/>
      <c r="H25231" s="18"/>
    </row>
    <row r="25232">
      <c r="C25232" s="18"/>
      <c r="D25232" s="19"/>
      <c r="E25232" s="57"/>
      <c r="H25232" s="18"/>
    </row>
    <row r="25233">
      <c r="C25233" s="18"/>
      <c r="D25233" s="19"/>
      <c r="E25233" s="57"/>
      <c r="H25233" s="18"/>
    </row>
    <row r="25234">
      <c r="C25234" s="18"/>
      <c r="D25234" s="19"/>
      <c r="E25234" s="57"/>
      <c r="H25234" s="18"/>
    </row>
    <row r="25235">
      <c r="C25235" s="18"/>
      <c r="D25235" s="19"/>
      <c r="E25235" s="57"/>
      <c r="H25235" s="18"/>
    </row>
    <row r="25236">
      <c r="C25236" s="18"/>
      <c r="D25236" s="19"/>
      <c r="E25236" s="57"/>
      <c r="H25236" s="18"/>
    </row>
    <row r="25237">
      <c r="C25237" s="18"/>
      <c r="D25237" s="19"/>
      <c r="E25237" s="57"/>
      <c r="H25237" s="18"/>
    </row>
    <row r="25238">
      <c r="C25238" s="18"/>
      <c r="D25238" s="19"/>
      <c r="E25238" s="57"/>
      <c r="H25238" s="18"/>
    </row>
    <row r="25239">
      <c r="C25239" s="18"/>
      <c r="D25239" s="19"/>
      <c r="E25239" s="57"/>
      <c r="H25239" s="18"/>
    </row>
    <row r="25240">
      <c r="C25240" s="18"/>
      <c r="D25240" s="19"/>
      <c r="E25240" s="57"/>
      <c r="H25240" s="18"/>
    </row>
    <row r="25241">
      <c r="C25241" s="18"/>
      <c r="D25241" s="19"/>
      <c r="E25241" s="57"/>
      <c r="H25241" s="18"/>
    </row>
    <row r="25242">
      <c r="C25242" s="18"/>
      <c r="D25242" s="19"/>
      <c r="E25242" s="57"/>
      <c r="H25242" s="18"/>
    </row>
    <row r="25243">
      <c r="C25243" s="18"/>
      <c r="D25243" s="19"/>
      <c r="E25243" s="57"/>
      <c r="H25243" s="18"/>
    </row>
    <row r="25244">
      <c r="C25244" s="18"/>
      <c r="D25244" s="19"/>
      <c r="E25244" s="57"/>
      <c r="H25244" s="18"/>
    </row>
    <row r="25245">
      <c r="C25245" s="18"/>
      <c r="D25245" s="19"/>
      <c r="E25245" s="57"/>
      <c r="H25245" s="18"/>
    </row>
    <row r="25246">
      <c r="C25246" s="18"/>
      <c r="D25246" s="19"/>
      <c r="E25246" s="57"/>
      <c r="H25246" s="18"/>
    </row>
    <row r="25247">
      <c r="C25247" s="18"/>
      <c r="D25247" s="19"/>
      <c r="E25247" s="57"/>
      <c r="H25247" s="18"/>
    </row>
    <row r="25248">
      <c r="C25248" s="18"/>
      <c r="D25248" s="19"/>
      <c r="E25248" s="57"/>
      <c r="H25248" s="18"/>
    </row>
    <row r="25249">
      <c r="C25249" s="18"/>
      <c r="D25249" s="19"/>
      <c r="E25249" s="57"/>
      <c r="H25249" s="18"/>
    </row>
    <row r="25250">
      <c r="C25250" s="18"/>
      <c r="D25250" s="19"/>
      <c r="E25250" s="57"/>
      <c r="H25250" s="18"/>
    </row>
    <row r="25251">
      <c r="C25251" s="18"/>
      <c r="D25251" s="19"/>
      <c r="E25251" s="57"/>
      <c r="H25251" s="18"/>
    </row>
    <row r="25252">
      <c r="C25252" s="18"/>
      <c r="D25252" s="19"/>
      <c r="E25252" s="57"/>
      <c r="H25252" s="18"/>
    </row>
    <row r="25253">
      <c r="C25253" s="18"/>
      <c r="D25253" s="19"/>
      <c r="E25253" s="57"/>
      <c r="H25253" s="18"/>
    </row>
    <row r="25254">
      <c r="C25254" s="18"/>
      <c r="D25254" s="19"/>
      <c r="E25254" s="57"/>
      <c r="H25254" s="18"/>
    </row>
    <row r="25255">
      <c r="C25255" s="18"/>
      <c r="D25255" s="19"/>
      <c r="E25255" s="57"/>
      <c r="H25255" s="18"/>
    </row>
    <row r="25256">
      <c r="C25256" s="18"/>
      <c r="D25256" s="19"/>
      <c r="E25256" s="57"/>
      <c r="H25256" s="18"/>
    </row>
    <row r="25257">
      <c r="C25257" s="18"/>
      <c r="D25257" s="19"/>
      <c r="E25257" s="57"/>
      <c r="H25257" s="18"/>
    </row>
    <row r="25258">
      <c r="C25258" s="18"/>
      <c r="D25258" s="19"/>
      <c r="E25258" s="57"/>
      <c r="H25258" s="18"/>
    </row>
    <row r="25259">
      <c r="C25259" s="18"/>
      <c r="D25259" s="19"/>
      <c r="E25259" s="57"/>
      <c r="H25259" s="18"/>
    </row>
    <row r="25260">
      <c r="C25260" s="18"/>
      <c r="D25260" s="19"/>
      <c r="E25260" s="57"/>
      <c r="H25260" s="18"/>
    </row>
    <row r="25261">
      <c r="C25261" s="18"/>
      <c r="D25261" s="19"/>
      <c r="E25261" s="57"/>
      <c r="H25261" s="18"/>
    </row>
    <row r="25262">
      <c r="C25262" s="18"/>
      <c r="D25262" s="19"/>
      <c r="E25262" s="57"/>
      <c r="H25262" s="18"/>
    </row>
    <row r="25263">
      <c r="C25263" s="18"/>
      <c r="D25263" s="19"/>
      <c r="E25263" s="57"/>
      <c r="H25263" s="18"/>
    </row>
    <row r="25264">
      <c r="C25264" s="18"/>
      <c r="D25264" s="19"/>
      <c r="E25264" s="57"/>
      <c r="H25264" s="18"/>
    </row>
    <row r="25265">
      <c r="C25265" s="18"/>
      <c r="D25265" s="19"/>
      <c r="E25265" s="57"/>
      <c r="H25265" s="18"/>
    </row>
    <row r="25266">
      <c r="C25266" s="18"/>
      <c r="D25266" s="19"/>
      <c r="E25266" s="57"/>
      <c r="H25266" s="18"/>
    </row>
    <row r="25267">
      <c r="C25267" s="18"/>
      <c r="D25267" s="19"/>
      <c r="E25267" s="57"/>
      <c r="H25267" s="18"/>
    </row>
    <row r="25268">
      <c r="C25268" s="18"/>
      <c r="D25268" s="19"/>
      <c r="E25268" s="57"/>
      <c r="H25268" s="18"/>
    </row>
    <row r="25269">
      <c r="C25269" s="18"/>
      <c r="D25269" s="19"/>
      <c r="E25269" s="57"/>
      <c r="H25269" s="18"/>
    </row>
    <row r="25270">
      <c r="C25270" s="18"/>
      <c r="D25270" s="19"/>
      <c r="E25270" s="57"/>
      <c r="H25270" s="18"/>
    </row>
    <row r="25271">
      <c r="C25271" s="18"/>
      <c r="D25271" s="19"/>
      <c r="E25271" s="57"/>
      <c r="H25271" s="18"/>
    </row>
    <row r="25272">
      <c r="C25272" s="18"/>
      <c r="D25272" s="19"/>
      <c r="E25272" s="57"/>
      <c r="H25272" s="18"/>
    </row>
    <row r="25273">
      <c r="C25273" s="18"/>
      <c r="D25273" s="19"/>
      <c r="E25273" s="57"/>
      <c r="H25273" s="18"/>
    </row>
    <row r="25274">
      <c r="C25274" s="18"/>
      <c r="D25274" s="19"/>
      <c r="E25274" s="57"/>
      <c r="H25274" s="18"/>
    </row>
    <row r="25275">
      <c r="C25275" s="18"/>
      <c r="D25275" s="19"/>
      <c r="E25275" s="57"/>
      <c r="H25275" s="18"/>
    </row>
    <row r="25276">
      <c r="C25276" s="18"/>
      <c r="D25276" s="19"/>
      <c r="E25276" s="57"/>
      <c r="H25276" s="18"/>
    </row>
    <row r="25277">
      <c r="C25277" s="18"/>
      <c r="D25277" s="19"/>
      <c r="E25277" s="57"/>
      <c r="H25277" s="18"/>
    </row>
    <row r="25278">
      <c r="C25278" s="18"/>
      <c r="D25278" s="19"/>
      <c r="E25278" s="57"/>
      <c r="H25278" s="18"/>
    </row>
    <row r="25279">
      <c r="C25279" s="18"/>
      <c r="D25279" s="19"/>
      <c r="E25279" s="57"/>
      <c r="H25279" s="18"/>
    </row>
    <row r="25280">
      <c r="C25280" s="18"/>
      <c r="D25280" s="19"/>
      <c r="E25280" s="57"/>
      <c r="H25280" s="18"/>
    </row>
    <row r="25281">
      <c r="C25281" s="18"/>
      <c r="D25281" s="19"/>
      <c r="E25281" s="57"/>
      <c r="H25281" s="18"/>
    </row>
    <row r="25282">
      <c r="C25282" s="18"/>
      <c r="D25282" s="19"/>
      <c r="E25282" s="57"/>
      <c r="H25282" s="18"/>
    </row>
    <row r="25283">
      <c r="C25283" s="18"/>
      <c r="D25283" s="19"/>
      <c r="E25283" s="57"/>
      <c r="H25283" s="18"/>
    </row>
    <row r="25284">
      <c r="C25284" s="18"/>
      <c r="D25284" s="19"/>
      <c r="E25284" s="57"/>
      <c r="H25284" s="18"/>
    </row>
    <row r="25285">
      <c r="C25285" s="18"/>
      <c r="D25285" s="19"/>
      <c r="E25285" s="57"/>
      <c r="H25285" s="18"/>
    </row>
    <row r="25286">
      <c r="C25286" s="18"/>
      <c r="D25286" s="19"/>
      <c r="E25286" s="57"/>
      <c r="H25286" s="18"/>
    </row>
    <row r="25287">
      <c r="C25287" s="18"/>
      <c r="D25287" s="19"/>
      <c r="E25287" s="57"/>
      <c r="H25287" s="18"/>
    </row>
    <row r="25288">
      <c r="C25288" s="18"/>
      <c r="D25288" s="19"/>
      <c r="E25288" s="57"/>
      <c r="H25288" s="18"/>
    </row>
    <row r="25289">
      <c r="C25289" s="18"/>
      <c r="D25289" s="19"/>
      <c r="E25289" s="57"/>
      <c r="H25289" s="18"/>
    </row>
    <row r="25290">
      <c r="C25290" s="18"/>
      <c r="D25290" s="19"/>
      <c r="E25290" s="57"/>
      <c r="H25290" s="18"/>
    </row>
    <row r="25291">
      <c r="C25291" s="18"/>
      <c r="D25291" s="19"/>
      <c r="E25291" s="57"/>
      <c r="H25291" s="18"/>
    </row>
    <row r="25292">
      <c r="C25292" s="18"/>
      <c r="D25292" s="19"/>
      <c r="E25292" s="57"/>
      <c r="H25292" s="18"/>
    </row>
    <row r="25293">
      <c r="C25293" s="18"/>
      <c r="D25293" s="19"/>
      <c r="E25293" s="57"/>
      <c r="H25293" s="18"/>
    </row>
    <row r="25294">
      <c r="C25294" s="18"/>
      <c r="D25294" s="19"/>
      <c r="E25294" s="57"/>
      <c r="H25294" s="18"/>
    </row>
    <row r="25295">
      <c r="C25295" s="18"/>
      <c r="D25295" s="19"/>
      <c r="E25295" s="57"/>
      <c r="H25295" s="18"/>
    </row>
    <row r="25296">
      <c r="C25296" s="18"/>
      <c r="D25296" s="19"/>
      <c r="E25296" s="57"/>
      <c r="H25296" s="18"/>
    </row>
    <row r="25297">
      <c r="C25297" s="18"/>
      <c r="D25297" s="19"/>
      <c r="E25297" s="57"/>
      <c r="H25297" s="18"/>
    </row>
    <row r="25298">
      <c r="C25298" s="18"/>
      <c r="D25298" s="19"/>
      <c r="E25298" s="57"/>
      <c r="H25298" s="18"/>
    </row>
    <row r="25299">
      <c r="C25299" s="18"/>
      <c r="D25299" s="19"/>
      <c r="E25299" s="57"/>
      <c r="H25299" s="18"/>
    </row>
    <row r="25300">
      <c r="C25300" s="18"/>
      <c r="D25300" s="19"/>
      <c r="E25300" s="57"/>
      <c r="H25300" s="18"/>
    </row>
    <row r="25301">
      <c r="C25301" s="18"/>
      <c r="D25301" s="19"/>
      <c r="E25301" s="57"/>
      <c r="H25301" s="18"/>
    </row>
    <row r="25302">
      <c r="C25302" s="18"/>
      <c r="D25302" s="19"/>
      <c r="E25302" s="57"/>
      <c r="H25302" s="18"/>
    </row>
    <row r="25303">
      <c r="C25303" s="18"/>
      <c r="D25303" s="19"/>
      <c r="E25303" s="57"/>
      <c r="H25303" s="18"/>
    </row>
    <row r="25304">
      <c r="C25304" s="18"/>
      <c r="D25304" s="19"/>
      <c r="E25304" s="57"/>
      <c r="H25304" s="18"/>
    </row>
    <row r="25305">
      <c r="C25305" s="18"/>
      <c r="D25305" s="19"/>
      <c r="E25305" s="57"/>
      <c r="H25305" s="18"/>
    </row>
    <row r="25306">
      <c r="C25306" s="18"/>
      <c r="D25306" s="19"/>
      <c r="E25306" s="57"/>
      <c r="H25306" s="18"/>
    </row>
    <row r="25307">
      <c r="C25307" s="18"/>
      <c r="D25307" s="19"/>
      <c r="E25307" s="57"/>
      <c r="H25307" s="18"/>
    </row>
    <row r="25308">
      <c r="C25308" s="18"/>
      <c r="D25308" s="19"/>
      <c r="E25308" s="57"/>
      <c r="H25308" s="18"/>
    </row>
    <row r="25309">
      <c r="C25309" s="18"/>
      <c r="D25309" s="19"/>
      <c r="E25309" s="57"/>
      <c r="H25309" s="18"/>
    </row>
    <row r="25310">
      <c r="C25310" s="18"/>
      <c r="D25310" s="19"/>
      <c r="E25310" s="57"/>
      <c r="H25310" s="18"/>
    </row>
    <row r="25311">
      <c r="C25311" s="18"/>
      <c r="D25311" s="19"/>
      <c r="E25311" s="57"/>
      <c r="H25311" s="18"/>
    </row>
    <row r="25312">
      <c r="C25312" s="18"/>
      <c r="D25312" s="19"/>
      <c r="E25312" s="57"/>
      <c r="H25312" s="18"/>
    </row>
    <row r="25313">
      <c r="C25313" s="18"/>
      <c r="D25313" s="19"/>
      <c r="E25313" s="57"/>
      <c r="H25313" s="18"/>
    </row>
    <row r="25314">
      <c r="C25314" s="18"/>
      <c r="D25314" s="19"/>
      <c r="E25314" s="57"/>
      <c r="H25314" s="18"/>
    </row>
    <row r="25315">
      <c r="C25315" s="18"/>
      <c r="D25315" s="19"/>
      <c r="E25315" s="57"/>
      <c r="H25315" s="18"/>
    </row>
    <row r="25316">
      <c r="C25316" s="18"/>
      <c r="D25316" s="19"/>
      <c r="E25316" s="57"/>
      <c r="H25316" s="18"/>
    </row>
    <row r="25317">
      <c r="C25317" s="18"/>
      <c r="D25317" s="19"/>
      <c r="E25317" s="57"/>
      <c r="H25317" s="18"/>
    </row>
    <row r="25318">
      <c r="C25318" s="18"/>
      <c r="D25318" s="19"/>
      <c r="E25318" s="57"/>
      <c r="H25318" s="18"/>
    </row>
    <row r="25319">
      <c r="C25319" s="18"/>
      <c r="D25319" s="19"/>
      <c r="E25319" s="57"/>
      <c r="H25319" s="18"/>
    </row>
    <row r="25320">
      <c r="C25320" s="18"/>
      <c r="D25320" s="19"/>
      <c r="E25320" s="57"/>
      <c r="H25320" s="18"/>
    </row>
    <row r="25321">
      <c r="C25321" s="18"/>
      <c r="D25321" s="19"/>
      <c r="E25321" s="57"/>
      <c r="H25321" s="18"/>
    </row>
    <row r="25322">
      <c r="C25322" s="18"/>
      <c r="D25322" s="19"/>
      <c r="E25322" s="57"/>
      <c r="H25322" s="18"/>
    </row>
    <row r="25323">
      <c r="C25323" s="18"/>
      <c r="D25323" s="19"/>
      <c r="E25323" s="57"/>
      <c r="H25323" s="18"/>
    </row>
    <row r="25324">
      <c r="C25324" s="18"/>
      <c r="D25324" s="19"/>
      <c r="E25324" s="57"/>
      <c r="H25324" s="18"/>
    </row>
    <row r="25325">
      <c r="C25325" s="18"/>
      <c r="D25325" s="19"/>
      <c r="E25325" s="57"/>
      <c r="H25325" s="18"/>
    </row>
    <row r="25326">
      <c r="C25326" s="18"/>
      <c r="D25326" s="19"/>
      <c r="E25326" s="57"/>
      <c r="H25326" s="18"/>
    </row>
    <row r="25327">
      <c r="C25327" s="18"/>
      <c r="D25327" s="19"/>
      <c r="E25327" s="57"/>
      <c r="H25327" s="18"/>
    </row>
    <row r="25328">
      <c r="C25328" s="18"/>
      <c r="D25328" s="19"/>
      <c r="E25328" s="57"/>
      <c r="H25328" s="18"/>
    </row>
    <row r="25329">
      <c r="C25329" s="18"/>
      <c r="D25329" s="19"/>
      <c r="E25329" s="57"/>
      <c r="H25329" s="18"/>
    </row>
    <row r="25330">
      <c r="C25330" s="18"/>
      <c r="D25330" s="19"/>
      <c r="E25330" s="57"/>
      <c r="H25330" s="18"/>
    </row>
    <row r="25331">
      <c r="C25331" s="18"/>
      <c r="D25331" s="19"/>
      <c r="E25331" s="57"/>
      <c r="H25331" s="18"/>
    </row>
  </sheetData>
  <autoFilter ref="$A$1:$O$1186">
    <filterColumn colId="2">
      <customFilters>
        <customFilter operator="notEqual" val="*article*"/>
      </customFilters>
    </filterColumn>
    <sortState ref="A1:O1186">
      <sortCondition ref="E1:E1186"/>
    </sortState>
  </autoFilter>
  <dataValidations>
    <dataValidation type="list" allowBlank="1" showErrorMessage="1" sqref="L743">
      <formula1>"Pending,Brief In Process,Brief Completed,Writing,Written,In WP Draft,Ready To Publish,Published"</formula1>
    </dataValidation>
    <dataValidation type="list" allowBlank="1" showErrorMessage="1" sqref="I743">
      <formula1>"Warda,Osama,Inaam,Mehreen,Ahmed"</formula1>
    </dataValidation>
    <dataValidation type="list" allowBlank="1" showErrorMessage="1" sqref="J743:K743">
      <formula1>"Danish,Ahmed,Eman,Mehreen,Warda"</formula1>
    </dataValidation>
  </dataValidations>
  <hyperlinks>
    <hyperlink r:id="rId2" ref="C2"/>
    <hyperlink r:id="rId3" ref="C9"/>
    <hyperlink r:id="rId4" ref="D10"/>
    <hyperlink r:id="rId5" ref="D14"/>
    <hyperlink r:id="rId6" ref="D15"/>
    <hyperlink r:id="rId7" ref="D20"/>
    <hyperlink r:id="rId8" ref="D22"/>
    <hyperlink r:id="rId9" ref="D27"/>
    <hyperlink r:id="rId10" ref="D31"/>
    <hyperlink r:id="rId11" ref="D34"/>
    <hyperlink r:id="rId12" ref="D36"/>
    <hyperlink r:id="rId13" ref="D100"/>
    <hyperlink r:id="rId14" ref="D102"/>
    <hyperlink r:id="rId15" ref="D106"/>
    <hyperlink r:id="rId16" ref="D107"/>
    <hyperlink r:id="rId17" ref="D108"/>
    <hyperlink r:id="rId18" ref="D109"/>
    <hyperlink r:id="rId19" ref="D110"/>
    <hyperlink r:id="rId20" ref="D111"/>
    <hyperlink r:id="rId21" ref="D112"/>
    <hyperlink r:id="rId22" ref="D113"/>
    <hyperlink r:id="rId23" ref="D114"/>
    <hyperlink r:id="rId24" ref="D115"/>
    <hyperlink r:id="rId25" ref="D116"/>
    <hyperlink r:id="rId26" ref="D117"/>
    <hyperlink r:id="rId27" ref="D118"/>
    <hyperlink r:id="rId28" ref="D126"/>
    <hyperlink r:id="rId29" ref="D127"/>
    <hyperlink r:id="rId30" ref="D129"/>
    <hyperlink r:id="rId31" ref="D130"/>
    <hyperlink r:id="rId32" ref="D132"/>
    <hyperlink r:id="rId33" ref="D133"/>
    <hyperlink r:id="rId34" ref="D134"/>
    <hyperlink r:id="rId35" ref="D135"/>
    <hyperlink r:id="rId36" ref="D136"/>
    <hyperlink r:id="rId37" ref="D137"/>
    <hyperlink r:id="rId38" ref="D138"/>
    <hyperlink r:id="rId39" ref="D139"/>
    <hyperlink r:id="rId40" ref="D140"/>
    <hyperlink r:id="rId41" ref="D141"/>
    <hyperlink r:id="rId42" ref="D142"/>
    <hyperlink r:id="rId43" ref="D143"/>
    <hyperlink r:id="rId44" ref="D145"/>
    <hyperlink r:id="rId45" ref="D146"/>
    <hyperlink r:id="rId46" ref="D147"/>
    <hyperlink r:id="rId47" ref="D150"/>
    <hyperlink r:id="rId48" ref="D151"/>
    <hyperlink r:id="rId49" ref="D153"/>
    <hyperlink r:id="rId50" ref="D154"/>
    <hyperlink r:id="rId51" ref="D155"/>
    <hyperlink r:id="rId52" ref="D156"/>
    <hyperlink r:id="rId53" ref="D157"/>
    <hyperlink r:id="rId54" ref="D158"/>
    <hyperlink r:id="rId55" ref="D159"/>
    <hyperlink r:id="rId56" ref="C161"/>
    <hyperlink r:id="rId57" ref="D161"/>
    <hyperlink r:id="rId58" ref="D162"/>
    <hyperlink r:id="rId59" ref="C164"/>
    <hyperlink r:id="rId60" ref="D198"/>
    <hyperlink r:id="rId61" ref="D205"/>
    <hyperlink r:id="rId62" ref="C326"/>
    <hyperlink r:id="rId63" ref="D328"/>
    <hyperlink r:id="rId64" ref="D329"/>
    <hyperlink r:id="rId65" ref="D330"/>
    <hyperlink r:id="rId66" ref="D331"/>
    <hyperlink r:id="rId67" ref="D332"/>
    <hyperlink r:id="rId68" ref="D333"/>
    <hyperlink r:id="rId69" ref="D336"/>
    <hyperlink r:id="rId70" ref="C337"/>
    <hyperlink r:id="rId71" ref="D337"/>
    <hyperlink r:id="rId72" ref="D338"/>
    <hyperlink r:id="rId73" ref="D339"/>
    <hyperlink r:id="rId74" ref="D340"/>
    <hyperlink r:id="rId75" ref="D341"/>
    <hyperlink r:id="rId76" ref="D390"/>
    <hyperlink r:id="rId77" ref="D396"/>
    <hyperlink r:id="rId78" ref="D397"/>
    <hyperlink r:id="rId79" ref="D398"/>
    <hyperlink r:id="rId80" ref="D399"/>
    <hyperlink r:id="rId81" ref="D401"/>
    <hyperlink r:id="rId82" ref="D402"/>
    <hyperlink r:id="rId83" ref="D414"/>
    <hyperlink r:id="rId84" ref="D425"/>
    <hyperlink r:id="rId85" ref="D429"/>
    <hyperlink r:id="rId86" ref="D430"/>
    <hyperlink r:id="rId87" ref="D434"/>
    <hyperlink r:id="rId88" ref="D453"/>
    <hyperlink r:id="rId89" ref="D454"/>
    <hyperlink r:id="rId90" ref="D475"/>
    <hyperlink r:id="rId91" ref="D476"/>
    <hyperlink r:id="rId92" ref="D516"/>
    <hyperlink r:id="rId93" ref="D517"/>
    <hyperlink r:id="rId94" ref="D518"/>
    <hyperlink r:id="rId95" ref="D520"/>
    <hyperlink r:id="rId96" ref="D530"/>
    <hyperlink r:id="rId97" ref="D554"/>
    <hyperlink r:id="rId98" ref="D556"/>
    <hyperlink r:id="rId99" ref="D557"/>
    <hyperlink r:id="rId100" ref="D563"/>
    <hyperlink r:id="rId101" ref="D564"/>
    <hyperlink r:id="rId102" ref="D566"/>
    <hyperlink r:id="rId103" ref="D590"/>
    <hyperlink r:id="rId104" ref="D592"/>
    <hyperlink r:id="rId105" ref="D594"/>
    <hyperlink r:id="rId106" ref="D595"/>
    <hyperlink r:id="rId107" ref="D597"/>
    <hyperlink r:id="rId108" ref="D599"/>
    <hyperlink r:id="rId109" ref="D640"/>
    <hyperlink r:id="rId110" ref="D641"/>
    <hyperlink r:id="rId111" ref="D642"/>
    <hyperlink r:id="rId112" ref="D643"/>
    <hyperlink r:id="rId113" ref="D645"/>
    <hyperlink r:id="rId114" ref="D646"/>
    <hyperlink r:id="rId115" ref="D647"/>
    <hyperlink r:id="rId116" ref="D648"/>
    <hyperlink r:id="rId117" ref="D649"/>
    <hyperlink r:id="rId118" ref="D650"/>
    <hyperlink r:id="rId119" ref="D651"/>
    <hyperlink r:id="rId120" ref="D652"/>
    <hyperlink r:id="rId121" ref="C653"/>
    <hyperlink r:id="rId122" ref="D653"/>
    <hyperlink r:id="rId123" ref="D654"/>
    <hyperlink r:id="rId124" ref="D655"/>
    <hyperlink r:id="rId125" ref="D656"/>
    <hyperlink r:id="rId126" ref="D673"/>
    <hyperlink r:id="rId127" ref="D675"/>
    <hyperlink r:id="rId128" ref="D677"/>
    <hyperlink r:id="rId129" ref="D679"/>
    <hyperlink r:id="rId130" ref="D680"/>
    <hyperlink r:id="rId131" ref="D718"/>
    <hyperlink r:id="rId132" ref="D719"/>
    <hyperlink r:id="rId133" ref="D720"/>
    <hyperlink r:id="rId134" ref="D721"/>
    <hyperlink r:id="rId135" ref="D722"/>
    <hyperlink r:id="rId136" ref="D723"/>
    <hyperlink r:id="rId137" ref="D724"/>
    <hyperlink r:id="rId138" ref="D728"/>
    <hyperlink r:id="rId139" ref="D731"/>
    <hyperlink r:id="rId140" ref="D732"/>
    <hyperlink r:id="rId141" ref="D735"/>
    <hyperlink r:id="rId142" ref="D736"/>
    <hyperlink r:id="rId143" ref="D737"/>
    <hyperlink r:id="rId144" ref="D738"/>
    <hyperlink r:id="rId145" ref="D739"/>
    <hyperlink r:id="rId146" ref="D740"/>
    <hyperlink r:id="rId147" ref="D741"/>
    <hyperlink r:id="rId148" ref="D742"/>
    <hyperlink r:id="rId149" ref="E742"/>
    <hyperlink r:id="rId150" ref="D892"/>
    <hyperlink r:id="rId151" ref="D894"/>
    <hyperlink r:id="rId152" ref="D899"/>
    <hyperlink r:id="rId153" ref="D901"/>
    <hyperlink r:id="rId154" ref="D904"/>
  </hyperlinks>
  <drawing r:id="rId155"/>
  <legacyDrawing r:id="rId15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s>
  <sheetData>
    <row r="1">
      <c r="A1" s="1" t="s">
        <v>33</v>
      </c>
    </row>
    <row r="2">
      <c r="A2" s="1" t="s">
        <v>35</v>
      </c>
      <c r="B2" s="1">
        <v>60.0</v>
      </c>
    </row>
    <row r="3">
      <c r="A3" s="1" t="s">
        <v>37</v>
      </c>
      <c r="B3" s="1">
        <v>60.0</v>
      </c>
    </row>
    <row r="4">
      <c r="A4" s="1" t="s">
        <v>39</v>
      </c>
      <c r="B4" s="1">
        <v>60.0</v>
      </c>
    </row>
    <row r="5">
      <c r="A5" s="1" t="s">
        <v>41</v>
      </c>
      <c r="B5" s="1">
        <v>60.0</v>
      </c>
    </row>
    <row r="6">
      <c r="A6" s="1" t="s">
        <v>43</v>
      </c>
      <c r="B6" s="1">
        <v>60.0</v>
      </c>
    </row>
    <row r="7">
      <c r="A7" s="1" t="s">
        <v>45</v>
      </c>
      <c r="B7" s="1">
        <v>60.0</v>
      </c>
    </row>
    <row r="8">
      <c r="A8" s="1" t="s">
        <v>51</v>
      </c>
      <c r="B8" s="1">
        <v>3400.0</v>
      </c>
    </row>
    <row r="9">
      <c r="A9" s="1" t="s">
        <v>58</v>
      </c>
      <c r="B9" s="1">
        <v>90.0</v>
      </c>
    </row>
    <row r="10">
      <c r="A10" s="1" t="s">
        <v>61</v>
      </c>
      <c r="B10" s="1">
        <v>150.0</v>
      </c>
    </row>
    <row r="11">
      <c r="A11" s="1" t="s">
        <v>63</v>
      </c>
      <c r="B11" s="1">
        <v>70.0</v>
      </c>
    </row>
    <row r="12">
      <c r="A12" s="1" t="s">
        <v>66</v>
      </c>
      <c r="B12" s="1">
        <v>90.0</v>
      </c>
    </row>
    <row r="13">
      <c r="A13" s="1" t="s">
        <v>69</v>
      </c>
      <c r="B13" s="1">
        <v>10.0</v>
      </c>
    </row>
    <row r="14">
      <c r="A14" s="1" t="s">
        <v>72</v>
      </c>
      <c r="B14" s="1">
        <v>60.0</v>
      </c>
    </row>
    <row r="15">
      <c r="A15" s="1" t="s">
        <v>75</v>
      </c>
      <c r="B15" s="1">
        <v>150.0</v>
      </c>
    </row>
    <row r="16">
      <c r="A16" s="1" t="s">
        <v>78</v>
      </c>
      <c r="B16" s="1">
        <v>150.0</v>
      </c>
    </row>
    <row r="17">
      <c r="A17" s="1" t="s">
        <v>84</v>
      </c>
      <c r="B17" s="1">
        <v>90.0</v>
      </c>
    </row>
    <row r="18">
      <c r="A18" s="1" t="s">
        <v>90</v>
      </c>
      <c r="B18" s="1">
        <v>90.0</v>
      </c>
    </row>
    <row r="19">
      <c r="A19" s="1" t="s">
        <v>93</v>
      </c>
      <c r="B19" s="1">
        <v>90.0</v>
      </c>
    </row>
    <row r="20">
      <c r="A20" s="1"/>
      <c r="B20" s="1"/>
    </row>
    <row r="21">
      <c r="A21" s="1" t="s">
        <v>100</v>
      </c>
      <c r="B21" s="1">
        <v>90.0</v>
      </c>
    </row>
    <row r="22">
      <c r="A22" s="1" t="s">
        <v>106</v>
      </c>
      <c r="B22" s="1">
        <v>90.0</v>
      </c>
    </row>
    <row r="23">
      <c r="A23" s="1" t="s">
        <v>112</v>
      </c>
      <c r="B23" s="1">
        <v>90.0</v>
      </c>
    </row>
    <row r="24">
      <c r="A24" s="1" t="s">
        <v>114</v>
      </c>
      <c r="B24" s="1">
        <v>90.0</v>
      </c>
    </row>
    <row r="25">
      <c r="A25" s="1" t="s">
        <v>116</v>
      </c>
      <c r="B25" s="1">
        <v>90.0</v>
      </c>
    </row>
    <row r="26">
      <c r="A26" s="1" t="s">
        <v>119</v>
      </c>
      <c r="B26" s="1">
        <v>90.0</v>
      </c>
    </row>
    <row r="27">
      <c r="A27" s="1" t="s">
        <v>124</v>
      </c>
      <c r="B27" s="1">
        <v>90.0</v>
      </c>
    </row>
    <row r="28">
      <c r="A28" s="1" t="s">
        <v>130</v>
      </c>
      <c r="B28" s="1">
        <v>90.0</v>
      </c>
    </row>
    <row r="29">
      <c r="A29" s="1" t="s">
        <v>136</v>
      </c>
      <c r="B29" s="1">
        <v>90.0</v>
      </c>
    </row>
    <row r="30">
      <c r="A30" s="1" t="s">
        <v>142</v>
      </c>
      <c r="B30" s="1">
        <v>90.0</v>
      </c>
    </row>
    <row r="31">
      <c r="A31" s="1" t="s">
        <v>143</v>
      </c>
      <c r="B31" s="1">
        <v>60.0</v>
      </c>
    </row>
    <row r="32">
      <c r="A32" s="1" t="s">
        <v>149</v>
      </c>
      <c r="B32" s="1">
        <v>60.0</v>
      </c>
    </row>
    <row r="33">
      <c r="A33" s="1"/>
      <c r="B33" s="1"/>
    </row>
    <row r="34">
      <c r="A34" s="1" t="s">
        <v>157</v>
      </c>
      <c r="B34" s="1">
        <v>90.0</v>
      </c>
    </row>
    <row r="35">
      <c r="A35" s="1" t="s">
        <v>159</v>
      </c>
      <c r="B35" s="1">
        <v>10.0</v>
      </c>
    </row>
    <row r="36">
      <c r="A36" s="1" t="s">
        <v>161</v>
      </c>
      <c r="B36" s="1">
        <v>80.0</v>
      </c>
    </row>
    <row r="37">
      <c r="A37" s="1" t="s">
        <v>163</v>
      </c>
      <c r="B37" s="1">
        <v>80.0</v>
      </c>
    </row>
    <row r="38">
      <c r="A38" s="1" t="s">
        <v>165</v>
      </c>
      <c r="B38" s="1">
        <v>70.0</v>
      </c>
    </row>
    <row r="39">
      <c r="A39" s="1" t="s">
        <v>167</v>
      </c>
      <c r="B39" s="1">
        <v>80.0</v>
      </c>
    </row>
    <row r="40">
      <c r="A40" s="1" t="s">
        <v>169</v>
      </c>
      <c r="B40" s="1">
        <v>80.0</v>
      </c>
    </row>
    <row r="41">
      <c r="A41" s="1" t="s">
        <v>171</v>
      </c>
      <c r="B41" s="1">
        <v>80.0</v>
      </c>
    </row>
    <row r="42">
      <c r="A42" s="1" t="s">
        <v>173</v>
      </c>
      <c r="B42" s="1">
        <v>80.0</v>
      </c>
    </row>
    <row r="43">
      <c r="A43" s="1" t="s">
        <v>175</v>
      </c>
      <c r="B43" s="1">
        <v>80.0</v>
      </c>
    </row>
    <row r="44">
      <c r="A44" s="1" t="s">
        <v>177</v>
      </c>
      <c r="B44" s="1">
        <v>80.0</v>
      </c>
    </row>
    <row r="45">
      <c r="A45" s="1" t="s">
        <v>179</v>
      </c>
      <c r="B45" s="1">
        <v>80.0</v>
      </c>
    </row>
    <row r="46">
      <c r="A46" s="1" t="s">
        <v>181</v>
      </c>
      <c r="B46" s="1">
        <v>80.0</v>
      </c>
    </row>
    <row r="47">
      <c r="A47" s="1" t="s">
        <v>183</v>
      </c>
      <c r="B47" s="1">
        <v>80.0</v>
      </c>
    </row>
    <row r="48">
      <c r="A48" s="1" t="s">
        <v>185</v>
      </c>
      <c r="B48" s="1">
        <v>80.0</v>
      </c>
    </row>
    <row r="49">
      <c r="A49" s="1" t="s">
        <v>187</v>
      </c>
      <c r="B49" s="1">
        <v>80.0</v>
      </c>
    </row>
    <row r="50">
      <c r="A50" s="1" t="s">
        <v>189</v>
      </c>
      <c r="B50" s="1">
        <v>80.0</v>
      </c>
    </row>
    <row r="51">
      <c r="A51" s="1" t="s">
        <v>191</v>
      </c>
      <c r="B51" s="1">
        <v>70.0</v>
      </c>
    </row>
    <row r="52">
      <c r="A52" s="1" t="s">
        <v>193</v>
      </c>
      <c r="B52" s="1">
        <v>80.0</v>
      </c>
    </row>
    <row r="53">
      <c r="A53" s="1" t="s">
        <v>195</v>
      </c>
      <c r="B53" s="1">
        <v>80.0</v>
      </c>
    </row>
    <row r="54">
      <c r="A54" s="1" t="s">
        <v>197</v>
      </c>
      <c r="B54" s="1">
        <v>80.0</v>
      </c>
    </row>
    <row r="55">
      <c r="A55" s="1" t="s">
        <v>199</v>
      </c>
      <c r="B55" s="1">
        <v>80.0</v>
      </c>
    </row>
    <row r="56">
      <c r="A56" s="1" t="s">
        <v>201</v>
      </c>
      <c r="B56" s="1">
        <v>80.0</v>
      </c>
    </row>
    <row r="57">
      <c r="A57" s="1" t="s">
        <v>203</v>
      </c>
      <c r="B57" s="1">
        <v>80.0</v>
      </c>
    </row>
    <row r="58">
      <c r="A58" s="1" t="s">
        <v>205</v>
      </c>
      <c r="B58" s="1">
        <v>80.0</v>
      </c>
    </row>
    <row r="59">
      <c r="A59" s="1" t="s">
        <v>207</v>
      </c>
      <c r="B59" s="1">
        <v>90.0</v>
      </c>
    </row>
    <row r="60">
      <c r="A60" s="1" t="s">
        <v>209</v>
      </c>
      <c r="B60" s="1">
        <v>70.0</v>
      </c>
    </row>
    <row r="61">
      <c r="A61" s="1" t="s">
        <v>211</v>
      </c>
      <c r="B61" s="1">
        <v>80.0</v>
      </c>
    </row>
    <row r="62">
      <c r="A62" s="1" t="s">
        <v>213</v>
      </c>
      <c r="B62" s="1">
        <v>80.0</v>
      </c>
    </row>
    <row r="63">
      <c r="A63" s="1" t="s">
        <v>215</v>
      </c>
      <c r="B63" s="1">
        <v>80.0</v>
      </c>
    </row>
    <row r="64">
      <c r="A64" s="1" t="s">
        <v>217</v>
      </c>
      <c r="B64" s="1">
        <v>80.0</v>
      </c>
    </row>
    <row r="65">
      <c r="A65" s="1" t="s">
        <v>219</v>
      </c>
      <c r="B65" s="1">
        <v>80.0</v>
      </c>
    </row>
    <row r="66">
      <c r="A66" s="1" t="s">
        <v>221</v>
      </c>
      <c r="B66" s="1">
        <v>80.0</v>
      </c>
    </row>
    <row r="67">
      <c r="A67" s="1" t="s">
        <v>223</v>
      </c>
      <c r="B67" s="1">
        <v>80.0</v>
      </c>
    </row>
    <row r="68">
      <c r="A68" s="1" t="s">
        <v>225</v>
      </c>
      <c r="B68" s="1">
        <v>70.0</v>
      </c>
    </row>
    <row r="69">
      <c r="A69" s="1" t="s">
        <v>227</v>
      </c>
      <c r="B69" s="1">
        <v>80.0</v>
      </c>
    </row>
    <row r="70">
      <c r="A70" s="1" t="s">
        <v>229</v>
      </c>
      <c r="B70" s="1">
        <v>80.0</v>
      </c>
    </row>
    <row r="71">
      <c r="A71" s="1" t="s">
        <v>231</v>
      </c>
      <c r="B71" s="1">
        <v>80.0</v>
      </c>
    </row>
    <row r="72">
      <c r="A72" s="1" t="s">
        <v>233</v>
      </c>
      <c r="B72" s="1">
        <v>80.0</v>
      </c>
    </row>
    <row r="73">
      <c r="A73" s="1" t="s">
        <v>235</v>
      </c>
      <c r="B73" s="1">
        <v>80.0</v>
      </c>
    </row>
    <row r="74">
      <c r="A74" s="1" t="s">
        <v>237</v>
      </c>
      <c r="B74" s="1">
        <v>80.0</v>
      </c>
    </row>
    <row r="75">
      <c r="A75" s="1" t="s">
        <v>239</v>
      </c>
      <c r="B75" s="1">
        <v>80.0</v>
      </c>
    </row>
    <row r="76">
      <c r="A76" s="1" t="s">
        <v>241</v>
      </c>
      <c r="B76" s="1">
        <v>70.0</v>
      </c>
    </row>
    <row r="77">
      <c r="A77" s="1" t="s">
        <v>243</v>
      </c>
      <c r="B77" s="1">
        <v>80.0</v>
      </c>
    </row>
    <row r="78">
      <c r="A78" s="1" t="s">
        <v>245</v>
      </c>
      <c r="B78" s="1">
        <v>80.0</v>
      </c>
    </row>
    <row r="79">
      <c r="A79" s="1" t="s">
        <v>247</v>
      </c>
      <c r="B79" s="1">
        <v>80.0</v>
      </c>
    </row>
    <row r="80">
      <c r="A80" s="1" t="s">
        <v>249</v>
      </c>
      <c r="B80" s="1">
        <v>80.0</v>
      </c>
    </row>
    <row r="81">
      <c r="A81" s="1" t="s">
        <v>251</v>
      </c>
      <c r="B81" s="1">
        <v>80.0</v>
      </c>
    </row>
    <row r="82">
      <c r="A82" s="1" t="s">
        <v>253</v>
      </c>
      <c r="B82" s="1">
        <v>80.0</v>
      </c>
    </row>
    <row r="83">
      <c r="A83" s="1" t="s">
        <v>255</v>
      </c>
      <c r="B83" s="1">
        <v>80.0</v>
      </c>
    </row>
    <row r="84">
      <c r="A84" s="1" t="s">
        <v>257</v>
      </c>
      <c r="B84" s="1">
        <v>90.0</v>
      </c>
    </row>
    <row r="85">
      <c r="A85" s="1" t="s">
        <v>259</v>
      </c>
      <c r="B85" s="1">
        <v>70.0</v>
      </c>
    </row>
    <row r="86">
      <c r="A86" s="1" t="s">
        <v>261</v>
      </c>
      <c r="B86" s="1">
        <v>70.0</v>
      </c>
    </row>
    <row r="87">
      <c r="A87" s="1" t="s">
        <v>263</v>
      </c>
      <c r="B87" s="1">
        <v>90.0</v>
      </c>
    </row>
    <row r="88">
      <c r="A88" s="1" t="s">
        <v>265</v>
      </c>
      <c r="B88" s="1">
        <v>70.0</v>
      </c>
    </row>
    <row r="89">
      <c r="A89" s="1" t="s">
        <v>267</v>
      </c>
      <c r="B89" s="1">
        <v>80.0</v>
      </c>
    </row>
    <row r="90">
      <c r="A90" s="1" t="s">
        <v>269</v>
      </c>
      <c r="B90" s="1">
        <v>80.0</v>
      </c>
    </row>
    <row r="91">
      <c r="A91" s="1" t="s">
        <v>271</v>
      </c>
      <c r="B91" s="1">
        <v>80.0</v>
      </c>
    </row>
    <row r="92">
      <c r="A92" s="1" t="s">
        <v>273</v>
      </c>
      <c r="B92" s="1">
        <v>80.0</v>
      </c>
    </row>
    <row r="93">
      <c r="A93" s="1" t="s">
        <v>275</v>
      </c>
      <c r="B93" s="1">
        <v>80.0</v>
      </c>
    </row>
    <row r="94">
      <c r="A94" s="1" t="s">
        <v>277</v>
      </c>
      <c r="B94" s="1">
        <v>80.0</v>
      </c>
    </row>
    <row r="95">
      <c r="A95" s="1" t="s">
        <v>279</v>
      </c>
      <c r="B95" s="1">
        <v>80.0</v>
      </c>
    </row>
    <row r="96">
      <c r="A96" s="1" t="s">
        <v>281</v>
      </c>
      <c r="B96" s="1">
        <v>80.0</v>
      </c>
    </row>
    <row r="97">
      <c r="A97" s="1" t="s">
        <v>283</v>
      </c>
      <c r="B97" s="1">
        <v>80.0</v>
      </c>
    </row>
    <row r="98">
      <c r="A98" s="1" t="s">
        <v>287</v>
      </c>
      <c r="B98" s="1">
        <v>60.0</v>
      </c>
    </row>
    <row r="99">
      <c r="A99" s="1" t="s">
        <v>290</v>
      </c>
      <c r="B99" s="1">
        <v>60.0</v>
      </c>
    </row>
    <row r="100">
      <c r="A100" s="1" t="s">
        <v>294</v>
      </c>
      <c r="B100" s="1">
        <v>90.0</v>
      </c>
    </row>
    <row r="101">
      <c r="A101" s="1" t="s">
        <v>296</v>
      </c>
      <c r="B101" s="1">
        <v>90.0</v>
      </c>
    </row>
    <row r="102">
      <c r="A102" s="1" t="s">
        <v>299</v>
      </c>
      <c r="B102" s="1">
        <v>60.0</v>
      </c>
    </row>
    <row r="103">
      <c r="A103" s="1" t="s">
        <v>301</v>
      </c>
      <c r="B103" s="1">
        <v>60.0</v>
      </c>
    </row>
    <row r="104">
      <c r="A104" s="1" t="s">
        <v>303</v>
      </c>
      <c r="B104" s="1">
        <v>60.0</v>
      </c>
    </row>
    <row r="105">
      <c r="A105" s="1" t="s">
        <v>306</v>
      </c>
      <c r="B105" s="1">
        <v>60.0</v>
      </c>
    </row>
    <row r="106">
      <c r="A106" s="1" t="s">
        <v>309</v>
      </c>
      <c r="B106" s="1">
        <v>60.0</v>
      </c>
    </row>
    <row r="107">
      <c r="A107" s="1" t="s">
        <v>312</v>
      </c>
      <c r="B107" s="1">
        <v>10.0</v>
      </c>
    </row>
    <row r="108">
      <c r="A108" s="1" t="s">
        <v>315</v>
      </c>
      <c r="B108" s="1">
        <v>60.0</v>
      </c>
    </row>
    <row r="109">
      <c r="A109" s="1" t="s">
        <v>318</v>
      </c>
    </row>
    <row r="110">
      <c r="A110" s="1" t="s">
        <v>321</v>
      </c>
      <c r="B110" s="1">
        <v>60.0</v>
      </c>
    </row>
    <row r="111">
      <c r="A111" s="1" t="s">
        <v>324</v>
      </c>
      <c r="B111" s="1">
        <v>60.0</v>
      </c>
    </row>
    <row r="112">
      <c r="A112" s="1" t="s">
        <v>327</v>
      </c>
      <c r="B112" s="1">
        <v>60.0</v>
      </c>
    </row>
    <row r="113">
      <c r="A113" s="1" t="s">
        <v>330</v>
      </c>
      <c r="B113" s="1">
        <v>90.0</v>
      </c>
    </row>
    <row r="114">
      <c r="A114" s="1" t="s">
        <v>334</v>
      </c>
      <c r="B114" s="1">
        <v>90.0</v>
      </c>
    </row>
    <row r="115">
      <c r="A115" s="1" t="s">
        <v>337</v>
      </c>
      <c r="B115" s="1">
        <v>60.0</v>
      </c>
    </row>
    <row r="116">
      <c r="A116" s="1" t="s">
        <v>340</v>
      </c>
      <c r="B116" s="1">
        <v>10.0</v>
      </c>
    </row>
    <row r="117">
      <c r="A117" s="1" t="s">
        <v>343</v>
      </c>
      <c r="B117" s="1">
        <v>10.0</v>
      </c>
    </row>
    <row r="118">
      <c r="A118" s="1" t="s">
        <v>346</v>
      </c>
      <c r="B118" s="1">
        <v>150.0</v>
      </c>
    </row>
    <row r="119">
      <c r="A119" s="1" t="s">
        <v>349</v>
      </c>
      <c r="B119" s="1">
        <v>150.0</v>
      </c>
    </row>
    <row r="120">
      <c r="A120" s="1" t="s">
        <v>352</v>
      </c>
      <c r="B120" s="1">
        <v>150.0</v>
      </c>
    </row>
    <row r="121">
      <c r="A121" s="1" t="s">
        <v>355</v>
      </c>
      <c r="B121" s="1">
        <v>150.0</v>
      </c>
    </row>
    <row r="122">
      <c r="A122" s="1" t="s">
        <v>361</v>
      </c>
      <c r="B122" s="1">
        <v>90.0</v>
      </c>
    </row>
    <row r="123">
      <c r="A123" s="1" t="s">
        <v>367</v>
      </c>
      <c r="B123" s="1">
        <v>90.0</v>
      </c>
    </row>
    <row r="124">
      <c r="A124" s="1" t="s">
        <v>369</v>
      </c>
      <c r="B124" s="1">
        <v>70.0</v>
      </c>
    </row>
    <row r="125">
      <c r="A125" s="1" t="s">
        <v>372</v>
      </c>
      <c r="B125" s="1">
        <v>10.0</v>
      </c>
    </row>
    <row r="126">
      <c r="A126" s="1" t="s">
        <v>375</v>
      </c>
      <c r="B126" s="1">
        <v>10.0</v>
      </c>
    </row>
    <row r="127">
      <c r="A127" s="1" t="s">
        <v>377</v>
      </c>
      <c r="B127" s="1">
        <v>70.0</v>
      </c>
    </row>
    <row r="128">
      <c r="A128" s="1" t="s">
        <v>380</v>
      </c>
      <c r="B128" s="1">
        <v>10.0</v>
      </c>
    </row>
    <row r="129">
      <c r="A129" s="1" t="s">
        <v>383</v>
      </c>
      <c r="B129" s="1">
        <v>60.0</v>
      </c>
    </row>
    <row r="130">
      <c r="A130" s="1" t="s">
        <v>385</v>
      </c>
      <c r="B130" s="1">
        <v>60.0</v>
      </c>
    </row>
    <row r="131">
      <c r="A131" s="1" t="s">
        <v>389</v>
      </c>
      <c r="B131" s="1">
        <v>10.0</v>
      </c>
    </row>
    <row r="132">
      <c r="A132" s="1" t="s">
        <v>392</v>
      </c>
      <c r="B132" s="1">
        <v>10.0</v>
      </c>
    </row>
    <row r="133">
      <c r="A133" s="1" t="s">
        <v>395</v>
      </c>
      <c r="B133" s="1">
        <v>60.0</v>
      </c>
    </row>
    <row r="134">
      <c r="A134" s="1" t="s">
        <v>398</v>
      </c>
      <c r="B134" s="1">
        <v>10.0</v>
      </c>
    </row>
    <row r="135">
      <c r="A135" s="1" t="s">
        <v>401</v>
      </c>
      <c r="B135" s="1">
        <v>10.0</v>
      </c>
    </row>
    <row r="136">
      <c r="A136" s="1" t="s">
        <v>403</v>
      </c>
      <c r="B136" s="1">
        <v>10.0</v>
      </c>
    </row>
    <row r="137">
      <c r="A137" s="1" t="s">
        <v>406</v>
      </c>
      <c r="B137" s="1">
        <v>10.0</v>
      </c>
    </row>
    <row r="138">
      <c r="A138" s="1" t="s">
        <v>409</v>
      </c>
      <c r="B138" s="1">
        <v>70.0</v>
      </c>
    </row>
    <row r="139">
      <c r="A139" s="1" t="s">
        <v>412</v>
      </c>
      <c r="B139" s="1">
        <v>60.0</v>
      </c>
    </row>
    <row r="140">
      <c r="A140" s="1" t="s">
        <v>415</v>
      </c>
      <c r="B140" s="1">
        <v>10.0</v>
      </c>
    </row>
    <row r="141">
      <c r="A141" s="1" t="s">
        <v>418</v>
      </c>
      <c r="B141" s="1">
        <v>10.0</v>
      </c>
    </row>
    <row r="142">
      <c r="A142" s="1" t="s">
        <v>421</v>
      </c>
      <c r="B142" s="1">
        <v>10.0</v>
      </c>
    </row>
    <row r="143">
      <c r="A143" s="1" t="s">
        <v>423</v>
      </c>
      <c r="B143" s="1">
        <v>70.0</v>
      </c>
    </row>
    <row r="144">
      <c r="A144" s="1" t="s">
        <v>426</v>
      </c>
      <c r="B144" s="1">
        <v>10.0</v>
      </c>
    </row>
    <row r="145">
      <c r="A145" s="1" t="s">
        <v>429</v>
      </c>
      <c r="B145" s="1">
        <v>70.0</v>
      </c>
    </row>
    <row r="146">
      <c r="A146" s="1" t="s">
        <v>432</v>
      </c>
      <c r="B146" s="1">
        <v>10.0</v>
      </c>
    </row>
    <row r="147">
      <c r="A147" s="1" t="s">
        <v>438</v>
      </c>
      <c r="B147" s="1">
        <v>90.0</v>
      </c>
    </row>
    <row r="148">
      <c r="A148" s="1" t="s">
        <v>442</v>
      </c>
      <c r="B148" s="1">
        <v>90.0</v>
      </c>
    </row>
    <row r="149">
      <c r="A149" s="1" t="s">
        <v>445</v>
      </c>
      <c r="B149" s="1">
        <v>10.0</v>
      </c>
    </row>
    <row r="150">
      <c r="A150" s="1" t="s">
        <v>448</v>
      </c>
      <c r="B150" s="1">
        <v>10.0</v>
      </c>
    </row>
    <row r="151">
      <c r="A151" s="1" t="s">
        <v>450</v>
      </c>
      <c r="B151" s="1">
        <v>60.0</v>
      </c>
    </row>
    <row r="152">
      <c r="A152" s="1" t="s">
        <v>453</v>
      </c>
      <c r="B152" s="1">
        <v>10.0</v>
      </c>
    </row>
    <row r="153">
      <c r="A153" s="1" t="s">
        <v>456</v>
      </c>
      <c r="B153" s="1">
        <v>60.0</v>
      </c>
    </row>
    <row r="154">
      <c r="A154" s="1" t="s">
        <v>459</v>
      </c>
      <c r="B154" s="1">
        <v>60.0</v>
      </c>
    </row>
    <row r="155">
      <c r="A155" s="1" t="s">
        <v>462</v>
      </c>
      <c r="B155" s="1">
        <v>10.0</v>
      </c>
    </row>
    <row r="156">
      <c r="A156" s="1" t="s">
        <v>465</v>
      </c>
      <c r="B156" s="1">
        <v>90.0</v>
      </c>
    </row>
    <row r="157">
      <c r="A157" s="1" t="s">
        <v>468</v>
      </c>
      <c r="B157" s="1">
        <v>10.0</v>
      </c>
    </row>
    <row r="158">
      <c r="A158" s="1" t="s">
        <v>471</v>
      </c>
    </row>
    <row r="159">
      <c r="A159" s="1" t="s">
        <v>476</v>
      </c>
      <c r="B159" s="1">
        <v>90.0</v>
      </c>
    </row>
    <row r="160">
      <c r="A160" s="1" t="s">
        <v>479</v>
      </c>
    </row>
    <row r="161">
      <c r="A161" s="1" t="s">
        <v>482</v>
      </c>
      <c r="B161" s="1">
        <v>10.0</v>
      </c>
    </row>
    <row r="162">
      <c r="A162" s="1" t="s">
        <v>2236</v>
      </c>
      <c r="B162" s="1">
        <v>10.0</v>
      </c>
    </row>
    <row r="163">
      <c r="A163" s="1" t="s">
        <v>2237</v>
      </c>
      <c r="B163" s="1">
        <v>10.0</v>
      </c>
    </row>
    <row r="164">
      <c r="A164" s="1" t="s">
        <v>484</v>
      </c>
      <c r="B164" s="1">
        <v>10.0</v>
      </c>
    </row>
    <row r="165">
      <c r="A165" s="1" t="s">
        <v>488</v>
      </c>
      <c r="B165" s="1">
        <v>3100.0</v>
      </c>
    </row>
    <row r="166">
      <c r="A166" s="1" t="s">
        <v>491</v>
      </c>
      <c r="B166" s="1">
        <v>2600.0</v>
      </c>
    </row>
    <row r="167">
      <c r="A167" s="1" t="s">
        <v>494</v>
      </c>
      <c r="B167" s="1">
        <v>150.0</v>
      </c>
    </row>
    <row r="168">
      <c r="A168" s="1" t="s">
        <v>497</v>
      </c>
      <c r="B168" s="1">
        <v>1300.0</v>
      </c>
    </row>
    <row r="169">
      <c r="A169" s="1" t="s">
        <v>500</v>
      </c>
      <c r="B169" s="1">
        <v>200.0</v>
      </c>
    </row>
    <row r="170">
      <c r="A170" s="1" t="s">
        <v>503</v>
      </c>
      <c r="B170" s="1">
        <v>200.0</v>
      </c>
    </row>
    <row r="171">
      <c r="A171" s="1" t="s">
        <v>506</v>
      </c>
      <c r="B171" s="1">
        <v>200.0</v>
      </c>
    </row>
    <row r="172">
      <c r="A172" s="1" t="s">
        <v>509</v>
      </c>
      <c r="B172" s="1">
        <v>1700.0</v>
      </c>
    </row>
    <row r="173">
      <c r="A173" s="1" t="s">
        <v>512</v>
      </c>
      <c r="B173" s="1">
        <v>150.0</v>
      </c>
    </row>
    <row r="174">
      <c r="A174" s="1" t="s">
        <v>515</v>
      </c>
      <c r="B174" s="1">
        <v>100.0</v>
      </c>
    </row>
    <row r="175">
      <c r="A175" s="1" t="s">
        <v>518</v>
      </c>
      <c r="B175" s="1">
        <v>200.0</v>
      </c>
    </row>
    <row r="176">
      <c r="A176" s="1" t="s">
        <v>520</v>
      </c>
      <c r="B176" s="1">
        <v>200.0</v>
      </c>
    </row>
    <row r="177">
      <c r="A177" s="1" t="s">
        <v>522</v>
      </c>
      <c r="B177" s="1">
        <v>200.0</v>
      </c>
    </row>
    <row r="178">
      <c r="A178" s="1" t="s">
        <v>525</v>
      </c>
      <c r="B178" s="1">
        <v>200.0</v>
      </c>
    </row>
    <row r="179">
      <c r="A179" s="1" t="s">
        <v>528</v>
      </c>
      <c r="B179" s="1">
        <v>200.0</v>
      </c>
    </row>
    <row r="180">
      <c r="A180" s="1" t="s">
        <v>531</v>
      </c>
      <c r="B180" s="1">
        <v>150.0</v>
      </c>
    </row>
    <row r="181">
      <c r="A181" s="1" t="s">
        <v>533</v>
      </c>
      <c r="B181" s="1">
        <v>150.0</v>
      </c>
    </row>
    <row r="182">
      <c r="A182" s="1" t="s">
        <v>535</v>
      </c>
      <c r="B182" s="1">
        <v>150.0</v>
      </c>
    </row>
    <row r="183">
      <c r="A183" s="1" t="s">
        <v>537</v>
      </c>
      <c r="B183" s="1">
        <v>150.0</v>
      </c>
    </row>
    <row r="184">
      <c r="A184" s="1" t="s">
        <v>539</v>
      </c>
      <c r="B184" s="1">
        <v>150.0</v>
      </c>
    </row>
    <row r="185">
      <c r="A185" s="1" t="s">
        <v>541</v>
      </c>
      <c r="B185" s="1">
        <v>150.0</v>
      </c>
    </row>
    <row r="186">
      <c r="A186" s="1" t="s">
        <v>544</v>
      </c>
      <c r="B186" s="1">
        <v>150.0</v>
      </c>
    </row>
    <row r="187">
      <c r="A187" s="1" t="s">
        <v>546</v>
      </c>
      <c r="B187" s="1">
        <v>150.0</v>
      </c>
    </row>
    <row r="188">
      <c r="A188" s="1" t="s">
        <v>548</v>
      </c>
      <c r="B188" s="1">
        <v>150.0</v>
      </c>
    </row>
    <row r="189">
      <c r="A189" s="1" t="s">
        <v>550</v>
      </c>
      <c r="B189" s="1">
        <v>150.0</v>
      </c>
    </row>
    <row r="190">
      <c r="A190" s="1" t="s">
        <v>552</v>
      </c>
      <c r="B190" s="1">
        <v>150.0</v>
      </c>
    </row>
    <row r="191">
      <c r="A191" s="1" t="s">
        <v>554</v>
      </c>
      <c r="B191" s="1">
        <v>150.0</v>
      </c>
    </row>
    <row r="192">
      <c r="A192" s="1" t="s">
        <v>557</v>
      </c>
      <c r="B192" s="1">
        <v>900.0</v>
      </c>
    </row>
    <row r="193">
      <c r="A193" s="1" t="s">
        <v>1810</v>
      </c>
      <c r="B193" s="1">
        <v>150.0</v>
      </c>
    </row>
    <row r="194">
      <c r="A194" s="1" t="s">
        <v>1807</v>
      </c>
      <c r="B194" s="1">
        <v>150.0</v>
      </c>
    </row>
    <row r="195">
      <c r="A195" s="1" t="s">
        <v>560</v>
      </c>
      <c r="B195" s="1">
        <v>150.0</v>
      </c>
    </row>
    <row r="196">
      <c r="A196" s="1" t="s">
        <v>562</v>
      </c>
      <c r="B196" s="1">
        <v>150.0</v>
      </c>
    </row>
    <row r="197">
      <c r="A197" s="1" t="s">
        <v>564</v>
      </c>
      <c r="B197" s="1">
        <v>150.0</v>
      </c>
    </row>
    <row r="198">
      <c r="A198" s="1" t="s">
        <v>566</v>
      </c>
      <c r="B198" s="1">
        <v>150.0</v>
      </c>
    </row>
    <row r="199">
      <c r="A199" s="1" t="s">
        <v>568</v>
      </c>
      <c r="B199" s="1">
        <v>150.0</v>
      </c>
    </row>
    <row r="200">
      <c r="A200" s="1" t="s">
        <v>570</v>
      </c>
      <c r="B200" s="1">
        <v>150.0</v>
      </c>
    </row>
    <row r="201">
      <c r="A201" s="1" t="s">
        <v>573</v>
      </c>
      <c r="B201" s="1">
        <v>150.0</v>
      </c>
    </row>
    <row r="202">
      <c r="A202" s="1" t="s">
        <v>576</v>
      </c>
      <c r="B202" s="1">
        <v>300.0</v>
      </c>
    </row>
    <row r="203">
      <c r="A203" s="1" t="s">
        <v>578</v>
      </c>
      <c r="B203" s="1">
        <v>300.0</v>
      </c>
    </row>
    <row r="204">
      <c r="A204" s="1" t="s">
        <v>580</v>
      </c>
      <c r="B204" s="1">
        <v>250.0</v>
      </c>
    </row>
    <row r="205">
      <c r="A205" s="1" t="s">
        <v>582</v>
      </c>
      <c r="B205" s="1">
        <v>250.0</v>
      </c>
    </row>
    <row r="207">
      <c r="A207" s="1" t="s">
        <v>585</v>
      </c>
      <c r="B207" s="1">
        <v>250.0</v>
      </c>
    </row>
    <row r="208">
      <c r="A208" s="1" t="s">
        <v>588</v>
      </c>
      <c r="B208" s="1">
        <v>250.0</v>
      </c>
    </row>
    <row r="209">
      <c r="A209" s="1" t="s">
        <v>590</v>
      </c>
      <c r="B209" s="1">
        <v>250.0</v>
      </c>
    </row>
    <row r="210">
      <c r="A210" s="1" t="s">
        <v>593</v>
      </c>
      <c r="B210" s="1">
        <v>250.0</v>
      </c>
    </row>
    <row r="211">
      <c r="A211" s="1" t="s">
        <v>595</v>
      </c>
      <c r="B211" s="1">
        <v>200.0</v>
      </c>
    </row>
    <row r="212">
      <c r="A212" s="1" t="s">
        <v>597</v>
      </c>
      <c r="B212" s="1">
        <v>250.0</v>
      </c>
    </row>
    <row r="213">
      <c r="A213" s="1" t="s">
        <v>599</v>
      </c>
      <c r="B213" s="1">
        <v>200.0</v>
      </c>
    </row>
    <row r="214">
      <c r="A214" s="1" t="s">
        <v>602</v>
      </c>
      <c r="B214" s="1">
        <v>900.0</v>
      </c>
    </row>
    <row r="215">
      <c r="A215" s="1" t="s">
        <v>605</v>
      </c>
      <c r="B215" s="1">
        <v>900.0</v>
      </c>
    </row>
    <row r="216">
      <c r="A216" s="1" t="s">
        <v>607</v>
      </c>
      <c r="B216" s="1">
        <v>800.0</v>
      </c>
    </row>
    <row r="217">
      <c r="A217" s="1" t="s">
        <v>610</v>
      </c>
      <c r="B217" s="1">
        <v>150.0</v>
      </c>
    </row>
    <row r="218">
      <c r="A218" s="1" t="s">
        <v>612</v>
      </c>
      <c r="B218" s="1">
        <v>150.0</v>
      </c>
    </row>
    <row r="219">
      <c r="A219" s="1" t="s">
        <v>614</v>
      </c>
      <c r="B219" s="1">
        <v>150.0</v>
      </c>
    </row>
    <row r="220">
      <c r="A220" s="1" t="s">
        <v>616</v>
      </c>
      <c r="B220" s="1">
        <v>150.0</v>
      </c>
    </row>
    <row r="221">
      <c r="A221" s="1" t="s">
        <v>618</v>
      </c>
      <c r="B221" s="1">
        <v>150.0</v>
      </c>
    </row>
    <row r="222">
      <c r="A222" s="1" t="s">
        <v>620</v>
      </c>
      <c r="B222" s="1">
        <v>150.0</v>
      </c>
    </row>
    <row r="223">
      <c r="A223" s="1" t="s">
        <v>623</v>
      </c>
      <c r="B223" s="1">
        <v>150.0</v>
      </c>
    </row>
    <row r="224">
      <c r="A224" s="1" t="s">
        <v>625</v>
      </c>
      <c r="B224" s="1">
        <v>150.0</v>
      </c>
    </row>
    <row r="225">
      <c r="A225" s="1" t="s">
        <v>628</v>
      </c>
      <c r="B225" s="1">
        <v>150.0</v>
      </c>
    </row>
    <row r="226">
      <c r="A226" s="1" t="s">
        <v>630</v>
      </c>
      <c r="B226" s="1">
        <v>150.0</v>
      </c>
    </row>
    <row r="227">
      <c r="A227" s="1" t="s">
        <v>633</v>
      </c>
      <c r="B227" s="1">
        <v>150.0</v>
      </c>
    </row>
    <row r="228">
      <c r="A228" s="1" t="s">
        <v>635</v>
      </c>
      <c r="B228" s="1">
        <v>150.0</v>
      </c>
    </row>
    <row r="229">
      <c r="A229" s="1" t="s">
        <v>638</v>
      </c>
      <c r="B229" s="1">
        <v>600.0</v>
      </c>
    </row>
    <row r="230">
      <c r="A230" s="1" t="s">
        <v>640</v>
      </c>
      <c r="B230" s="1">
        <v>600.0</v>
      </c>
    </row>
    <row r="231">
      <c r="A231" s="1" t="s">
        <v>643</v>
      </c>
      <c r="B231" s="1">
        <v>150.0</v>
      </c>
    </row>
    <row r="232">
      <c r="A232" s="1" t="s">
        <v>645</v>
      </c>
      <c r="B232" s="1">
        <v>150.0</v>
      </c>
    </row>
    <row r="233">
      <c r="A233" s="1" t="s">
        <v>647</v>
      </c>
      <c r="B233" s="1">
        <v>150.0</v>
      </c>
    </row>
    <row r="234">
      <c r="A234" s="1" t="s">
        <v>649</v>
      </c>
      <c r="B234" s="1">
        <v>150.0</v>
      </c>
    </row>
    <row r="235">
      <c r="A235" s="1" t="s">
        <v>651</v>
      </c>
      <c r="B235" s="1">
        <v>150.0</v>
      </c>
    </row>
    <row r="236">
      <c r="A236" s="1" t="s">
        <v>653</v>
      </c>
      <c r="B236" s="1">
        <v>150.0</v>
      </c>
    </row>
    <row r="237">
      <c r="A237" s="1" t="s">
        <v>656</v>
      </c>
      <c r="B237" s="1">
        <v>200.0</v>
      </c>
    </row>
    <row r="238">
      <c r="A238" s="1" t="s">
        <v>658</v>
      </c>
      <c r="B238" s="1">
        <v>200.0</v>
      </c>
    </row>
    <row r="239">
      <c r="A239" s="1" t="s">
        <v>660</v>
      </c>
      <c r="B239" s="1">
        <v>200.0</v>
      </c>
    </row>
    <row r="240">
      <c r="A240" s="1" t="s">
        <v>662</v>
      </c>
      <c r="B240" s="1">
        <v>200.0</v>
      </c>
    </row>
    <row r="241">
      <c r="A241" s="1" t="s">
        <v>664</v>
      </c>
      <c r="B241" s="1">
        <v>200.0</v>
      </c>
    </row>
    <row r="242">
      <c r="A242" s="1" t="s">
        <v>666</v>
      </c>
      <c r="B242" s="1">
        <v>200.0</v>
      </c>
    </row>
    <row r="243">
      <c r="A243" s="1" t="s">
        <v>669</v>
      </c>
      <c r="B243" s="1">
        <v>150.0</v>
      </c>
    </row>
    <row r="244">
      <c r="A244" s="1" t="s">
        <v>671</v>
      </c>
      <c r="B244" s="1">
        <v>150.0</v>
      </c>
    </row>
    <row r="245">
      <c r="A245" s="1" t="s">
        <v>673</v>
      </c>
      <c r="B245" s="1">
        <v>150.0</v>
      </c>
    </row>
    <row r="246">
      <c r="A246" s="1" t="s">
        <v>675</v>
      </c>
      <c r="B246" s="1">
        <v>150.0</v>
      </c>
    </row>
    <row r="247">
      <c r="A247" s="1" t="s">
        <v>677</v>
      </c>
      <c r="B247" s="1">
        <v>150.0</v>
      </c>
    </row>
    <row r="248">
      <c r="A248" s="1" t="s">
        <v>679</v>
      </c>
      <c r="B248" s="1">
        <v>150.0</v>
      </c>
    </row>
    <row r="249">
      <c r="A249" s="1" t="s">
        <v>682</v>
      </c>
      <c r="B249" s="1">
        <v>200.0</v>
      </c>
    </row>
    <row r="250">
      <c r="A250" s="1" t="s">
        <v>684</v>
      </c>
      <c r="B250" s="1">
        <v>200.0</v>
      </c>
    </row>
    <row r="251">
      <c r="A251" s="1" t="s">
        <v>686</v>
      </c>
      <c r="B251" s="1">
        <v>200.0</v>
      </c>
    </row>
    <row r="252">
      <c r="A252" s="1" t="s">
        <v>688</v>
      </c>
      <c r="B252" s="1">
        <v>200.0</v>
      </c>
    </row>
    <row r="253">
      <c r="A253" s="1" t="s">
        <v>690</v>
      </c>
      <c r="B253" s="1">
        <v>200.0</v>
      </c>
    </row>
    <row r="254">
      <c r="A254" s="1" t="s">
        <v>692</v>
      </c>
      <c r="B254" s="1">
        <v>200.0</v>
      </c>
    </row>
    <row r="255">
      <c r="A255" s="1" t="s">
        <v>695</v>
      </c>
      <c r="B255" s="1">
        <v>300.0</v>
      </c>
    </row>
    <row r="256">
      <c r="A256" s="1" t="s">
        <v>697</v>
      </c>
      <c r="B256" s="1">
        <v>300.0</v>
      </c>
    </row>
    <row r="257">
      <c r="A257" s="45" t="s">
        <v>699</v>
      </c>
      <c r="B257" s="1">
        <v>300.0</v>
      </c>
    </row>
    <row r="258">
      <c r="A258" s="45" t="s">
        <v>701</v>
      </c>
      <c r="B258" s="1">
        <v>300.0</v>
      </c>
    </row>
    <row r="259">
      <c r="A259" s="1" t="s">
        <v>703</v>
      </c>
      <c r="B259" s="1">
        <v>300.0</v>
      </c>
    </row>
    <row r="260">
      <c r="A260" s="1" t="s">
        <v>705</v>
      </c>
      <c r="B260" s="1">
        <v>300.0</v>
      </c>
    </row>
    <row r="261">
      <c r="A261" s="1" t="s">
        <v>708</v>
      </c>
      <c r="B261" s="1">
        <v>150.0</v>
      </c>
    </row>
    <row r="262">
      <c r="A262" s="1" t="s">
        <v>710</v>
      </c>
      <c r="B262" s="1">
        <v>150.0</v>
      </c>
    </row>
    <row r="263">
      <c r="A263" s="1" t="s">
        <v>712</v>
      </c>
      <c r="B263" s="1">
        <v>150.0</v>
      </c>
    </row>
    <row r="264">
      <c r="A264" s="1" t="s">
        <v>714</v>
      </c>
      <c r="B264" s="1">
        <v>150.0</v>
      </c>
    </row>
    <row r="265">
      <c r="A265" s="1" t="s">
        <v>716</v>
      </c>
      <c r="B265" s="1">
        <v>150.0</v>
      </c>
    </row>
    <row r="266">
      <c r="A266" s="1" t="s">
        <v>718</v>
      </c>
      <c r="B266" s="1">
        <v>150.0</v>
      </c>
    </row>
    <row r="268">
      <c r="A268" s="1" t="s">
        <v>723</v>
      </c>
      <c r="B268" s="1">
        <v>350.0</v>
      </c>
    </row>
    <row r="269">
      <c r="A269" s="1" t="s">
        <v>725</v>
      </c>
      <c r="B269" s="1">
        <v>350.0</v>
      </c>
    </row>
    <row r="270">
      <c r="A270" s="1" t="s">
        <v>728</v>
      </c>
      <c r="B270" s="1">
        <v>350.0</v>
      </c>
    </row>
    <row r="271">
      <c r="A271" s="1" t="s">
        <v>730</v>
      </c>
      <c r="B271" s="1">
        <v>350.0</v>
      </c>
    </row>
    <row r="272">
      <c r="A272" s="1" t="s">
        <v>732</v>
      </c>
      <c r="B272" s="1">
        <v>350.0</v>
      </c>
    </row>
    <row r="274">
      <c r="A274" s="1" t="s">
        <v>737</v>
      </c>
      <c r="B274" s="1">
        <v>450.0</v>
      </c>
    </row>
    <row r="275">
      <c r="A275" s="1" t="s">
        <v>739</v>
      </c>
      <c r="B275" s="1">
        <v>400.0</v>
      </c>
    </row>
    <row r="276">
      <c r="A276" s="1" t="s">
        <v>741</v>
      </c>
      <c r="B276" s="1">
        <v>350.0</v>
      </c>
    </row>
    <row r="277">
      <c r="A277" s="1" t="s">
        <v>743</v>
      </c>
      <c r="B277" s="1">
        <v>350.0</v>
      </c>
    </row>
    <row r="278">
      <c r="A278" s="1" t="s">
        <v>745</v>
      </c>
      <c r="B278" s="1">
        <v>400.0</v>
      </c>
    </row>
    <row r="281">
      <c r="A281" s="1" t="s">
        <v>750</v>
      </c>
      <c r="B281" s="1">
        <v>200.0</v>
      </c>
    </row>
    <row r="282">
      <c r="A282" s="1" t="s">
        <v>752</v>
      </c>
      <c r="B282" s="1">
        <v>200.0</v>
      </c>
    </row>
    <row r="283">
      <c r="A283" s="1" t="s">
        <v>754</v>
      </c>
      <c r="B283" s="1">
        <v>200.0</v>
      </c>
    </row>
    <row r="285">
      <c r="A285" s="1" t="s">
        <v>758</v>
      </c>
      <c r="B285" s="1">
        <v>200.0</v>
      </c>
    </row>
    <row r="286">
      <c r="A286" s="1" t="s">
        <v>761</v>
      </c>
      <c r="B286" s="1">
        <v>1000.0</v>
      </c>
    </row>
    <row r="287">
      <c r="A287" s="1" t="s">
        <v>762</v>
      </c>
      <c r="B287" s="1">
        <v>500.0</v>
      </c>
    </row>
    <row r="288">
      <c r="A288" s="1" t="s">
        <v>765</v>
      </c>
      <c r="B288" s="1">
        <v>1000.0</v>
      </c>
    </row>
    <row r="289">
      <c r="A289" s="1" t="s">
        <v>768</v>
      </c>
      <c r="B289" s="1">
        <v>200.0</v>
      </c>
    </row>
    <row r="290">
      <c r="A290" s="1" t="s">
        <v>770</v>
      </c>
      <c r="B290" s="1">
        <v>200.0</v>
      </c>
    </row>
    <row r="291">
      <c r="A291" s="1" t="s">
        <v>772</v>
      </c>
      <c r="B291" s="1">
        <v>200.0</v>
      </c>
    </row>
    <row r="292">
      <c r="A292" s="1" t="s">
        <v>774</v>
      </c>
      <c r="B292" s="1">
        <v>200.0</v>
      </c>
    </row>
    <row r="293">
      <c r="A293" s="1" t="s">
        <v>777</v>
      </c>
      <c r="B293" s="1">
        <v>200.0</v>
      </c>
    </row>
    <row r="294">
      <c r="A294" s="1" t="s">
        <v>780</v>
      </c>
      <c r="B294" s="1">
        <v>200.0</v>
      </c>
    </row>
    <row r="295">
      <c r="A295" s="1" t="s">
        <v>783</v>
      </c>
      <c r="B295" s="1">
        <v>200.0</v>
      </c>
    </row>
    <row r="296">
      <c r="A296" s="1" t="s">
        <v>785</v>
      </c>
      <c r="B296" s="1">
        <v>200.0</v>
      </c>
    </row>
    <row r="297">
      <c r="A297" s="1" t="s">
        <v>787</v>
      </c>
      <c r="B297" s="1">
        <v>200.0</v>
      </c>
    </row>
    <row r="298">
      <c r="A298" s="1" t="s">
        <v>789</v>
      </c>
      <c r="B298" s="1">
        <v>150.0</v>
      </c>
    </row>
    <row r="299">
      <c r="A299" s="1" t="s">
        <v>791</v>
      </c>
      <c r="B299" s="1">
        <v>200.0</v>
      </c>
    </row>
    <row r="300">
      <c r="A300" s="1" t="s">
        <v>793</v>
      </c>
      <c r="B300" s="1">
        <v>150.0</v>
      </c>
    </row>
    <row r="301">
      <c r="A301" s="1" t="s">
        <v>796</v>
      </c>
      <c r="B301" s="1">
        <v>150.0</v>
      </c>
    </row>
    <row r="302">
      <c r="A302" s="1" t="s">
        <v>798</v>
      </c>
      <c r="B302" s="1">
        <v>150.0</v>
      </c>
    </row>
    <row r="303">
      <c r="A303" s="1" t="s">
        <v>800</v>
      </c>
      <c r="B303" s="1">
        <v>150.0</v>
      </c>
    </row>
    <row r="304">
      <c r="A304" s="1" t="s">
        <v>802</v>
      </c>
      <c r="B304" s="1">
        <v>150.0</v>
      </c>
    </row>
    <row r="305">
      <c r="A305" s="1" t="s">
        <v>805</v>
      </c>
      <c r="B305" s="1">
        <v>150.0</v>
      </c>
    </row>
    <row r="306">
      <c r="A306" s="1" t="s">
        <v>807</v>
      </c>
      <c r="B306" s="1">
        <v>150.0</v>
      </c>
    </row>
    <row r="307">
      <c r="A307" s="1" t="s">
        <v>810</v>
      </c>
      <c r="B307" s="1">
        <v>200.0</v>
      </c>
    </row>
    <row r="308">
      <c r="A308" s="1" t="s">
        <v>812</v>
      </c>
      <c r="B308" s="1">
        <v>200.0</v>
      </c>
    </row>
    <row r="309">
      <c r="A309" s="1" t="s">
        <v>814</v>
      </c>
      <c r="B309" s="1">
        <v>200.0</v>
      </c>
    </row>
    <row r="310">
      <c r="A310" s="1" t="s">
        <v>816</v>
      </c>
      <c r="B310" s="1">
        <v>200.0</v>
      </c>
    </row>
    <row r="311">
      <c r="A311" s="1" t="s">
        <v>818</v>
      </c>
      <c r="B311" s="1">
        <v>200.0</v>
      </c>
    </row>
    <row r="312">
      <c r="A312" s="1" t="s">
        <v>820</v>
      </c>
      <c r="B312" s="1">
        <v>200.0</v>
      </c>
    </row>
    <row r="313">
      <c r="A313" s="1" t="s">
        <v>823</v>
      </c>
      <c r="B313" s="1">
        <v>350.0</v>
      </c>
    </row>
    <row r="314">
      <c r="A314" s="1" t="s">
        <v>825</v>
      </c>
      <c r="B314" s="1">
        <v>350.0</v>
      </c>
    </row>
    <row r="315">
      <c r="A315" s="1" t="s">
        <v>827</v>
      </c>
      <c r="B315" s="1">
        <v>300.0</v>
      </c>
    </row>
    <row r="316">
      <c r="A316" s="1" t="s">
        <v>829</v>
      </c>
      <c r="B316" s="1">
        <v>300.0</v>
      </c>
    </row>
    <row r="317">
      <c r="A317" s="1" t="s">
        <v>831</v>
      </c>
      <c r="B317" s="1">
        <v>300.0</v>
      </c>
    </row>
    <row r="318">
      <c r="A318" s="1" t="s">
        <v>834</v>
      </c>
      <c r="B318" s="1">
        <v>300.0</v>
      </c>
    </row>
    <row r="319">
      <c r="A319" s="1" t="s">
        <v>837</v>
      </c>
      <c r="B319" s="1">
        <v>1100.0</v>
      </c>
    </row>
    <row r="320">
      <c r="A320" s="1" t="s">
        <v>840</v>
      </c>
      <c r="B320" s="1">
        <v>450.0</v>
      </c>
    </row>
    <row r="321">
      <c r="A321" s="1" t="s">
        <v>842</v>
      </c>
      <c r="B321" s="1">
        <v>350.0</v>
      </c>
    </row>
    <row r="322">
      <c r="A322" s="1" t="s">
        <v>845</v>
      </c>
      <c r="B322" s="1">
        <v>250.0</v>
      </c>
    </row>
    <row r="323">
      <c r="A323" s="1" t="s">
        <v>847</v>
      </c>
      <c r="B323" s="1">
        <v>250.0</v>
      </c>
    </row>
    <row r="324">
      <c r="A324" s="1" t="s">
        <v>849</v>
      </c>
      <c r="B324" s="1">
        <v>250.0</v>
      </c>
    </row>
    <row r="325">
      <c r="A325" s="1" t="s">
        <v>851</v>
      </c>
      <c r="B325" s="1">
        <v>250.0</v>
      </c>
    </row>
    <row r="326">
      <c r="A326" s="1" t="s">
        <v>853</v>
      </c>
      <c r="B326" s="1">
        <v>250.0</v>
      </c>
    </row>
    <row r="327">
      <c r="A327" s="1" t="s">
        <v>855</v>
      </c>
      <c r="B327" s="1">
        <v>250.0</v>
      </c>
    </row>
    <row r="328">
      <c r="A328" s="1" t="s">
        <v>858</v>
      </c>
      <c r="B328" s="1">
        <v>150.0</v>
      </c>
    </row>
    <row r="329">
      <c r="A329" s="1" t="s">
        <v>861</v>
      </c>
    </row>
    <row r="330">
      <c r="A330" s="1" t="s">
        <v>863</v>
      </c>
      <c r="B330" s="1">
        <v>70.0</v>
      </c>
    </row>
    <row r="331">
      <c r="A331" s="1" t="s">
        <v>866</v>
      </c>
      <c r="B331" s="1">
        <v>10.0</v>
      </c>
    </row>
    <row r="332">
      <c r="A332" s="1" t="s">
        <v>869</v>
      </c>
      <c r="B332" s="1">
        <v>10.0</v>
      </c>
    </row>
    <row r="333">
      <c r="A333" s="1" t="s">
        <v>872</v>
      </c>
      <c r="B333" s="1">
        <v>10.0</v>
      </c>
    </row>
    <row r="334">
      <c r="A334" s="1" t="s">
        <v>875</v>
      </c>
      <c r="B334" s="1">
        <v>10.0</v>
      </c>
    </row>
    <row r="335">
      <c r="A335" s="1" t="s">
        <v>878</v>
      </c>
      <c r="B335" s="1">
        <v>60.0</v>
      </c>
    </row>
    <row r="336">
      <c r="A336" s="1" t="s">
        <v>881</v>
      </c>
      <c r="B336" s="1">
        <v>60.0</v>
      </c>
    </row>
    <row r="337">
      <c r="A337" s="1" t="s">
        <v>884</v>
      </c>
      <c r="B337" s="1">
        <v>150.0</v>
      </c>
    </row>
    <row r="338">
      <c r="A338" s="1" t="s">
        <v>887</v>
      </c>
      <c r="B338" s="1">
        <v>150.0</v>
      </c>
    </row>
    <row r="339">
      <c r="A339" s="1" t="s">
        <v>890</v>
      </c>
      <c r="B339" s="1">
        <v>10.0</v>
      </c>
    </row>
    <row r="340">
      <c r="A340" s="1" t="s">
        <v>894</v>
      </c>
    </row>
    <row r="341">
      <c r="A341" s="1" t="s">
        <v>897</v>
      </c>
    </row>
    <row r="342">
      <c r="A342" s="1" t="s">
        <v>899</v>
      </c>
    </row>
    <row r="343">
      <c r="A343" s="1" t="s">
        <v>902</v>
      </c>
    </row>
    <row r="344">
      <c r="A344" s="1" t="s">
        <v>905</v>
      </c>
      <c r="B344" s="1">
        <v>60.0</v>
      </c>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t="s">
        <v>921</v>
      </c>
      <c r="B358" s="1">
        <v>40.0</v>
      </c>
    </row>
    <row r="359">
      <c r="A359" s="1" t="s">
        <v>923</v>
      </c>
      <c r="B359" s="1">
        <v>40.0</v>
      </c>
    </row>
    <row r="360">
      <c r="A360" s="1" t="s">
        <v>925</v>
      </c>
      <c r="B360" s="1">
        <v>40.0</v>
      </c>
    </row>
    <row r="361">
      <c r="A361" s="1" t="s">
        <v>927</v>
      </c>
      <c r="B361" s="1">
        <v>40.0</v>
      </c>
    </row>
    <row r="362">
      <c r="A362" s="1" t="s">
        <v>929</v>
      </c>
      <c r="B362" s="1">
        <v>40.0</v>
      </c>
    </row>
    <row r="363">
      <c r="A363" s="1" t="s">
        <v>931</v>
      </c>
      <c r="B363" s="1">
        <v>40.0</v>
      </c>
    </row>
    <row r="364">
      <c r="A364" s="1" t="s">
        <v>933</v>
      </c>
      <c r="B364" s="1">
        <v>40.0</v>
      </c>
    </row>
    <row r="365">
      <c r="A365" s="1" t="s">
        <v>935</v>
      </c>
      <c r="B365" s="1">
        <v>40.0</v>
      </c>
    </row>
    <row r="366">
      <c r="A366" s="1" t="s">
        <v>937</v>
      </c>
      <c r="B366" s="1">
        <v>40.0</v>
      </c>
    </row>
    <row r="367">
      <c r="A367" s="1" t="s">
        <v>939</v>
      </c>
      <c r="B367" s="1">
        <v>40.0</v>
      </c>
    </row>
    <row r="368">
      <c r="A368" s="1" t="s">
        <v>941</v>
      </c>
      <c r="B368" s="1">
        <v>30.0</v>
      </c>
    </row>
    <row r="369">
      <c r="A369" s="1" t="s">
        <v>943</v>
      </c>
      <c r="B369" s="1">
        <v>30.0</v>
      </c>
    </row>
    <row r="370">
      <c r="A370" s="1" t="s">
        <v>945</v>
      </c>
      <c r="B370" s="1">
        <v>30.0</v>
      </c>
    </row>
    <row r="371">
      <c r="A371" s="1" t="s">
        <v>947</v>
      </c>
      <c r="B371" s="1">
        <v>30.0</v>
      </c>
    </row>
    <row r="372">
      <c r="A372" s="1" t="s">
        <v>949</v>
      </c>
      <c r="B372" s="1">
        <v>30.0</v>
      </c>
    </row>
    <row r="373">
      <c r="A373" s="1" t="s">
        <v>951</v>
      </c>
      <c r="B373" s="1">
        <v>30.0</v>
      </c>
    </row>
    <row r="374">
      <c r="A374" s="1" t="s">
        <v>953</v>
      </c>
      <c r="B374" s="1">
        <v>30.0</v>
      </c>
    </row>
    <row r="375">
      <c r="A375" s="1" t="s">
        <v>955</v>
      </c>
      <c r="B375" s="1">
        <v>30.0</v>
      </c>
    </row>
    <row r="376">
      <c r="A376" s="1" t="s">
        <v>957</v>
      </c>
      <c r="B376" s="1">
        <v>30.0</v>
      </c>
    </row>
    <row r="377">
      <c r="A377" s="1" t="s">
        <v>959</v>
      </c>
      <c r="B377" s="1">
        <v>30.0</v>
      </c>
    </row>
    <row r="378">
      <c r="A378" s="1" t="s">
        <v>961</v>
      </c>
      <c r="B378" s="1">
        <v>30.0</v>
      </c>
    </row>
    <row r="379">
      <c r="A379" s="1" t="s">
        <v>963</v>
      </c>
      <c r="B379" s="1">
        <v>30.0</v>
      </c>
    </row>
    <row r="380">
      <c r="A380" s="1" t="s">
        <v>965</v>
      </c>
      <c r="B380" s="1">
        <v>30.0</v>
      </c>
    </row>
    <row r="381">
      <c r="A381" s="1" t="s">
        <v>967</v>
      </c>
      <c r="B381" s="1">
        <v>30.0</v>
      </c>
    </row>
    <row r="382">
      <c r="A382" s="1" t="s">
        <v>969</v>
      </c>
      <c r="B382" s="1">
        <v>30.0</v>
      </c>
    </row>
    <row r="383">
      <c r="A383" s="1" t="s">
        <v>971</v>
      </c>
      <c r="B383" s="1">
        <v>30.0</v>
      </c>
    </row>
    <row r="384">
      <c r="A384" s="1" t="s">
        <v>973</v>
      </c>
      <c r="B384" s="1">
        <v>30.0</v>
      </c>
    </row>
    <row r="385">
      <c r="A385" s="1" t="s">
        <v>975</v>
      </c>
      <c r="B385" s="1">
        <v>30.0</v>
      </c>
    </row>
    <row r="386">
      <c r="A386" s="1" t="s">
        <v>977</v>
      </c>
      <c r="B386" s="1">
        <v>30.0</v>
      </c>
    </row>
    <row r="387">
      <c r="A387" s="1" t="s">
        <v>979</v>
      </c>
      <c r="B387" s="1">
        <v>30.0</v>
      </c>
    </row>
    <row r="388">
      <c r="A388" s="1" t="s">
        <v>981</v>
      </c>
      <c r="B388" s="1">
        <v>30.0</v>
      </c>
    </row>
    <row r="389">
      <c r="A389" s="1" t="s">
        <v>983</v>
      </c>
      <c r="B389" s="1">
        <v>20.0</v>
      </c>
    </row>
    <row r="390">
      <c r="A390" s="1" t="s">
        <v>985</v>
      </c>
      <c r="B390" s="1">
        <v>20.0</v>
      </c>
    </row>
    <row r="391">
      <c r="A391" s="1" t="s">
        <v>987</v>
      </c>
      <c r="B391" s="1">
        <v>20.0</v>
      </c>
    </row>
    <row r="392">
      <c r="A392" s="1" t="s">
        <v>989</v>
      </c>
      <c r="B392" s="1">
        <v>20.0</v>
      </c>
    </row>
    <row r="393">
      <c r="A393" s="1" t="s">
        <v>992</v>
      </c>
      <c r="B393" s="1">
        <v>60.0</v>
      </c>
    </row>
    <row r="394">
      <c r="A394" s="1" t="s">
        <v>994</v>
      </c>
      <c r="B394" s="1">
        <v>60.0</v>
      </c>
    </row>
    <row r="395">
      <c r="A395" s="1" t="s">
        <v>997</v>
      </c>
      <c r="B395" s="1">
        <v>60.0</v>
      </c>
    </row>
    <row r="396">
      <c r="A396" s="1" t="s">
        <v>1000</v>
      </c>
      <c r="B396" s="1">
        <v>60.0</v>
      </c>
    </row>
    <row r="397">
      <c r="A397" s="1" t="s">
        <v>1002</v>
      </c>
      <c r="B397" s="1">
        <v>60.0</v>
      </c>
    </row>
    <row r="398">
      <c r="A398" s="1" t="s">
        <v>1005</v>
      </c>
      <c r="B398" s="1">
        <v>60.0</v>
      </c>
    </row>
    <row r="399">
      <c r="A399" s="1" t="s">
        <v>1008</v>
      </c>
      <c r="B399" s="1">
        <v>60.0</v>
      </c>
    </row>
    <row r="400">
      <c r="A400" s="1" t="s">
        <v>1011</v>
      </c>
      <c r="B400" s="1">
        <v>60.0</v>
      </c>
    </row>
    <row r="401">
      <c r="A401" s="1" t="s">
        <v>1014</v>
      </c>
      <c r="B401" s="1">
        <v>60.0</v>
      </c>
    </row>
    <row r="402">
      <c r="A402" s="1" t="s">
        <v>1017</v>
      </c>
      <c r="B402" s="1">
        <v>60.0</v>
      </c>
    </row>
    <row r="403">
      <c r="A403" s="1" t="s">
        <v>1020</v>
      </c>
      <c r="B403" s="1">
        <v>60.0</v>
      </c>
    </row>
    <row r="404">
      <c r="A404" s="1" t="s">
        <v>1021</v>
      </c>
      <c r="B404" s="1">
        <v>60.0</v>
      </c>
    </row>
    <row r="405">
      <c r="A405" s="1" t="s">
        <v>1024</v>
      </c>
      <c r="B405" s="1">
        <v>60.0</v>
      </c>
    </row>
    <row r="406">
      <c r="A406" s="1" t="s">
        <v>1026</v>
      </c>
      <c r="B406" s="1">
        <v>40.0</v>
      </c>
    </row>
    <row r="407">
      <c r="A407" s="1" t="s">
        <v>1028</v>
      </c>
      <c r="B407" s="1">
        <v>40.0</v>
      </c>
    </row>
    <row r="408">
      <c r="A408" s="1" t="s">
        <v>1030</v>
      </c>
      <c r="B408" s="1">
        <v>40.0</v>
      </c>
    </row>
    <row r="409">
      <c r="A409" s="1" t="s">
        <v>1032</v>
      </c>
      <c r="B409" s="1">
        <v>40.0</v>
      </c>
    </row>
    <row r="410">
      <c r="A410" s="1" t="s">
        <v>1034</v>
      </c>
      <c r="B410" s="1">
        <v>40.0</v>
      </c>
    </row>
    <row r="411">
      <c r="A411" s="1" t="s">
        <v>1036</v>
      </c>
      <c r="B411" s="1">
        <v>40.0</v>
      </c>
    </row>
    <row r="412">
      <c r="A412" s="1" t="s">
        <v>1038</v>
      </c>
      <c r="B412" s="1">
        <v>40.0</v>
      </c>
    </row>
    <row r="413">
      <c r="A413" s="1" t="s">
        <v>1040</v>
      </c>
      <c r="B413" s="1">
        <v>40.0</v>
      </c>
    </row>
    <row r="414">
      <c r="A414" s="1" t="s">
        <v>1042</v>
      </c>
      <c r="B414" s="1">
        <v>40.0</v>
      </c>
    </row>
    <row r="415">
      <c r="A415" s="1" t="s">
        <v>1044</v>
      </c>
      <c r="B415" s="1">
        <v>40.0</v>
      </c>
    </row>
    <row r="416">
      <c r="A416" s="1" t="s">
        <v>1046</v>
      </c>
      <c r="B416" s="1">
        <v>10.0</v>
      </c>
    </row>
    <row r="417">
      <c r="A417" s="1" t="s">
        <v>1049</v>
      </c>
      <c r="B417" s="1">
        <v>60.0</v>
      </c>
    </row>
    <row r="418">
      <c r="A418" s="1" t="s">
        <v>1051</v>
      </c>
      <c r="B418" s="1">
        <v>40.0</v>
      </c>
    </row>
    <row r="419">
      <c r="A419" s="1" t="s">
        <v>1053</v>
      </c>
      <c r="B419" s="1">
        <v>40.0</v>
      </c>
    </row>
    <row r="420">
      <c r="A420" s="1" t="s">
        <v>1055</v>
      </c>
      <c r="B420" s="1">
        <v>40.0</v>
      </c>
    </row>
    <row r="421">
      <c r="A421" s="1" t="s">
        <v>1057</v>
      </c>
      <c r="B421" s="1">
        <v>40.0</v>
      </c>
    </row>
    <row r="422">
      <c r="A422" s="1" t="s">
        <v>1059</v>
      </c>
      <c r="B422" s="1">
        <v>40.0</v>
      </c>
    </row>
    <row r="423">
      <c r="A423" s="1" t="s">
        <v>1061</v>
      </c>
      <c r="B423" s="1">
        <v>40.0</v>
      </c>
    </row>
    <row r="424">
      <c r="A424" s="1" t="s">
        <v>1063</v>
      </c>
      <c r="B424" s="1">
        <v>40.0</v>
      </c>
    </row>
    <row r="425">
      <c r="A425" s="1" t="s">
        <v>1065</v>
      </c>
      <c r="B425" s="1">
        <v>40.0</v>
      </c>
    </row>
    <row r="426">
      <c r="A426" s="1" t="s">
        <v>1067</v>
      </c>
      <c r="B426" s="1">
        <v>40.0</v>
      </c>
    </row>
    <row r="427">
      <c r="A427" s="1" t="s">
        <v>1069</v>
      </c>
      <c r="B427" s="1">
        <v>40.0</v>
      </c>
    </row>
    <row r="428">
      <c r="A428" s="1" t="s">
        <v>1072</v>
      </c>
      <c r="B428" s="1">
        <v>30.0</v>
      </c>
    </row>
    <row r="429">
      <c r="A429" s="1" t="s">
        <v>1074</v>
      </c>
      <c r="B429" s="1">
        <v>50.0</v>
      </c>
    </row>
    <row r="430">
      <c r="A430" s="1" t="s">
        <v>1076</v>
      </c>
      <c r="B430" s="1">
        <v>50.0</v>
      </c>
    </row>
    <row r="431">
      <c r="A431" s="1" t="s">
        <v>1078</v>
      </c>
      <c r="B431" s="1">
        <v>50.0</v>
      </c>
    </row>
    <row r="432">
      <c r="A432" s="1" t="s">
        <v>1081</v>
      </c>
      <c r="B432" s="1">
        <v>50.0</v>
      </c>
    </row>
    <row r="433">
      <c r="A433" s="1" t="s">
        <v>1084</v>
      </c>
      <c r="B433" s="1">
        <v>50.0</v>
      </c>
    </row>
    <row r="434">
      <c r="A434" s="1" t="s">
        <v>1086</v>
      </c>
      <c r="B434" s="1">
        <v>50.0</v>
      </c>
    </row>
    <row r="435">
      <c r="A435" s="1" t="s">
        <v>1088</v>
      </c>
      <c r="B435" s="1">
        <v>50.0</v>
      </c>
    </row>
    <row r="436">
      <c r="A436" s="1" t="s">
        <v>1090</v>
      </c>
      <c r="B436" s="1">
        <v>50.0</v>
      </c>
    </row>
    <row r="437">
      <c r="A437" s="1" t="s">
        <v>1093</v>
      </c>
      <c r="B437" s="1">
        <v>50.0</v>
      </c>
    </row>
    <row r="438">
      <c r="A438" s="1" t="s">
        <v>1095</v>
      </c>
      <c r="B438" s="1">
        <v>30.0</v>
      </c>
    </row>
    <row r="439">
      <c r="A439" s="1" t="s">
        <v>1097</v>
      </c>
      <c r="B439" s="1">
        <v>30.0</v>
      </c>
    </row>
    <row r="440">
      <c r="A440" s="1" t="s">
        <v>1099</v>
      </c>
      <c r="B440" s="1">
        <v>30.0</v>
      </c>
    </row>
    <row r="441">
      <c r="A441" s="1" t="s">
        <v>1101</v>
      </c>
      <c r="B441" s="1">
        <v>30.0</v>
      </c>
    </row>
    <row r="442">
      <c r="A442" s="1" t="s">
        <v>1103</v>
      </c>
      <c r="B442" s="1">
        <v>30.0</v>
      </c>
    </row>
    <row r="443">
      <c r="A443" s="1" t="s">
        <v>1105</v>
      </c>
      <c r="B443" s="1">
        <v>30.0</v>
      </c>
    </row>
    <row r="444">
      <c r="A444" s="1" t="s">
        <v>1107</v>
      </c>
      <c r="B444" s="1">
        <v>30.0</v>
      </c>
    </row>
    <row r="445">
      <c r="A445" s="1" t="s">
        <v>1109</v>
      </c>
      <c r="B445" s="1">
        <v>30.0</v>
      </c>
    </row>
    <row r="446">
      <c r="A446" s="1" t="s">
        <v>1111</v>
      </c>
      <c r="B446" s="1">
        <v>30.0</v>
      </c>
    </row>
    <row r="447">
      <c r="A447" s="1" t="s">
        <v>1113</v>
      </c>
      <c r="B447" s="1">
        <v>30.0</v>
      </c>
    </row>
    <row r="448">
      <c r="A448" s="1" t="s">
        <v>1115</v>
      </c>
      <c r="B448" s="1">
        <v>20.0</v>
      </c>
    </row>
    <row r="449">
      <c r="A449" s="1" t="s">
        <v>1117</v>
      </c>
      <c r="B449" s="1">
        <v>20.0</v>
      </c>
    </row>
    <row r="450">
      <c r="A450" s="1" t="s">
        <v>1119</v>
      </c>
      <c r="B450" s="1">
        <v>20.0</v>
      </c>
    </row>
    <row r="451">
      <c r="A451" s="1" t="s">
        <v>1121</v>
      </c>
      <c r="B451" s="1">
        <v>20.0</v>
      </c>
    </row>
    <row r="452">
      <c r="A452" s="1" t="s">
        <v>1123</v>
      </c>
      <c r="B452" s="1">
        <v>20.0</v>
      </c>
    </row>
    <row r="453">
      <c r="A453" s="1" t="s">
        <v>1125</v>
      </c>
      <c r="B453" s="1">
        <v>20.0</v>
      </c>
    </row>
    <row r="454">
      <c r="A454" s="1" t="s">
        <v>1127</v>
      </c>
      <c r="B454" s="1">
        <v>20.0</v>
      </c>
    </row>
    <row r="455">
      <c r="A455" s="1" t="s">
        <v>1129</v>
      </c>
      <c r="B455" s="1">
        <v>20.0</v>
      </c>
    </row>
    <row r="456">
      <c r="A456" s="1" t="s">
        <v>1132</v>
      </c>
      <c r="B456" s="1">
        <v>60.0</v>
      </c>
    </row>
    <row r="457">
      <c r="A457" s="1" t="s">
        <v>1134</v>
      </c>
      <c r="B457" s="1">
        <v>30.0</v>
      </c>
    </row>
    <row r="458">
      <c r="A458" s="1" t="s">
        <v>1136</v>
      </c>
      <c r="B458" s="1">
        <v>30.0</v>
      </c>
    </row>
    <row r="459">
      <c r="A459" s="1" t="s">
        <v>1138</v>
      </c>
      <c r="B459" s="1">
        <v>30.0</v>
      </c>
    </row>
    <row r="460">
      <c r="A460" s="1" t="s">
        <v>1140</v>
      </c>
      <c r="B460" s="1">
        <v>30.0</v>
      </c>
    </row>
    <row r="461">
      <c r="A461" s="1" t="s">
        <v>1142</v>
      </c>
      <c r="B461" s="1">
        <v>20.0</v>
      </c>
    </row>
    <row r="462">
      <c r="A462" s="1" t="s">
        <v>1144</v>
      </c>
      <c r="B462" s="1">
        <v>20.0</v>
      </c>
    </row>
    <row r="463">
      <c r="A463" s="1" t="s">
        <v>1146</v>
      </c>
      <c r="B463" s="1">
        <v>20.0</v>
      </c>
    </row>
    <row r="464">
      <c r="A464" s="1" t="s">
        <v>1148</v>
      </c>
      <c r="B464" s="1">
        <v>20.0</v>
      </c>
    </row>
    <row r="465">
      <c r="A465" s="1" t="s">
        <v>1150</v>
      </c>
      <c r="B465" s="1">
        <v>20.0</v>
      </c>
    </row>
    <row r="466">
      <c r="A466" s="1" t="s">
        <v>1152</v>
      </c>
      <c r="B466" s="1">
        <v>10.0</v>
      </c>
    </row>
    <row r="467">
      <c r="A467" s="1" t="s">
        <v>1154</v>
      </c>
      <c r="B467" s="1">
        <v>20.0</v>
      </c>
    </row>
    <row r="468">
      <c r="A468" s="1" t="s">
        <v>1156</v>
      </c>
      <c r="B468" s="1">
        <v>20.0</v>
      </c>
    </row>
    <row r="469">
      <c r="A469" s="1" t="s">
        <v>1158</v>
      </c>
      <c r="B469" s="1">
        <v>20.0</v>
      </c>
    </row>
    <row r="470">
      <c r="A470" s="1" t="s">
        <v>1160</v>
      </c>
      <c r="B470" s="1">
        <v>20.0</v>
      </c>
    </row>
    <row r="471">
      <c r="A471" s="1" t="s">
        <v>1162</v>
      </c>
      <c r="B471" s="1">
        <v>20.0</v>
      </c>
    </row>
    <row r="472">
      <c r="A472" s="1" t="s">
        <v>1164</v>
      </c>
      <c r="B472" s="1">
        <v>20.0</v>
      </c>
    </row>
    <row r="473">
      <c r="A473" s="1" t="s">
        <v>1166</v>
      </c>
      <c r="B473" s="1">
        <v>30.0</v>
      </c>
    </row>
    <row r="474">
      <c r="A474" s="1" t="s">
        <v>1168</v>
      </c>
      <c r="B474" s="1">
        <v>30.0</v>
      </c>
    </row>
    <row r="475">
      <c r="A475" s="1" t="s">
        <v>1170</v>
      </c>
      <c r="B475" s="1">
        <v>30.0</v>
      </c>
    </row>
    <row r="476">
      <c r="A476" s="1" t="s">
        <v>1172</v>
      </c>
      <c r="B476" s="1">
        <v>30.0</v>
      </c>
    </row>
    <row r="477">
      <c r="A477" s="1" t="s">
        <v>1174</v>
      </c>
      <c r="B477" s="1">
        <v>30.0</v>
      </c>
    </row>
    <row r="478">
      <c r="A478" s="1" t="s">
        <v>1177</v>
      </c>
      <c r="B478" s="1">
        <v>50.0</v>
      </c>
    </row>
    <row r="479">
      <c r="A479" s="1" t="s">
        <v>1180</v>
      </c>
      <c r="B479" s="1">
        <v>50.0</v>
      </c>
    </row>
    <row r="480">
      <c r="A480" s="1" t="s">
        <v>1182</v>
      </c>
      <c r="B480" s="1">
        <v>50.0</v>
      </c>
    </row>
    <row r="481">
      <c r="A481" s="1" t="s">
        <v>1184</v>
      </c>
      <c r="B481" s="1">
        <v>50.0</v>
      </c>
    </row>
    <row r="482">
      <c r="A482" s="1" t="s">
        <v>1186</v>
      </c>
      <c r="B482" s="1">
        <v>50.0</v>
      </c>
    </row>
    <row r="483">
      <c r="A483" s="1" t="s">
        <v>1188</v>
      </c>
      <c r="B483" s="1">
        <v>50.0</v>
      </c>
    </row>
    <row r="484">
      <c r="A484" s="1" t="s">
        <v>1190</v>
      </c>
      <c r="B484" s="1">
        <v>50.0</v>
      </c>
    </row>
    <row r="485">
      <c r="A485" s="1" t="s">
        <v>1192</v>
      </c>
      <c r="B485" s="1">
        <v>50.0</v>
      </c>
    </row>
    <row r="486">
      <c r="A486" s="1" t="s">
        <v>1194</v>
      </c>
      <c r="B486" s="1">
        <v>50.0</v>
      </c>
    </row>
    <row r="487">
      <c r="A487" s="1" t="s">
        <v>1196</v>
      </c>
      <c r="B487" s="1">
        <v>30.0</v>
      </c>
    </row>
    <row r="488">
      <c r="A488" s="1" t="s">
        <v>1198</v>
      </c>
      <c r="B488" s="1">
        <v>30.0</v>
      </c>
    </row>
    <row r="489">
      <c r="A489" s="1" t="s">
        <v>1200</v>
      </c>
      <c r="B489" s="1">
        <v>30.0</v>
      </c>
    </row>
    <row r="490">
      <c r="A490" s="1" t="s">
        <v>1202</v>
      </c>
      <c r="B490" s="1">
        <v>30.0</v>
      </c>
    </row>
    <row r="491">
      <c r="A491" s="1" t="s">
        <v>1204</v>
      </c>
      <c r="B491" s="1">
        <v>30.0</v>
      </c>
    </row>
    <row r="492">
      <c r="A492" s="1" t="s">
        <v>1206</v>
      </c>
      <c r="B492" s="1">
        <v>30.0</v>
      </c>
    </row>
    <row r="493">
      <c r="A493" s="1" t="s">
        <v>1208</v>
      </c>
      <c r="B493" s="1">
        <v>30.0</v>
      </c>
    </row>
    <row r="494">
      <c r="A494" s="1" t="s">
        <v>1210</v>
      </c>
      <c r="B494" s="1">
        <v>30.0</v>
      </c>
    </row>
    <row r="495">
      <c r="A495" s="1" t="s">
        <v>1212</v>
      </c>
      <c r="B495" s="1">
        <v>30.0</v>
      </c>
    </row>
    <row r="496">
      <c r="A496" s="1" t="s">
        <v>1214</v>
      </c>
      <c r="B496" s="1">
        <v>30.0</v>
      </c>
    </row>
    <row r="497">
      <c r="A497" s="1" t="s">
        <v>1216</v>
      </c>
      <c r="B497" s="1">
        <v>40.0</v>
      </c>
    </row>
    <row r="498">
      <c r="A498" s="1" t="s">
        <v>1218</v>
      </c>
      <c r="B498" s="1">
        <v>40.0</v>
      </c>
    </row>
    <row r="499">
      <c r="A499" s="1" t="s">
        <v>1220</v>
      </c>
      <c r="B499" s="1">
        <v>40.0</v>
      </c>
    </row>
    <row r="500">
      <c r="A500" s="1" t="s">
        <v>1222</v>
      </c>
      <c r="B500" s="1">
        <v>40.0</v>
      </c>
    </row>
    <row r="501">
      <c r="A501" s="1" t="s">
        <v>1224</v>
      </c>
      <c r="B501" s="1">
        <v>40.0</v>
      </c>
    </row>
    <row r="502">
      <c r="A502" s="1" t="s">
        <v>1226</v>
      </c>
      <c r="B502" s="1">
        <v>40.0</v>
      </c>
    </row>
    <row r="503">
      <c r="A503" s="1" t="s">
        <v>1228</v>
      </c>
      <c r="B503" s="1">
        <v>40.0</v>
      </c>
    </row>
    <row r="504">
      <c r="A504" s="1" t="s">
        <v>1230</v>
      </c>
      <c r="B504" s="1">
        <v>40.0</v>
      </c>
    </row>
    <row r="505">
      <c r="A505" s="1" t="s">
        <v>1232</v>
      </c>
      <c r="B505" s="1">
        <v>40.0</v>
      </c>
    </row>
    <row r="506">
      <c r="A506" s="1" t="s">
        <v>1234</v>
      </c>
      <c r="B506" s="1">
        <v>10.0</v>
      </c>
    </row>
    <row r="507">
      <c r="A507" s="1" t="s">
        <v>1236</v>
      </c>
      <c r="B507" s="1">
        <v>30.0</v>
      </c>
    </row>
    <row r="508">
      <c r="A508" s="1" t="s">
        <v>1238</v>
      </c>
      <c r="B508" s="1">
        <v>30.0</v>
      </c>
    </row>
    <row r="509">
      <c r="A509" s="1" t="s">
        <v>1240</v>
      </c>
      <c r="B509" s="1">
        <v>30.0</v>
      </c>
    </row>
    <row r="510">
      <c r="A510" s="1" t="s">
        <v>1242</v>
      </c>
      <c r="B510" s="1">
        <v>30.0</v>
      </c>
    </row>
    <row r="511">
      <c r="A511" s="1" t="s">
        <v>1244</v>
      </c>
      <c r="B511" s="1">
        <v>20.0</v>
      </c>
    </row>
    <row r="512">
      <c r="A512" s="1" t="s">
        <v>1246</v>
      </c>
      <c r="B512" s="1">
        <v>20.0</v>
      </c>
    </row>
    <row r="513">
      <c r="A513" s="1" t="s">
        <v>1248</v>
      </c>
      <c r="B513" s="1">
        <v>20.0</v>
      </c>
    </row>
    <row r="514">
      <c r="A514" s="1" t="s">
        <v>1250</v>
      </c>
      <c r="B514" s="1">
        <v>20.0</v>
      </c>
    </row>
    <row r="515">
      <c r="A515" s="1" t="s">
        <v>1252</v>
      </c>
      <c r="B515" s="1">
        <v>20.0</v>
      </c>
    </row>
    <row r="516">
      <c r="A516" s="1" t="s">
        <v>1254</v>
      </c>
      <c r="B516" s="1">
        <v>20.0</v>
      </c>
    </row>
    <row r="517">
      <c r="A517" s="1" t="s">
        <v>1256</v>
      </c>
      <c r="B517" s="1">
        <v>20.0</v>
      </c>
    </row>
    <row r="518">
      <c r="A518" s="1" t="s">
        <v>1258</v>
      </c>
      <c r="B518" s="1">
        <v>20.0</v>
      </c>
    </row>
    <row r="519">
      <c r="A519" s="1" t="s">
        <v>1260</v>
      </c>
      <c r="B519" s="1">
        <v>60.0</v>
      </c>
    </row>
    <row r="520">
      <c r="A520" s="1" t="s">
        <v>1263</v>
      </c>
      <c r="B520" s="1">
        <v>30.0</v>
      </c>
    </row>
    <row r="521">
      <c r="A521" s="1" t="s">
        <v>1266</v>
      </c>
      <c r="B521" s="1">
        <v>30.0</v>
      </c>
    </row>
    <row r="522">
      <c r="A522" s="1" t="s">
        <v>1268</v>
      </c>
      <c r="B522" s="1">
        <v>10.0</v>
      </c>
    </row>
    <row r="523">
      <c r="A523" s="1" t="s">
        <v>1271</v>
      </c>
      <c r="B523" s="1">
        <v>50.0</v>
      </c>
    </row>
    <row r="524">
      <c r="A524" s="1" t="s">
        <v>1273</v>
      </c>
      <c r="B524" s="1">
        <v>50.0</v>
      </c>
    </row>
    <row r="525">
      <c r="A525" s="1" t="s">
        <v>1275</v>
      </c>
      <c r="B525" s="1">
        <v>50.0</v>
      </c>
    </row>
    <row r="526">
      <c r="A526" s="1" t="s">
        <v>1277</v>
      </c>
      <c r="B526" s="1">
        <v>50.0</v>
      </c>
    </row>
    <row r="527">
      <c r="A527" s="1" t="s">
        <v>1279</v>
      </c>
      <c r="B527" s="1">
        <v>50.0</v>
      </c>
    </row>
    <row r="528">
      <c r="A528" s="1" t="s">
        <v>1281</v>
      </c>
      <c r="B528" s="1">
        <v>50.0</v>
      </c>
    </row>
    <row r="529">
      <c r="A529" s="1" t="s">
        <v>1283</v>
      </c>
      <c r="B529" s="1">
        <v>50.0</v>
      </c>
    </row>
    <row r="530">
      <c r="A530" s="1" t="s">
        <v>1285</v>
      </c>
      <c r="B530" s="1">
        <v>50.0</v>
      </c>
    </row>
    <row r="531">
      <c r="A531" s="1" t="s">
        <v>1287</v>
      </c>
      <c r="B531" s="1">
        <v>50.0</v>
      </c>
    </row>
    <row r="532">
      <c r="A532" s="1" t="s">
        <v>1289</v>
      </c>
      <c r="B532" s="1">
        <v>20.0</v>
      </c>
    </row>
    <row r="533">
      <c r="A533" s="1" t="s">
        <v>1292</v>
      </c>
      <c r="B533" s="1">
        <v>60.0</v>
      </c>
    </row>
    <row r="534">
      <c r="A534" s="1" t="s">
        <v>1295</v>
      </c>
      <c r="B534" s="1">
        <v>50.0</v>
      </c>
    </row>
    <row r="535">
      <c r="A535" s="1" t="s">
        <v>1298</v>
      </c>
      <c r="B535" s="1">
        <v>50.0</v>
      </c>
    </row>
    <row r="536">
      <c r="A536" s="1" t="s">
        <v>1300</v>
      </c>
      <c r="B536" s="1">
        <v>50.0</v>
      </c>
    </row>
    <row r="537">
      <c r="A537" s="1" t="s">
        <v>1302</v>
      </c>
      <c r="B537" s="1">
        <v>50.0</v>
      </c>
    </row>
    <row r="538">
      <c r="A538" s="1" t="s">
        <v>1305</v>
      </c>
      <c r="B538" s="1">
        <v>50.0</v>
      </c>
    </row>
    <row r="539">
      <c r="A539" s="1" t="s">
        <v>1308</v>
      </c>
      <c r="B539" s="1">
        <v>50.0</v>
      </c>
    </row>
    <row r="540">
      <c r="A540" s="1" t="s">
        <v>1311</v>
      </c>
      <c r="B540" s="1">
        <v>50.0</v>
      </c>
    </row>
    <row r="541">
      <c r="A541" s="1" t="s">
        <v>1313</v>
      </c>
      <c r="B541" s="1">
        <v>20.0</v>
      </c>
    </row>
    <row r="542">
      <c r="A542" s="1"/>
      <c r="B542" s="1"/>
    </row>
    <row r="543">
      <c r="A543" s="1"/>
      <c r="B543" s="1"/>
    </row>
    <row r="544">
      <c r="A544" s="1" t="s">
        <v>1317</v>
      </c>
      <c r="B544" s="1">
        <v>20.0</v>
      </c>
    </row>
    <row r="545">
      <c r="A545" s="1" t="s">
        <v>1319</v>
      </c>
      <c r="B545" s="1">
        <v>20.0</v>
      </c>
    </row>
    <row r="546">
      <c r="A546" s="1" t="s">
        <v>1321</v>
      </c>
      <c r="B546" s="1">
        <v>20.0</v>
      </c>
    </row>
    <row r="547">
      <c r="A547" s="1" t="s">
        <v>1323</v>
      </c>
      <c r="B547" s="1">
        <v>20.0</v>
      </c>
    </row>
    <row r="548">
      <c r="A548" s="1" t="s">
        <v>1325</v>
      </c>
      <c r="B548" s="1">
        <v>30.0</v>
      </c>
    </row>
    <row r="549">
      <c r="A549" s="1" t="s">
        <v>1327</v>
      </c>
      <c r="B549" s="1">
        <v>30.0</v>
      </c>
    </row>
    <row r="550">
      <c r="A550" s="1" t="s">
        <v>1329</v>
      </c>
      <c r="B550" s="1">
        <v>30.0</v>
      </c>
    </row>
    <row r="551">
      <c r="A551" s="1" t="s">
        <v>1330</v>
      </c>
      <c r="B551" s="1">
        <v>30.0</v>
      </c>
    </row>
    <row r="552">
      <c r="A552" s="1" t="s">
        <v>1332</v>
      </c>
      <c r="B552" s="1">
        <v>30.0</v>
      </c>
    </row>
    <row r="553">
      <c r="A553" s="1" t="s">
        <v>1334</v>
      </c>
      <c r="B553" s="1">
        <v>20.0</v>
      </c>
    </row>
    <row r="554">
      <c r="A554" s="1" t="s">
        <v>1336</v>
      </c>
      <c r="B554" s="1">
        <v>20.0</v>
      </c>
    </row>
    <row r="555">
      <c r="A555" s="1" t="s">
        <v>1338</v>
      </c>
      <c r="B555" s="1">
        <v>20.0</v>
      </c>
    </row>
    <row r="556">
      <c r="A556" s="1" t="s">
        <v>1340</v>
      </c>
      <c r="B556" s="1">
        <v>20.0</v>
      </c>
    </row>
    <row r="557">
      <c r="A557" s="1" t="s">
        <v>1342</v>
      </c>
      <c r="B557" s="1">
        <v>30.0</v>
      </c>
    </row>
    <row r="558">
      <c r="A558" s="1" t="s">
        <v>1345</v>
      </c>
      <c r="B558" s="1">
        <v>10.0</v>
      </c>
    </row>
    <row r="559">
      <c r="A559" s="1" t="s">
        <v>1347</v>
      </c>
      <c r="B559" s="1">
        <v>60.0</v>
      </c>
    </row>
    <row r="560">
      <c r="A560" s="1" t="s">
        <v>1350</v>
      </c>
      <c r="B560" s="1">
        <v>50.0</v>
      </c>
    </row>
    <row r="561">
      <c r="A561" s="1" t="s">
        <v>1352</v>
      </c>
      <c r="B561" s="1">
        <v>50.0</v>
      </c>
    </row>
    <row r="562">
      <c r="A562" s="1" t="s">
        <v>1354</v>
      </c>
      <c r="B562" s="1">
        <v>50.0</v>
      </c>
    </row>
    <row r="563">
      <c r="A563" s="1" t="s">
        <v>1356</v>
      </c>
      <c r="B563" s="1">
        <v>50.0</v>
      </c>
    </row>
    <row r="564">
      <c r="A564" s="1" t="s">
        <v>1358</v>
      </c>
      <c r="B564" s="1">
        <v>50.0</v>
      </c>
    </row>
    <row r="565">
      <c r="A565" s="1" t="s">
        <v>1360</v>
      </c>
      <c r="B565" s="1">
        <v>50.0</v>
      </c>
    </row>
    <row r="566">
      <c r="A566" s="1" t="s">
        <v>1363</v>
      </c>
      <c r="B566" s="1">
        <v>50.0</v>
      </c>
    </row>
    <row r="567">
      <c r="A567" s="1" t="s">
        <v>1366</v>
      </c>
      <c r="B567" s="1">
        <v>50.0</v>
      </c>
    </row>
    <row r="568">
      <c r="A568" s="1" t="s">
        <v>1368</v>
      </c>
      <c r="B568" s="1">
        <v>50.0</v>
      </c>
    </row>
    <row r="569">
      <c r="A569" s="1" t="s">
        <v>1370</v>
      </c>
      <c r="B569" s="1">
        <v>60.0</v>
      </c>
    </row>
    <row r="570">
      <c r="A570" s="1" t="s">
        <v>1372</v>
      </c>
      <c r="B570" s="1">
        <v>10.0</v>
      </c>
    </row>
    <row r="571">
      <c r="A571" s="1" t="s">
        <v>1374</v>
      </c>
      <c r="B571" s="1">
        <v>20.0</v>
      </c>
    </row>
    <row r="572">
      <c r="A572" s="1" t="s">
        <v>1376</v>
      </c>
      <c r="B572" s="1">
        <v>20.0</v>
      </c>
    </row>
    <row r="573">
      <c r="A573" s="1" t="s">
        <v>1378</v>
      </c>
      <c r="B573" s="1">
        <v>20.0</v>
      </c>
    </row>
    <row r="574">
      <c r="A574" s="1" t="s">
        <v>1380</v>
      </c>
      <c r="B574" s="1">
        <v>20.0</v>
      </c>
    </row>
    <row r="575">
      <c r="A575" s="1" t="s">
        <v>1382</v>
      </c>
      <c r="B575" s="1">
        <v>30.0</v>
      </c>
    </row>
    <row r="576">
      <c r="A576" s="1" t="s">
        <v>1384</v>
      </c>
      <c r="B576" s="1">
        <v>30.0</v>
      </c>
    </row>
    <row r="577">
      <c r="A577" s="1" t="s">
        <v>1386</v>
      </c>
      <c r="B577" s="1">
        <v>30.0</v>
      </c>
    </row>
    <row r="578">
      <c r="A578" s="1" t="s">
        <v>1388</v>
      </c>
      <c r="B578" s="1">
        <v>30.0</v>
      </c>
    </row>
    <row r="579">
      <c r="A579" s="1" t="s">
        <v>1390</v>
      </c>
      <c r="B579" s="1">
        <v>20.0</v>
      </c>
    </row>
    <row r="580">
      <c r="A580" s="1" t="s">
        <v>1392</v>
      </c>
      <c r="B580" s="1">
        <v>20.0</v>
      </c>
    </row>
    <row r="581">
      <c r="A581" s="1" t="s">
        <v>1394</v>
      </c>
      <c r="B581" s="1">
        <v>20.0</v>
      </c>
    </row>
    <row r="582">
      <c r="A582" s="1" t="s">
        <v>1396</v>
      </c>
      <c r="B582" s="1">
        <v>20.0</v>
      </c>
    </row>
    <row r="583">
      <c r="A583" s="1" t="s">
        <v>1398</v>
      </c>
      <c r="B583" s="1">
        <v>40.0</v>
      </c>
    </row>
    <row r="584">
      <c r="A584" s="1" t="s">
        <v>1400</v>
      </c>
      <c r="B584" s="1">
        <v>40.0</v>
      </c>
    </row>
    <row r="585">
      <c r="A585" s="1" t="s">
        <v>1402</v>
      </c>
      <c r="B585" s="1">
        <v>40.0</v>
      </c>
    </row>
    <row r="586">
      <c r="A586" s="1" t="s">
        <v>1404</v>
      </c>
      <c r="B586" s="1">
        <v>40.0</v>
      </c>
    </row>
    <row r="587">
      <c r="A587" s="1" t="s">
        <v>1406</v>
      </c>
      <c r="B587" s="1">
        <v>40.0</v>
      </c>
    </row>
    <row r="588">
      <c r="A588" s="1" t="s">
        <v>1408</v>
      </c>
      <c r="B588" s="1">
        <v>40.0</v>
      </c>
    </row>
    <row r="589">
      <c r="A589" s="1" t="s">
        <v>1410</v>
      </c>
      <c r="B589" s="1">
        <v>40.0</v>
      </c>
    </row>
    <row r="590">
      <c r="A590" s="1" t="s">
        <v>1412</v>
      </c>
      <c r="B590" s="1">
        <v>40.0</v>
      </c>
    </row>
    <row r="591">
      <c r="A591" s="1" t="s">
        <v>1414</v>
      </c>
      <c r="B591" s="1">
        <v>40.0</v>
      </c>
    </row>
    <row r="592">
      <c r="A592" s="1" t="s">
        <v>1416</v>
      </c>
      <c r="B592" s="1">
        <v>40.0</v>
      </c>
    </row>
    <row r="593">
      <c r="A593" s="1" t="s">
        <v>1419</v>
      </c>
      <c r="B593" s="1">
        <v>50.0</v>
      </c>
    </row>
    <row r="594">
      <c r="A594" s="1" t="s">
        <v>1421</v>
      </c>
      <c r="B594" s="1">
        <v>50.0</v>
      </c>
    </row>
    <row r="595">
      <c r="A595" s="1" t="s">
        <v>1424</v>
      </c>
      <c r="B595" s="1">
        <v>50.0</v>
      </c>
    </row>
    <row r="596">
      <c r="A596" s="1" t="s">
        <v>1426</v>
      </c>
      <c r="B596" s="1">
        <v>50.0</v>
      </c>
    </row>
    <row r="597">
      <c r="A597" s="1" t="s">
        <v>1429</v>
      </c>
      <c r="B597" s="1">
        <v>50.0</v>
      </c>
    </row>
    <row r="598">
      <c r="A598" s="1" t="s">
        <v>1432</v>
      </c>
      <c r="B598" s="1">
        <v>50.0</v>
      </c>
    </row>
    <row r="599">
      <c r="A599" s="1" t="s">
        <v>1435</v>
      </c>
      <c r="B599" s="1">
        <v>50.0</v>
      </c>
    </row>
    <row r="600">
      <c r="A600" s="1" t="s">
        <v>1438</v>
      </c>
      <c r="B600" s="1">
        <v>50.0</v>
      </c>
    </row>
    <row r="601">
      <c r="A601" s="1" t="s">
        <v>1441</v>
      </c>
      <c r="B601" s="1">
        <v>50.0</v>
      </c>
    </row>
    <row r="602">
      <c r="A602" s="1" t="s">
        <v>1444</v>
      </c>
      <c r="B602" s="1">
        <v>50.0</v>
      </c>
    </row>
    <row r="603">
      <c r="A603" s="1" t="s">
        <v>1446</v>
      </c>
      <c r="B603" s="1">
        <v>30.0</v>
      </c>
    </row>
    <row r="604">
      <c r="A604" s="1" t="s">
        <v>1448</v>
      </c>
      <c r="B604" s="1">
        <v>30.0</v>
      </c>
    </row>
    <row r="605">
      <c r="A605" s="1" t="s">
        <v>1450</v>
      </c>
      <c r="B605" s="1">
        <v>30.0</v>
      </c>
    </row>
    <row r="606">
      <c r="A606" s="1" t="s">
        <v>1452</v>
      </c>
      <c r="B606" s="1">
        <v>30.0</v>
      </c>
    </row>
    <row r="607">
      <c r="A607" s="1" t="s">
        <v>1454</v>
      </c>
      <c r="B607" s="1">
        <v>20.0</v>
      </c>
    </row>
    <row r="608">
      <c r="A608" s="1" t="s">
        <v>1456</v>
      </c>
      <c r="B608" s="1">
        <v>20.0</v>
      </c>
    </row>
    <row r="609">
      <c r="A609" s="1" t="s">
        <v>1458</v>
      </c>
      <c r="B609" s="1">
        <v>20.0</v>
      </c>
    </row>
    <row r="610">
      <c r="A610" s="1" t="s">
        <v>1460</v>
      </c>
      <c r="B610" s="1">
        <v>20.0</v>
      </c>
    </row>
    <row r="611">
      <c r="A611" s="1" t="s">
        <v>1462</v>
      </c>
      <c r="B611" s="1">
        <v>40.0</v>
      </c>
    </row>
    <row r="612">
      <c r="A612" s="1" t="s">
        <v>1463</v>
      </c>
      <c r="B612" s="1">
        <v>30.0</v>
      </c>
    </row>
    <row r="613">
      <c r="A613" s="1" t="s">
        <v>1464</v>
      </c>
      <c r="B613" s="1">
        <v>30.0</v>
      </c>
    </row>
    <row r="614">
      <c r="A614" s="1" t="s">
        <v>1466</v>
      </c>
      <c r="B614" s="1">
        <v>40.0</v>
      </c>
    </row>
    <row r="615">
      <c r="A615" s="1" t="s">
        <v>1468</v>
      </c>
      <c r="B615" s="1">
        <v>40.0</v>
      </c>
    </row>
    <row r="616">
      <c r="A616" s="1" t="s">
        <v>1470</v>
      </c>
      <c r="B616" s="1">
        <v>40.0</v>
      </c>
    </row>
    <row r="617">
      <c r="A617" s="1" t="s">
        <v>1471</v>
      </c>
      <c r="B617" s="1">
        <v>30.0</v>
      </c>
    </row>
    <row r="618">
      <c r="A618" s="1" t="s">
        <v>1473</v>
      </c>
      <c r="B618" s="1">
        <v>40.0</v>
      </c>
    </row>
    <row r="619">
      <c r="A619" s="1" t="s">
        <v>1475</v>
      </c>
      <c r="B619" s="1">
        <v>40.0</v>
      </c>
    </row>
    <row r="620">
      <c r="A620" s="1" t="s">
        <v>1477</v>
      </c>
      <c r="B620" s="1">
        <v>40.0</v>
      </c>
    </row>
    <row r="621">
      <c r="A621" s="1" t="s">
        <v>1478</v>
      </c>
      <c r="B621" s="1">
        <v>30.0</v>
      </c>
    </row>
    <row r="622">
      <c r="A622" s="1" t="s">
        <v>1480</v>
      </c>
      <c r="B622" s="1">
        <v>30.0</v>
      </c>
    </row>
    <row r="623">
      <c r="A623" s="1" t="s">
        <v>1482</v>
      </c>
      <c r="B623" s="1">
        <v>40.0</v>
      </c>
    </row>
    <row r="624">
      <c r="A624" s="1" t="s">
        <v>1484</v>
      </c>
      <c r="B624" s="1">
        <v>30.0</v>
      </c>
    </row>
    <row r="625">
      <c r="A625" s="1" t="s">
        <v>1486</v>
      </c>
      <c r="B625" s="1">
        <v>30.0</v>
      </c>
    </row>
    <row r="626">
      <c r="A626" s="1" t="s">
        <v>1488</v>
      </c>
      <c r="B626" s="1">
        <v>20.0</v>
      </c>
    </row>
    <row r="627">
      <c r="A627" s="1" t="s">
        <v>1490</v>
      </c>
      <c r="B627" s="1">
        <v>30.0</v>
      </c>
    </row>
    <row r="628">
      <c r="A628" s="1" t="s">
        <v>1492</v>
      </c>
      <c r="B628" s="1">
        <v>30.0</v>
      </c>
    </row>
    <row r="629">
      <c r="A629" s="1" t="s">
        <v>1494</v>
      </c>
      <c r="B629" s="1">
        <v>30.0</v>
      </c>
    </row>
    <row r="630">
      <c r="A630" s="1" t="s">
        <v>1496</v>
      </c>
      <c r="B630" s="1">
        <v>30.0</v>
      </c>
    </row>
    <row r="631">
      <c r="A631" s="1" t="s">
        <v>1498</v>
      </c>
      <c r="B631" s="1">
        <v>20.0</v>
      </c>
    </row>
    <row r="632">
      <c r="A632" s="1" t="s">
        <v>1500</v>
      </c>
      <c r="B632" s="1">
        <v>20.0</v>
      </c>
    </row>
    <row r="633">
      <c r="A633" s="1" t="s">
        <v>1502</v>
      </c>
      <c r="B633" s="1">
        <v>20.0</v>
      </c>
    </row>
    <row r="634">
      <c r="A634" s="1" t="s">
        <v>1504</v>
      </c>
      <c r="B634" s="1">
        <v>20.0</v>
      </c>
    </row>
    <row r="635">
      <c r="A635" s="1" t="s">
        <v>1506</v>
      </c>
      <c r="B635" s="1">
        <v>30.0</v>
      </c>
    </row>
    <row r="636">
      <c r="A636" s="1" t="s">
        <v>1508</v>
      </c>
      <c r="B636" s="1">
        <v>30.0</v>
      </c>
    </row>
    <row r="637">
      <c r="A637" s="1" t="s">
        <v>1510</v>
      </c>
      <c r="B637" s="1">
        <v>30.0</v>
      </c>
    </row>
    <row r="638">
      <c r="A638" s="1" t="s">
        <v>1512</v>
      </c>
      <c r="B638" s="1">
        <v>30.0</v>
      </c>
    </row>
    <row r="639">
      <c r="A639" s="1" t="s">
        <v>1514</v>
      </c>
      <c r="B639" s="1">
        <v>20.0</v>
      </c>
    </row>
    <row r="640">
      <c r="A640" s="1" t="s">
        <v>1516</v>
      </c>
      <c r="B640" s="1">
        <v>20.0</v>
      </c>
    </row>
    <row r="641">
      <c r="A641" s="1" t="s">
        <v>1518</v>
      </c>
      <c r="B641" s="1">
        <v>20.0</v>
      </c>
    </row>
    <row r="642">
      <c r="A642" s="1" t="s">
        <v>1520</v>
      </c>
      <c r="B642" s="1">
        <v>20.0</v>
      </c>
    </row>
    <row r="643">
      <c r="A643" s="1" t="s">
        <v>1523</v>
      </c>
    </row>
    <row r="644">
      <c r="A644" s="1" t="s">
        <v>1526</v>
      </c>
      <c r="B644" s="1">
        <v>10.0</v>
      </c>
    </row>
    <row r="645">
      <c r="A645" s="1" t="s">
        <v>1529</v>
      </c>
    </row>
    <row r="646">
      <c r="A646" s="1" t="s">
        <v>1532</v>
      </c>
      <c r="B646" s="1">
        <v>60.0</v>
      </c>
    </row>
    <row r="647">
      <c r="A647" s="1" t="s">
        <v>1535</v>
      </c>
      <c r="B647" s="1">
        <v>10.0</v>
      </c>
    </row>
    <row r="648">
      <c r="A648" s="1" t="s">
        <v>1538</v>
      </c>
      <c r="B648" s="1">
        <v>10.0</v>
      </c>
    </row>
    <row r="649">
      <c r="A649" s="1" t="s">
        <v>1541</v>
      </c>
      <c r="B649" s="1">
        <v>10.0</v>
      </c>
    </row>
    <row r="650">
      <c r="A650" s="1" t="s">
        <v>1544</v>
      </c>
      <c r="B650" s="1">
        <v>60.0</v>
      </c>
    </row>
    <row r="651">
      <c r="A651" s="1" t="s">
        <v>1547</v>
      </c>
    </row>
    <row r="652">
      <c r="A652" s="1" t="s">
        <v>1550</v>
      </c>
    </row>
    <row r="653">
      <c r="A653" s="1" t="s">
        <v>1553</v>
      </c>
    </row>
    <row r="654">
      <c r="A654" s="1" t="s">
        <v>1556</v>
      </c>
    </row>
    <row r="655">
      <c r="A655" s="1" t="s">
        <v>1559</v>
      </c>
    </row>
    <row r="656">
      <c r="A656" s="1" t="s">
        <v>1563</v>
      </c>
    </row>
    <row r="657">
      <c r="A657" s="1" t="s">
        <v>1566</v>
      </c>
      <c r="B657" s="1">
        <v>10.0</v>
      </c>
    </row>
    <row r="658">
      <c r="A658" s="1" t="s">
        <v>1569</v>
      </c>
      <c r="B658" s="1">
        <v>10.0</v>
      </c>
    </row>
    <row r="659">
      <c r="A659" s="1" t="s">
        <v>1572</v>
      </c>
      <c r="B659" s="1">
        <v>10.0</v>
      </c>
    </row>
    <row r="660">
      <c r="A660" s="1" t="s">
        <v>1575</v>
      </c>
      <c r="B660" s="1">
        <v>600.0</v>
      </c>
    </row>
    <row r="661">
      <c r="A661" s="1" t="s">
        <v>1755</v>
      </c>
      <c r="B661" s="1">
        <v>150.0</v>
      </c>
    </row>
    <row r="662">
      <c r="A662" s="1" t="s">
        <v>1852</v>
      </c>
      <c r="B662" s="1">
        <v>150.0</v>
      </c>
    </row>
    <row r="663">
      <c r="A663" s="1" t="s">
        <v>1886</v>
      </c>
      <c r="B663" s="1">
        <v>150.0</v>
      </c>
    </row>
    <row r="664">
      <c r="A664" s="1" t="s">
        <v>1802</v>
      </c>
      <c r="B664" s="1">
        <v>150.0</v>
      </c>
    </row>
    <row r="665">
      <c r="A665" s="1" t="s">
        <v>1769</v>
      </c>
      <c r="B665" s="1">
        <v>150.0</v>
      </c>
    </row>
    <row r="666">
      <c r="A666" s="1" t="s">
        <v>1796</v>
      </c>
      <c r="B666" s="1">
        <v>150.0</v>
      </c>
    </row>
    <row r="667">
      <c r="A667" s="1" t="s">
        <v>1824</v>
      </c>
      <c r="B667" s="1">
        <v>150.0</v>
      </c>
    </row>
    <row r="668">
      <c r="A668" s="1" t="s">
        <v>1789</v>
      </c>
      <c r="B668" s="1">
        <v>150.0</v>
      </c>
    </row>
    <row r="669">
      <c r="A669" s="1" t="s">
        <v>1817</v>
      </c>
      <c r="B669" s="1">
        <v>150.0</v>
      </c>
    </row>
    <row r="670">
      <c r="A670" s="1" t="s">
        <v>1866</v>
      </c>
      <c r="B670" s="1">
        <v>150.0</v>
      </c>
    </row>
    <row r="671">
      <c r="A671" s="1" t="s">
        <v>1758</v>
      </c>
      <c r="B671" s="1">
        <v>150.0</v>
      </c>
    </row>
    <row r="672">
      <c r="A672" s="1" t="s">
        <v>1849</v>
      </c>
      <c r="B672" s="1">
        <v>150.0</v>
      </c>
    </row>
    <row r="673">
      <c r="A673" s="1" t="s">
        <v>1877</v>
      </c>
      <c r="B673" s="1">
        <v>150.0</v>
      </c>
    </row>
    <row r="674">
      <c r="A674" s="1" t="s">
        <v>1761</v>
      </c>
      <c r="B674" s="1">
        <v>150.0</v>
      </c>
    </row>
    <row r="675">
      <c r="A675" s="1" t="s">
        <v>1780</v>
      </c>
      <c r="B675" s="1">
        <v>150.0</v>
      </c>
    </row>
    <row r="676">
      <c r="A676" s="1" t="s">
        <v>1578</v>
      </c>
      <c r="B676" s="1">
        <v>700.0</v>
      </c>
    </row>
    <row r="678">
      <c r="A678" s="1" t="s">
        <v>1583</v>
      </c>
      <c r="B678" s="1">
        <v>100.0</v>
      </c>
    </row>
    <row r="679">
      <c r="A679" s="1" t="s">
        <v>1585</v>
      </c>
      <c r="B679" s="1">
        <v>600.0</v>
      </c>
    </row>
    <row r="681">
      <c r="A681" s="1" t="s">
        <v>1590</v>
      </c>
      <c r="B681" s="1">
        <v>150.0</v>
      </c>
    </row>
    <row r="682">
      <c r="A682" s="1" t="s">
        <v>1593</v>
      </c>
      <c r="B682" s="1">
        <v>150.0</v>
      </c>
    </row>
    <row r="683">
      <c r="A683" s="1" t="s">
        <v>1596</v>
      </c>
      <c r="B683" s="1">
        <v>150.0</v>
      </c>
    </row>
    <row r="684">
      <c r="A684" s="1" t="s">
        <v>1599</v>
      </c>
      <c r="B684" s="1">
        <v>150.0</v>
      </c>
    </row>
    <row r="685">
      <c r="A685" s="1" t="s">
        <v>1602</v>
      </c>
      <c r="B685" s="1">
        <v>150.0</v>
      </c>
    </row>
    <row r="686">
      <c r="A686" s="1" t="s">
        <v>1605</v>
      </c>
      <c r="B686" s="1">
        <v>150.0</v>
      </c>
    </row>
    <row r="687">
      <c r="A687" s="1" t="s">
        <v>1608</v>
      </c>
      <c r="B687" s="1">
        <v>150.0</v>
      </c>
    </row>
    <row r="688">
      <c r="A688" s="1" t="s">
        <v>1611</v>
      </c>
      <c r="B688" s="1">
        <v>150.0</v>
      </c>
    </row>
    <row r="689">
      <c r="A689" s="1" t="s">
        <v>1614</v>
      </c>
      <c r="B689" s="1">
        <v>100.0</v>
      </c>
    </row>
    <row r="690">
      <c r="A690" s="1" t="s">
        <v>1616</v>
      </c>
    </row>
    <row r="691">
      <c r="A691" s="1" t="s">
        <v>1619</v>
      </c>
    </row>
    <row r="692">
      <c r="A692" s="1" t="s">
        <v>1620</v>
      </c>
    </row>
    <row r="693">
      <c r="A693" s="1" t="s">
        <v>1623</v>
      </c>
    </row>
    <row r="694">
      <c r="A694" s="1" t="s">
        <v>1625</v>
      </c>
    </row>
    <row r="695">
      <c r="A695" s="1" t="s">
        <v>1628</v>
      </c>
    </row>
    <row r="696">
      <c r="A696" s="1" t="s">
        <v>1630</v>
      </c>
    </row>
    <row r="697">
      <c r="A697" s="1" t="s">
        <v>1633</v>
      </c>
    </row>
    <row r="698">
      <c r="A698" s="1" t="s">
        <v>1636</v>
      </c>
    </row>
    <row r="699">
      <c r="A699" s="1"/>
    </row>
    <row r="700">
      <c r="A700" s="1"/>
    </row>
    <row r="701">
      <c r="A701" s="1"/>
    </row>
    <row r="702">
      <c r="A702" s="1" t="s">
        <v>1641</v>
      </c>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t="s">
        <v>1665</v>
      </c>
    </row>
    <row r="725">
      <c r="A725" s="1"/>
    </row>
    <row r="726">
      <c r="A726" s="1"/>
    </row>
    <row r="727">
      <c r="A727" s="1"/>
    </row>
    <row r="728">
      <c r="A728" s="1"/>
    </row>
    <row r="729">
      <c r="A729" s="1" t="s">
        <v>1672</v>
      </c>
    </row>
    <row r="730">
      <c r="A730" s="1"/>
    </row>
    <row r="731">
      <c r="A731" s="1"/>
    </row>
    <row r="732">
      <c r="A732" s="1"/>
    </row>
    <row r="733">
      <c r="A733" s="1"/>
    </row>
    <row r="734">
      <c r="A734" s="1" t="s">
        <v>1678</v>
      </c>
    </row>
    <row r="735">
      <c r="A735" s="1" t="s">
        <v>1680</v>
      </c>
    </row>
    <row r="736">
      <c r="A736" s="1" t="s">
        <v>1683</v>
      </c>
    </row>
    <row r="737">
      <c r="A737" s="1" t="s">
        <v>1687</v>
      </c>
    </row>
    <row r="738">
      <c r="A738" s="1" t="s">
        <v>1690</v>
      </c>
    </row>
    <row r="739">
      <c r="A739" s="1" t="s">
        <v>1693</v>
      </c>
    </row>
    <row r="740">
      <c r="A740" s="1" t="s">
        <v>1696</v>
      </c>
    </row>
    <row r="741">
      <c r="A741" s="1" t="s">
        <v>1698</v>
      </c>
    </row>
    <row r="742">
      <c r="A742" s="1" t="s">
        <v>1702</v>
      </c>
    </row>
    <row r="743">
      <c r="A743" s="1" t="s">
        <v>1704</v>
      </c>
    </row>
    <row r="744">
      <c r="A744" s="1" t="s">
        <v>1706</v>
      </c>
    </row>
    <row r="745">
      <c r="A745" s="1" t="s">
        <v>1708</v>
      </c>
    </row>
    <row r="746">
      <c r="A746" s="1" t="s">
        <v>1711</v>
      </c>
    </row>
    <row r="747">
      <c r="A747" s="1" t="s">
        <v>1712</v>
      </c>
    </row>
    <row r="748">
      <c r="A748" s="1" t="s">
        <v>1714</v>
      </c>
    </row>
    <row r="749">
      <c r="A749" s="1" t="s">
        <v>1717</v>
      </c>
    </row>
    <row r="750">
      <c r="A750" s="1" t="s">
        <v>1720</v>
      </c>
    </row>
    <row r="751">
      <c r="A751" s="1" t="s">
        <v>1722</v>
      </c>
    </row>
    <row r="752">
      <c r="A752" s="1" t="s">
        <v>1725</v>
      </c>
    </row>
    <row r="753">
      <c r="A753" s="1" t="s">
        <v>1728</v>
      </c>
    </row>
    <row r="754">
      <c r="A754" s="1" t="s">
        <v>1731</v>
      </c>
      <c r="B754" s="1">
        <v>10.0</v>
      </c>
    </row>
    <row r="755">
      <c r="A755" s="1" t="s">
        <v>1733</v>
      </c>
    </row>
    <row r="756">
      <c r="A756" s="1" t="s">
        <v>1736</v>
      </c>
      <c r="B756" s="1">
        <v>10.0</v>
      </c>
    </row>
    <row r="757">
      <c r="A757" s="1" t="s">
        <v>1739</v>
      </c>
      <c r="B757" s="1">
        <v>10.0</v>
      </c>
    </row>
    <row r="758">
      <c r="A758" s="1" t="s">
        <v>1742</v>
      </c>
    </row>
    <row r="759">
      <c r="A759" s="1" t="s">
        <v>1745</v>
      </c>
    </row>
    <row r="760">
      <c r="A760" s="1" t="s">
        <v>1748</v>
      </c>
      <c r="B760" s="1">
        <v>10.0</v>
      </c>
    </row>
    <row r="761">
      <c r="A761" s="1" t="s">
        <v>1750</v>
      </c>
      <c r="B761" s="1">
        <v>3500.0</v>
      </c>
    </row>
    <row r="762">
      <c r="A762" s="1" t="s">
        <v>1752</v>
      </c>
      <c r="B762" s="1">
        <v>500.0</v>
      </c>
    </row>
    <row r="764">
      <c r="A764" s="1" t="s">
        <v>1764</v>
      </c>
      <c r="B764" s="1">
        <v>250.0</v>
      </c>
    </row>
    <row r="765">
      <c r="A765" s="1" t="s">
        <v>1766</v>
      </c>
      <c r="B765" s="1">
        <v>200.0</v>
      </c>
    </row>
    <row r="766">
      <c r="A766" s="1" t="s">
        <v>1771</v>
      </c>
      <c r="B766" s="1">
        <v>200.0</v>
      </c>
    </row>
    <row r="767">
      <c r="A767" s="1" t="s">
        <v>1773</v>
      </c>
      <c r="B767" s="1">
        <v>200.0</v>
      </c>
    </row>
    <row r="768">
      <c r="A768" s="1" t="s">
        <v>1775</v>
      </c>
      <c r="B768" s="1">
        <v>200.0</v>
      </c>
    </row>
    <row r="769">
      <c r="A769" s="1" t="s">
        <v>1777</v>
      </c>
      <c r="B769" s="1">
        <v>150.0</v>
      </c>
    </row>
    <row r="770">
      <c r="A770" s="1" t="s">
        <v>1782</v>
      </c>
      <c r="B770" s="1">
        <v>150.0</v>
      </c>
    </row>
    <row r="771">
      <c r="A771" s="1" t="s">
        <v>1784</v>
      </c>
      <c r="B771" s="1">
        <v>150.0</v>
      </c>
    </row>
    <row r="772">
      <c r="A772" s="1" t="s">
        <v>1791</v>
      </c>
      <c r="B772" s="1">
        <v>150.0</v>
      </c>
    </row>
    <row r="773">
      <c r="A773" s="1" t="s">
        <v>1793</v>
      </c>
      <c r="B773" s="1">
        <v>150.0</v>
      </c>
    </row>
    <row r="774">
      <c r="A774" s="1" t="s">
        <v>1798</v>
      </c>
      <c r="B774" s="1">
        <v>150.0</v>
      </c>
    </row>
    <row r="775">
      <c r="A775" s="1" t="s">
        <v>1804</v>
      </c>
      <c r="B775" s="1">
        <v>150.0</v>
      </c>
    </row>
    <row r="776">
      <c r="A776" s="1" t="s">
        <v>1812</v>
      </c>
      <c r="B776" s="1">
        <v>150.0</v>
      </c>
    </row>
    <row r="777">
      <c r="A777" s="1" t="s">
        <v>1800</v>
      </c>
      <c r="B777" s="1">
        <v>150.0</v>
      </c>
    </row>
    <row r="778">
      <c r="A778" s="1" t="s">
        <v>1814</v>
      </c>
      <c r="B778" s="1">
        <v>150.0</v>
      </c>
    </row>
    <row r="779">
      <c r="A779" s="1" t="s">
        <v>1819</v>
      </c>
      <c r="B779" s="1">
        <v>150.0</v>
      </c>
    </row>
    <row r="780">
      <c r="A780" s="1" t="s">
        <v>1821</v>
      </c>
      <c r="B780" s="1">
        <v>100.0</v>
      </c>
    </row>
    <row r="781">
      <c r="A781" s="1" t="s">
        <v>1836</v>
      </c>
      <c r="B781" s="1">
        <v>100.0</v>
      </c>
    </row>
    <row r="782">
      <c r="A782" s="1" t="s">
        <v>1786</v>
      </c>
      <c r="B782" s="1">
        <v>100.0</v>
      </c>
    </row>
    <row r="783">
      <c r="A783" s="1" t="s">
        <v>1826</v>
      </c>
      <c r="B783" s="1">
        <v>100.0</v>
      </c>
    </row>
    <row r="784">
      <c r="A784" s="1" t="s">
        <v>1828</v>
      </c>
      <c r="B784" s="1">
        <v>100.0</v>
      </c>
    </row>
    <row r="785">
      <c r="A785" s="1" t="s">
        <v>1830</v>
      </c>
      <c r="B785" s="1">
        <v>100.0</v>
      </c>
    </row>
    <row r="786">
      <c r="A786" s="1" t="s">
        <v>1834</v>
      </c>
      <c r="B786" s="1">
        <v>100.0</v>
      </c>
    </row>
    <row r="787">
      <c r="A787" s="1" t="s">
        <v>2238</v>
      </c>
      <c r="B787" s="1">
        <v>100.0</v>
      </c>
    </row>
    <row r="788">
      <c r="A788" s="1" t="s">
        <v>1838</v>
      </c>
      <c r="B788" s="1">
        <v>100.0</v>
      </c>
    </row>
    <row r="789">
      <c r="A789" s="1" t="s">
        <v>1840</v>
      </c>
      <c r="B789" s="1">
        <v>100.0</v>
      </c>
    </row>
    <row r="790">
      <c r="A790" s="1" t="s">
        <v>1842</v>
      </c>
      <c r="B790" s="1">
        <v>100.0</v>
      </c>
    </row>
    <row r="791">
      <c r="A791" s="1" t="s">
        <v>1844</v>
      </c>
      <c r="B791" s="1">
        <v>100.0</v>
      </c>
    </row>
    <row r="792">
      <c r="A792" s="1" t="s">
        <v>1846</v>
      </c>
      <c r="B792" s="1">
        <v>100.0</v>
      </c>
    </row>
    <row r="793">
      <c r="A793" s="1" t="s">
        <v>2239</v>
      </c>
      <c r="B793" s="1">
        <v>100.0</v>
      </c>
    </row>
    <row r="794">
      <c r="A794" s="1" t="s">
        <v>1853</v>
      </c>
      <c r="B794" s="1">
        <v>100.0</v>
      </c>
    </row>
    <row r="795">
      <c r="A795" s="1" t="s">
        <v>1855</v>
      </c>
      <c r="B795" s="1">
        <v>100.0</v>
      </c>
    </row>
    <row r="796">
      <c r="A796" s="1" t="s">
        <v>1857</v>
      </c>
      <c r="B796" s="1">
        <v>100.0</v>
      </c>
    </row>
    <row r="797">
      <c r="A797" s="1" t="s">
        <v>1832</v>
      </c>
      <c r="B797" s="1">
        <v>100.0</v>
      </c>
    </row>
    <row r="798">
      <c r="A798" s="1" t="s">
        <v>1859</v>
      </c>
      <c r="B798" s="1">
        <v>100.0</v>
      </c>
    </row>
    <row r="799">
      <c r="A799" s="1" t="s">
        <v>1861</v>
      </c>
      <c r="B799" s="1">
        <v>100.0</v>
      </c>
    </row>
    <row r="800">
      <c r="A800" s="1" t="s">
        <v>1863</v>
      </c>
      <c r="B800" s="1">
        <v>100.0</v>
      </c>
    </row>
    <row r="801">
      <c r="A801" s="1" t="s">
        <v>1868</v>
      </c>
      <c r="B801" s="1">
        <v>100.0</v>
      </c>
    </row>
    <row r="802">
      <c r="A802" s="1" t="s">
        <v>1870</v>
      </c>
      <c r="B802" s="1">
        <v>100.0</v>
      </c>
    </row>
    <row r="803">
      <c r="A803" s="1" t="s">
        <v>1872</v>
      </c>
      <c r="B803" s="1">
        <v>100.0</v>
      </c>
    </row>
    <row r="804">
      <c r="A804" s="1" t="s">
        <v>1874</v>
      </c>
      <c r="B804" s="1">
        <v>100.0</v>
      </c>
    </row>
    <row r="805">
      <c r="A805" s="1" t="s">
        <v>1879</v>
      </c>
      <c r="B805" s="1">
        <v>100.0</v>
      </c>
    </row>
    <row r="806">
      <c r="A806" s="1" t="s">
        <v>1888</v>
      </c>
      <c r="B806" s="1">
        <v>100.0</v>
      </c>
    </row>
    <row r="807">
      <c r="A807" s="1" t="s">
        <v>1896</v>
      </c>
      <c r="B807" s="1">
        <v>100.0</v>
      </c>
    </row>
    <row r="808">
      <c r="A808" s="1" t="s">
        <v>1890</v>
      </c>
      <c r="B808" s="1">
        <v>100.0</v>
      </c>
    </row>
    <row r="809">
      <c r="A809" s="1" t="s">
        <v>1892</v>
      </c>
      <c r="B809" s="1">
        <v>100.0</v>
      </c>
    </row>
    <row r="810">
      <c r="A810" s="1" t="s">
        <v>1898</v>
      </c>
      <c r="B810" s="1">
        <v>100.0</v>
      </c>
    </row>
    <row r="811">
      <c r="A811" s="1" t="s">
        <v>1894</v>
      </c>
      <c r="B811" s="1">
        <v>100.0</v>
      </c>
    </row>
    <row r="812">
      <c r="A812" s="1" t="s">
        <v>1900</v>
      </c>
      <c r="B812" s="1">
        <v>100.0</v>
      </c>
    </row>
    <row r="813">
      <c r="A813" s="1" t="s">
        <v>1902</v>
      </c>
      <c r="B813" s="1">
        <v>100.0</v>
      </c>
    </row>
    <row r="814">
      <c r="A814" s="1" t="s">
        <v>1904</v>
      </c>
      <c r="B814" s="1">
        <v>100.0</v>
      </c>
    </row>
    <row r="815">
      <c r="A815" s="1" t="s">
        <v>1906</v>
      </c>
      <c r="B815" s="1">
        <v>100.0</v>
      </c>
    </row>
    <row r="816">
      <c r="A816" s="1" t="s">
        <v>1881</v>
      </c>
      <c r="B816" s="1">
        <v>100.0</v>
      </c>
    </row>
    <row r="817">
      <c r="A817" s="1" t="s">
        <v>1883</v>
      </c>
      <c r="B817" s="1">
        <v>100.0</v>
      </c>
    </row>
    <row r="818">
      <c r="A818" s="1" t="s">
        <v>1908</v>
      </c>
      <c r="B818" s="1">
        <v>100.0</v>
      </c>
    </row>
    <row r="819">
      <c r="A819" s="1" t="s">
        <v>1910</v>
      </c>
      <c r="B819" s="1">
        <v>100.0</v>
      </c>
    </row>
    <row r="820">
      <c r="A820" s="1" t="s">
        <v>1912</v>
      </c>
      <c r="B820" s="1">
        <v>100.0</v>
      </c>
    </row>
    <row r="821">
      <c r="A821" s="1" t="s">
        <v>1914</v>
      </c>
      <c r="B821" s="1">
        <v>100.0</v>
      </c>
    </row>
    <row r="822">
      <c r="A822" s="1" t="s">
        <v>1916</v>
      </c>
      <c r="B822" s="1">
        <v>100.0</v>
      </c>
    </row>
    <row r="823">
      <c r="A823" s="1" t="s">
        <v>1918</v>
      </c>
      <c r="B823" s="1">
        <v>100.0</v>
      </c>
    </row>
    <row r="824">
      <c r="A824" s="1" t="s">
        <v>1920</v>
      </c>
      <c r="B824" s="1">
        <v>100.0</v>
      </c>
    </row>
    <row r="825">
      <c r="A825" s="1" t="s">
        <v>1922</v>
      </c>
      <c r="B825" s="1">
        <v>100.0</v>
      </c>
    </row>
    <row r="826">
      <c r="A826" s="1" t="s">
        <v>1924</v>
      </c>
      <c r="B826" s="1">
        <v>100.0</v>
      </c>
    </row>
    <row r="827">
      <c r="A827" s="1" t="s">
        <v>1925</v>
      </c>
      <c r="B827" s="1">
        <v>100.0</v>
      </c>
    </row>
    <row r="828">
      <c r="A828" s="1" t="s">
        <v>1926</v>
      </c>
      <c r="B828" s="1">
        <v>100.0</v>
      </c>
    </row>
    <row r="829">
      <c r="A829" s="1" t="s">
        <v>1927</v>
      </c>
      <c r="B829" s="1">
        <v>100.0</v>
      </c>
    </row>
    <row r="830">
      <c r="A830" s="1" t="s">
        <v>1928</v>
      </c>
      <c r="B830" s="1">
        <v>100.0</v>
      </c>
    </row>
    <row r="831">
      <c r="A831" s="1" t="s">
        <v>1929</v>
      </c>
      <c r="B831" s="1">
        <v>100.0</v>
      </c>
    </row>
    <row r="832">
      <c r="A832" s="1" t="s">
        <v>1930</v>
      </c>
      <c r="B832" s="1">
        <v>100.0</v>
      </c>
    </row>
    <row r="833">
      <c r="A833" s="1" t="s">
        <v>1931</v>
      </c>
      <c r="B833" s="1">
        <v>100.0</v>
      </c>
    </row>
    <row r="834">
      <c r="A834" s="1" t="s">
        <v>1932</v>
      </c>
      <c r="B834" s="1">
        <v>100.0</v>
      </c>
    </row>
    <row r="835">
      <c r="A835" s="1" t="s">
        <v>1933</v>
      </c>
      <c r="B835" s="1">
        <v>100.0</v>
      </c>
    </row>
    <row r="836">
      <c r="A836" s="1" t="s">
        <v>1934</v>
      </c>
      <c r="B836" s="1">
        <v>100.0</v>
      </c>
    </row>
    <row r="837">
      <c r="A837" s="1" t="s">
        <v>1935</v>
      </c>
      <c r="B837" s="1">
        <v>100.0</v>
      </c>
    </row>
    <row r="838">
      <c r="A838" s="1" t="s">
        <v>1936</v>
      </c>
      <c r="B838" s="1">
        <v>100.0</v>
      </c>
    </row>
    <row r="839">
      <c r="A839" s="1" t="s">
        <v>1937</v>
      </c>
      <c r="B839" s="1">
        <v>100.0</v>
      </c>
    </row>
    <row r="840">
      <c r="A840" s="1" t="s">
        <v>1938</v>
      </c>
      <c r="B840" s="1">
        <v>100.0</v>
      </c>
    </row>
    <row r="841">
      <c r="A841" s="1" t="s">
        <v>1939</v>
      </c>
      <c r="B841" s="1">
        <v>100.0</v>
      </c>
    </row>
    <row r="842">
      <c r="A842" s="1" t="s">
        <v>1940</v>
      </c>
      <c r="B842" s="1">
        <v>100.0</v>
      </c>
    </row>
    <row r="843">
      <c r="A843" s="1" t="s">
        <v>1941</v>
      </c>
      <c r="B843" s="1">
        <v>100.0</v>
      </c>
    </row>
    <row r="844">
      <c r="A844" s="1" t="s">
        <v>1942</v>
      </c>
      <c r="B844" s="1">
        <v>100.0</v>
      </c>
    </row>
    <row r="845">
      <c r="A845" s="1" t="s">
        <v>1943</v>
      </c>
      <c r="B845" s="1">
        <v>100.0</v>
      </c>
    </row>
    <row r="846">
      <c r="A846" s="1" t="s">
        <v>1944</v>
      </c>
      <c r="B846" s="1">
        <v>90.0</v>
      </c>
    </row>
    <row r="847">
      <c r="A847" s="1"/>
      <c r="B847" s="1"/>
    </row>
    <row r="848">
      <c r="A848" s="1" t="s">
        <v>1945</v>
      </c>
      <c r="B848" s="1">
        <v>90.0</v>
      </c>
    </row>
    <row r="849">
      <c r="A849" s="1" t="s">
        <v>1946</v>
      </c>
      <c r="B849" s="1">
        <v>70.0</v>
      </c>
    </row>
    <row r="850">
      <c r="A850" s="1" t="s">
        <v>1947</v>
      </c>
      <c r="B850" s="1">
        <v>70.0</v>
      </c>
    </row>
    <row r="851">
      <c r="A851" s="1" t="s">
        <v>1948</v>
      </c>
      <c r="B851" s="1">
        <v>70.0</v>
      </c>
    </row>
    <row r="852">
      <c r="A852" s="1" t="s">
        <v>1949</v>
      </c>
      <c r="B852" s="1">
        <v>70.0</v>
      </c>
    </row>
    <row r="853">
      <c r="A853" s="1" t="s">
        <v>1950</v>
      </c>
      <c r="B853" s="1">
        <v>70.0</v>
      </c>
    </row>
    <row r="854">
      <c r="A854" s="1" t="s">
        <v>1951</v>
      </c>
      <c r="B854" s="1">
        <v>70.0</v>
      </c>
    </row>
    <row r="855">
      <c r="A855" s="1" t="s">
        <v>1952</v>
      </c>
      <c r="B855" s="1">
        <v>70.0</v>
      </c>
    </row>
    <row r="856">
      <c r="A856" s="1" t="s">
        <v>1953</v>
      </c>
      <c r="B856" s="1">
        <v>70.0</v>
      </c>
    </row>
    <row r="857">
      <c r="A857" s="1" t="s">
        <v>1954</v>
      </c>
      <c r="B857" s="1">
        <v>70.0</v>
      </c>
    </row>
    <row r="858">
      <c r="A858" s="1" t="s">
        <v>1955</v>
      </c>
      <c r="B858" s="1">
        <v>70.0</v>
      </c>
    </row>
    <row r="859">
      <c r="A859" s="1" t="s">
        <v>1956</v>
      </c>
      <c r="B859" s="1">
        <v>70.0</v>
      </c>
    </row>
    <row r="860">
      <c r="A860" s="1" t="s">
        <v>1957</v>
      </c>
      <c r="B860" s="1">
        <v>70.0</v>
      </c>
    </row>
    <row r="861">
      <c r="A861" s="1" t="s">
        <v>1958</v>
      </c>
      <c r="B861" s="1">
        <v>70.0</v>
      </c>
    </row>
    <row r="862">
      <c r="A862" s="1" t="s">
        <v>1959</v>
      </c>
      <c r="B862" s="1">
        <v>70.0</v>
      </c>
    </row>
    <row r="863">
      <c r="A863" s="1" t="s">
        <v>1960</v>
      </c>
      <c r="B863" s="1">
        <v>70.0</v>
      </c>
    </row>
    <row r="864">
      <c r="A864" s="1" t="s">
        <v>1961</v>
      </c>
      <c r="B864" s="1">
        <v>70.0</v>
      </c>
    </row>
    <row r="865">
      <c r="A865" s="1" t="s">
        <v>1962</v>
      </c>
      <c r="B865" s="1">
        <v>70.0</v>
      </c>
    </row>
    <row r="866">
      <c r="A866" s="1" t="s">
        <v>1963</v>
      </c>
      <c r="B866" s="1">
        <v>70.0</v>
      </c>
    </row>
    <row r="867">
      <c r="A867" s="1" t="s">
        <v>1964</v>
      </c>
      <c r="B867" s="1">
        <v>70.0</v>
      </c>
    </row>
    <row r="868">
      <c r="A868" s="1" t="s">
        <v>1965</v>
      </c>
      <c r="B868" s="1">
        <v>70.0</v>
      </c>
    </row>
    <row r="869">
      <c r="A869" s="1" t="s">
        <v>1966</v>
      </c>
      <c r="B869" s="1">
        <v>70.0</v>
      </c>
    </row>
    <row r="870">
      <c r="A870" s="1" t="s">
        <v>1967</v>
      </c>
      <c r="B870" s="1">
        <v>70.0</v>
      </c>
    </row>
    <row r="871">
      <c r="A871" s="1" t="s">
        <v>1968</v>
      </c>
      <c r="B871" s="1">
        <v>70.0</v>
      </c>
    </row>
    <row r="872">
      <c r="A872" s="1" t="s">
        <v>1969</v>
      </c>
      <c r="B872" s="1">
        <v>70.0</v>
      </c>
    </row>
    <row r="873">
      <c r="A873" s="1" t="s">
        <v>1970</v>
      </c>
      <c r="B873" s="1">
        <v>70.0</v>
      </c>
    </row>
    <row r="874">
      <c r="A874" s="1" t="s">
        <v>1971</v>
      </c>
      <c r="B874" s="1">
        <v>70.0</v>
      </c>
    </row>
    <row r="875">
      <c r="A875" s="1" t="s">
        <v>1972</v>
      </c>
      <c r="B875" s="1">
        <v>70.0</v>
      </c>
    </row>
    <row r="876">
      <c r="A876" s="1" t="s">
        <v>1973</v>
      </c>
      <c r="B876" s="1">
        <v>70.0</v>
      </c>
    </row>
    <row r="877">
      <c r="A877" s="1" t="s">
        <v>1974</v>
      </c>
      <c r="B877" s="1">
        <v>70.0</v>
      </c>
    </row>
    <row r="878">
      <c r="A878" s="1" t="s">
        <v>1975</v>
      </c>
      <c r="B878" s="1">
        <v>70.0</v>
      </c>
    </row>
    <row r="879">
      <c r="A879" s="1" t="s">
        <v>1976</v>
      </c>
      <c r="B879" s="1">
        <v>70.0</v>
      </c>
    </row>
    <row r="880">
      <c r="A880" s="1" t="s">
        <v>1977</v>
      </c>
      <c r="B880" s="1">
        <v>70.0</v>
      </c>
    </row>
    <row r="881">
      <c r="A881" s="1" t="s">
        <v>1978</v>
      </c>
      <c r="B881" s="1">
        <v>70.0</v>
      </c>
    </row>
    <row r="882">
      <c r="A882" s="1" t="s">
        <v>1979</v>
      </c>
      <c r="B882" s="1">
        <v>70.0</v>
      </c>
    </row>
    <row r="883">
      <c r="A883" s="1" t="s">
        <v>1980</v>
      </c>
      <c r="B883" s="1">
        <v>70.0</v>
      </c>
    </row>
    <row r="884">
      <c r="A884" s="1" t="s">
        <v>1981</v>
      </c>
      <c r="B884" s="1">
        <v>70.0</v>
      </c>
    </row>
    <row r="885">
      <c r="A885" s="1" t="s">
        <v>1982</v>
      </c>
      <c r="B885" s="1">
        <v>70.0</v>
      </c>
    </row>
    <row r="886">
      <c r="A886" s="1" t="s">
        <v>1983</v>
      </c>
      <c r="B886" s="1">
        <v>70.0</v>
      </c>
    </row>
    <row r="887">
      <c r="A887" s="1" t="s">
        <v>1984</v>
      </c>
      <c r="B887" s="1">
        <v>70.0</v>
      </c>
    </row>
    <row r="888">
      <c r="A888" s="1" t="s">
        <v>1985</v>
      </c>
      <c r="B888" s="1">
        <v>70.0</v>
      </c>
    </row>
    <row r="889">
      <c r="A889" s="1" t="s">
        <v>1986</v>
      </c>
      <c r="B889" s="1">
        <v>70.0</v>
      </c>
    </row>
    <row r="890">
      <c r="A890" s="1" t="s">
        <v>1987</v>
      </c>
      <c r="B890" s="1">
        <v>70.0</v>
      </c>
    </row>
    <row r="891">
      <c r="A891" s="1" t="s">
        <v>1988</v>
      </c>
      <c r="B891" s="1">
        <v>60.0</v>
      </c>
    </row>
    <row r="892">
      <c r="A892" s="1" t="s">
        <v>1989</v>
      </c>
      <c r="B892" s="1">
        <v>60.0</v>
      </c>
    </row>
    <row r="893">
      <c r="A893" s="1" t="s">
        <v>1991</v>
      </c>
      <c r="B893" s="1">
        <v>60.0</v>
      </c>
    </row>
    <row r="894">
      <c r="A894" s="1" t="s">
        <v>1992</v>
      </c>
      <c r="B894" s="1">
        <v>60.0</v>
      </c>
    </row>
    <row r="895">
      <c r="A895" s="1" t="s">
        <v>1994</v>
      </c>
      <c r="B895" s="1">
        <v>60.0</v>
      </c>
    </row>
    <row r="896">
      <c r="A896" s="1" t="s">
        <v>1995</v>
      </c>
      <c r="B896" s="1">
        <v>60.0</v>
      </c>
    </row>
    <row r="897">
      <c r="A897" s="1" t="s">
        <v>1996</v>
      </c>
      <c r="B897" s="1">
        <v>60.0</v>
      </c>
    </row>
    <row r="898">
      <c r="A898" s="1" t="s">
        <v>1997</v>
      </c>
      <c r="B898" s="1">
        <v>60.0</v>
      </c>
    </row>
    <row r="899">
      <c r="A899" s="1" t="s">
        <v>1998</v>
      </c>
      <c r="B899" s="1">
        <v>60.0</v>
      </c>
    </row>
    <row r="900">
      <c r="A900" s="1" t="s">
        <v>2000</v>
      </c>
      <c r="B900" s="1">
        <v>60.0</v>
      </c>
    </row>
    <row r="901">
      <c r="A901" s="1" t="s">
        <v>2001</v>
      </c>
      <c r="B901" s="1">
        <v>60.0</v>
      </c>
    </row>
    <row r="902">
      <c r="A902" s="1" t="s">
        <v>2002</v>
      </c>
      <c r="B902" s="1">
        <v>60.0</v>
      </c>
    </row>
    <row r="903">
      <c r="A903" s="1" t="s">
        <v>2003</v>
      </c>
      <c r="B903" s="1">
        <v>60.0</v>
      </c>
    </row>
    <row r="904">
      <c r="A904" s="1" t="s">
        <v>2004</v>
      </c>
      <c r="B904" s="1">
        <v>60.0</v>
      </c>
    </row>
    <row r="905">
      <c r="A905" s="1" t="s">
        <v>2006</v>
      </c>
      <c r="B905" s="1">
        <v>60.0</v>
      </c>
    </row>
    <row r="906">
      <c r="A906" s="1" t="s">
        <v>2007</v>
      </c>
      <c r="B906" s="1">
        <v>60.0</v>
      </c>
    </row>
    <row r="907">
      <c r="A907" s="1"/>
      <c r="B907" s="1"/>
    </row>
    <row r="908">
      <c r="A908" s="1" t="s">
        <v>2008</v>
      </c>
      <c r="B908" s="1">
        <v>50.0</v>
      </c>
    </row>
    <row r="909">
      <c r="A909" s="1" t="s">
        <v>2009</v>
      </c>
      <c r="B909" s="1">
        <v>50.0</v>
      </c>
    </row>
    <row r="910">
      <c r="A910" s="1" t="s">
        <v>2010</v>
      </c>
      <c r="B910" s="1">
        <v>50.0</v>
      </c>
    </row>
    <row r="911">
      <c r="A911" s="1" t="s">
        <v>2011</v>
      </c>
      <c r="B911" s="1">
        <v>50.0</v>
      </c>
    </row>
    <row r="912">
      <c r="A912" s="1" t="s">
        <v>2012</v>
      </c>
      <c r="B912" s="1">
        <v>50.0</v>
      </c>
    </row>
    <row r="913">
      <c r="A913" s="1" t="s">
        <v>2013</v>
      </c>
      <c r="B913" s="1">
        <v>40.0</v>
      </c>
    </row>
    <row r="914">
      <c r="A914" s="1" t="s">
        <v>2014</v>
      </c>
      <c r="B914" s="1">
        <v>40.0</v>
      </c>
    </row>
    <row r="915">
      <c r="A915" s="1" t="s">
        <v>2015</v>
      </c>
      <c r="B915" s="1">
        <v>40.0</v>
      </c>
    </row>
    <row r="916">
      <c r="A916" s="1" t="s">
        <v>2016</v>
      </c>
      <c r="B916" s="1">
        <v>40.0</v>
      </c>
    </row>
    <row r="917">
      <c r="A917" s="1" t="s">
        <v>2017</v>
      </c>
      <c r="B917" s="1">
        <v>40.0</v>
      </c>
    </row>
    <row r="918">
      <c r="A918" s="1" t="s">
        <v>2018</v>
      </c>
      <c r="B918" s="1">
        <v>40.0</v>
      </c>
    </row>
    <row r="919">
      <c r="A919" s="1" t="s">
        <v>2019</v>
      </c>
      <c r="B919" s="1">
        <v>30.0</v>
      </c>
    </row>
    <row r="920">
      <c r="A920" s="1" t="s">
        <v>2020</v>
      </c>
      <c r="B920" s="1">
        <v>30.0</v>
      </c>
    </row>
    <row r="921">
      <c r="A921" s="1" t="s">
        <v>2021</v>
      </c>
      <c r="B921" s="1">
        <v>30.0</v>
      </c>
    </row>
    <row r="922">
      <c r="A922" s="1" t="s">
        <v>2022</v>
      </c>
      <c r="B922" s="1">
        <v>30.0</v>
      </c>
    </row>
    <row r="923">
      <c r="A923" s="1" t="s">
        <v>2023</v>
      </c>
      <c r="B923" s="1">
        <v>30.0</v>
      </c>
    </row>
    <row r="924">
      <c r="A924" s="1" t="s">
        <v>2024</v>
      </c>
      <c r="B924" s="1">
        <v>30.0</v>
      </c>
    </row>
    <row r="925">
      <c r="A925" s="1" t="s">
        <v>2025</v>
      </c>
      <c r="B925" s="1">
        <v>30.0</v>
      </c>
    </row>
    <row r="926">
      <c r="A926" s="1" t="s">
        <v>2026</v>
      </c>
      <c r="B926" s="1">
        <v>30.0</v>
      </c>
    </row>
    <row r="927">
      <c r="A927" s="1" t="s">
        <v>2027</v>
      </c>
      <c r="B927" s="1">
        <v>30.0</v>
      </c>
    </row>
    <row r="928">
      <c r="A928" s="1" t="s">
        <v>2028</v>
      </c>
      <c r="B928" s="1">
        <v>30.0</v>
      </c>
    </row>
    <row r="929">
      <c r="A929" s="1" t="s">
        <v>2029</v>
      </c>
      <c r="B929" s="1">
        <v>30.0</v>
      </c>
    </row>
    <row r="930">
      <c r="A930" s="1" t="s">
        <v>2030</v>
      </c>
      <c r="B930" s="1">
        <v>30.0</v>
      </c>
    </row>
    <row r="931">
      <c r="A931" s="1" t="s">
        <v>2031</v>
      </c>
      <c r="B931" s="1">
        <v>30.0</v>
      </c>
    </row>
    <row r="932">
      <c r="A932" s="1" t="s">
        <v>2032</v>
      </c>
      <c r="B932" s="1">
        <v>30.0</v>
      </c>
    </row>
    <row r="933">
      <c r="A933" s="1" t="s">
        <v>2033</v>
      </c>
      <c r="B933" s="1">
        <v>30.0</v>
      </c>
    </row>
    <row r="934">
      <c r="A934" s="1" t="s">
        <v>2034</v>
      </c>
      <c r="B934" s="1">
        <v>30.0</v>
      </c>
    </row>
    <row r="935">
      <c r="A935" s="1" t="s">
        <v>2035</v>
      </c>
      <c r="B935" s="1">
        <v>30.0</v>
      </c>
    </row>
    <row r="936">
      <c r="A936" s="1" t="s">
        <v>2036</v>
      </c>
      <c r="B936" s="1">
        <v>30.0</v>
      </c>
    </row>
    <row r="937">
      <c r="A937" s="1" t="s">
        <v>2037</v>
      </c>
      <c r="B937" s="1">
        <v>20.0</v>
      </c>
    </row>
    <row r="938">
      <c r="A938" s="1" t="s">
        <v>2038</v>
      </c>
      <c r="B938" s="1">
        <v>20.0</v>
      </c>
    </row>
    <row r="939">
      <c r="A939" s="1" t="s">
        <v>2039</v>
      </c>
      <c r="B939" s="1">
        <v>20.0</v>
      </c>
    </row>
    <row r="940">
      <c r="A940" s="1" t="s">
        <v>2040</v>
      </c>
      <c r="B940" s="1">
        <v>20.0</v>
      </c>
    </row>
    <row r="941">
      <c r="A941" s="1" t="s">
        <v>2041</v>
      </c>
      <c r="B941" s="1">
        <v>20.0</v>
      </c>
    </row>
    <row r="942">
      <c r="A942" s="1" t="s">
        <v>2042</v>
      </c>
      <c r="B942" s="1">
        <v>20.0</v>
      </c>
    </row>
    <row r="943">
      <c r="A943" s="1" t="s">
        <v>2043</v>
      </c>
      <c r="B943" s="1">
        <v>20.0</v>
      </c>
    </row>
    <row r="944">
      <c r="A944" s="1" t="s">
        <v>2044</v>
      </c>
      <c r="B944" s="1">
        <v>20.0</v>
      </c>
    </row>
    <row r="945">
      <c r="A945" s="1" t="s">
        <v>2045</v>
      </c>
      <c r="B945" s="1">
        <v>20.0</v>
      </c>
    </row>
    <row r="946">
      <c r="A946" s="1" t="s">
        <v>2046</v>
      </c>
      <c r="B946" s="1">
        <v>20.0</v>
      </c>
    </row>
    <row r="947">
      <c r="A947" s="1" t="s">
        <v>2047</v>
      </c>
      <c r="B947" s="1">
        <v>20.0</v>
      </c>
    </row>
    <row r="948">
      <c r="A948" s="1" t="s">
        <v>2048</v>
      </c>
      <c r="B948" s="1">
        <v>20.0</v>
      </c>
    </row>
    <row r="949">
      <c r="A949" s="1" t="s">
        <v>2049</v>
      </c>
      <c r="B949" s="1">
        <v>20.0</v>
      </c>
    </row>
    <row r="950">
      <c r="A950" s="1" t="s">
        <v>2050</v>
      </c>
      <c r="B950" s="1">
        <v>20.0</v>
      </c>
    </row>
    <row r="951">
      <c r="A951" s="1" t="s">
        <v>2051</v>
      </c>
      <c r="B951" s="1">
        <v>20.0</v>
      </c>
    </row>
    <row r="952">
      <c r="A952" s="1" t="s">
        <v>2052</v>
      </c>
      <c r="B952" s="1">
        <v>20.0</v>
      </c>
    </row>
    <row r="953">
      <c r="A953" s="1" t="s">
        <v>2053</v>
      </c>
      <c r="B953" s="1">
        <v>20.0</v>
      </c>
    </row>
    <row r="954">
      <c r="A954" s="1" t="s">
        <v>2054</v>
      </c>
      <c r="B954" s="1">
        <v>20.0</v>
      </c>
    </row>
    <row r="955">
      <c r="A955" s="1" t="s">
        <v>2055</v>
      </c>
      <c r="B955" s="1">
        <v>20.0</v>
      </c>
    </row>
    <row r="956">
      <c r="A956" s="1" t="s">
        <v>2056</v>
      </c>
      <c r="B956" s="1">
        <v>20.0</v>
      </c>
    </row>
    <row r="957">
      <c r="A957" s="1" t="s">
        <v>2057</v>
      </c>
      <c r="B957" s="1">
        <v>10.0</v>
      </c>
    </row>
    <row r="958">
      <c r="A958" s="1" t="s">
        <v>2058</v>
      </c>
      <c r="B958" s="1">
        <v>10.0</v>
      </c>
    </row>
    <row r="959">
      <c r="A959" s="1" t="s">
        <v>2059</v>
      </c>
      <c r="B959" s="1">
        <v>10.0</v>
      </c>
    </row>
    <row r="960">
      <c r="A960" s="1" t="s">
        <v>2060</v>
      </c>
      <c r="B960" s="1">
        <v>10.0</v>
      </c>
    </row>
    <row r="961">
      <c r="A961" s="1" t="s">
        <v>2061</v>
      </c>
      <c r="B961" s="1">
        <v>10.0</v>
      </c>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t="s">
        <v>2062</v>
      </c>
      <c r="B970" s="1">
        <v>10.0</v>
      </c>
    </row>
    <row r="971">
      <c r="A971" s="1" t="s">
        <v>2063</v>
      </c>
      <c r="B971" s="1">
        <v>10.0</v>
      </c>
    </row>
    <row r="972">
      <c r="A972" s="1" t="s">
        <v>2064</v>
      </c>
      <c r="B972" s="1">
        <v>10.0</v>
      </c>
    </row>
    <row r="973">
      <c r="A973" s="1" t="s">
        <v>2065</v>
      </c>
      <c r="B973" s="1">
        <v>10.0</v>
      </c>
    </row>
    <row r="974">
      <c r="A974" s="1" t="s">
        <v>2066</v>
      </c>
      <c r="B974" s="1">
        <v>10.0</v>
      </c>
    </row>
    <row r="975">
      <c r="A975" s="1" t="s">
        <v>2067</v>
      </c>
      <c r="B975" s="1">
        <v>10.0</v>
      </c>
    </row>
    <row r="976">
      <c r="A976" s="1" t="s">
        <v>2068</v>
      </c>
      <c r="B976" s="1">
        <v>10.0</v>
      </c>
    </row>
    <row r="977">
      <c r="A977" s="1" t="s">
        <v>2069</v>
      </c>
      <c r="B977" s="1">
        <v>10.0</v>
      </c>
    </row>
    <row r="978">
      <c r="A978" s="1" t="s">
        <v>2070</v>
      </c>
      <c r="B978" s="1">
        <v>10.0</v>
      </c>
    </row>
    <row r="979">
      <c r="A979" s="1" t="s">
        <v>2071</v>
      </c>
      <c r="B979" s="1">
        <v>10.0</v>
      </c>
    </row>
    <row r="980">
      <c r="A980" s="1" t="s">
        <v>2072</v>
      </c>
      <c r="B980" s="1">
        <v>10.0</v>
      </c>
    </row>
    <row r="981">
      <c r="A981" s="1" t="s">
        <v>2073</v>
      </c>
      <c r="B981" s="1">
        <v>10.0</v>
      </c>
    </row>
    <row r="982">
      <c r="A982" s="1" t="s">
        <v>2074</v>
      </c>
      <c r="B982" s="1">
        <v>10.0</v>
      </c>
    </row>
    <row r="983">
      <c r="A983" s="1" t="s">
        <v>2075</v>
      </c>
      <c r="B983" s="1">
        <v>10.0</v>
      </c>
    </row>
    <row r="984">
      <c r="A984" s="1" t="s">
        <v>2076</v>
      </c>
      <c r="B984" s="1">
        <v>10.0</v>
      </c>
    </row>
    <row r="985">
      <c r="A985" s="1" t="s">
        <v>2077</v>
      </c>
      <c r="B985" s="1">
        <v>10.0</v>
      </c>
    </row>
    <row r="986">
      <c r="A986" s="1" t="s">
        <v>2078</v>
      </c>
      <c r="B986" s="1">
        <v>10.0</v>
      </c>
    </row>
    <row r="987">
      <c r="A987" s="1" t="s">
        <v>2079</v>
      </c>
      <c r="B987" s="1">
        <v>10.0</v>
      </c>
    </row>
    <row r="988">
      <c r="A988" s="1" t="s">
        <v>2080</v>
      </c>
      <c r="B988" s="1">
        <v>10.0</v>
      </c>
    </row>
    <row r="989">
      <c r="A989" s="1" t="s">
        <v>2081</v>
      </c>
      <c r="B989" s="1">
        <v>10.0</v>
      </c>
    </row>
    <row r="990">
      <c r="A990" s="1" t="s">
        <v>2082</v>
      </c>
      <c r="B990" s="1">
        <v>10.0</v>
      </c>
    </row>
    <row r="991">
      <c r="A991" s="1" t="s">
        <v>2083</v>
      </c>
      <c r="B991" s="1">
        <v>10.0</v>
      </c>
    </row>
    <row r="992">
      <c r="A992" s="1" t="s">
        <v>2084</v>
      </c>
      <c r="B992" s="1">
        <v>10.0</v>
      </c>
    </row>
    <row r="993">
      <c r="A993" s="1" t="s">
        <v>2086</v>
      </c>
      <c r="B993" s="1">
        <v>10.0</v>
      </c>
    </row>
    <row r="994">
      <c r="A994" s="1" t="s">
        <v>2087</v>
      </c>
      <c r="B994" s="1">
        <v>10.0</v>
      </c>
    </row>
    <row r="995">
      <c r="A995" s="1" t="s">
        <v>2088</v>
      </c>
      <c r="B995" s="1">
        <v>10.0</v>
      </c>
    </row>
    <row r="996">
      <c r="A996" s="1" t="s">
        <v>2089</v>
      </c>
      <c r="B996" s="1">
        <v>10.0</v>
      </c>
    </row>
    <row r="997">
      <c r="A997" s="1" t="s">
        <v>2090</v>
      </c>
      <c r="B997" s="1">
        <v>10.0</v>
      </c>
    </row>
    <row r="998">
      <c r="A998" s="1" t="s">
        <v>2091</v>
      </c>
      <c r="B998" s="1">
        <v>10.0</v>
      </c>
    </row>
    <row r="999">
      <c r="A999" s="1" t="s">
        <v>2092</v>
      </c>
      <c r="B999" s="1">
        <v>10.0</v>
      </c>
    </row>
    <row r="1000">
      <c r="A1000" s="1" t="s">
        <v>2093</v>
      </c>
      <c r="B1000" s="1">
        <v>10.0</v>
      </c>
    </row>
    <row r="1001">
      <c r="A1001" s="1" t="s">
        <v>2094</v>
      </c>
      <c r="B1001" s="1">
        <v>10.0</v>
      </c>
    </row>
    <row r="1002">
      <c r="A1002" s="1" t="s">
        <v>2095</v>
      </c>
      <c r="B1002" s="1">
        <v>10.0</v>
      </c>
    </row>
    <row r="1003">
      <c r="A1003" s="1" t="s">
        <v>2096</v>
      </c>
      <c r="B1003" s="1">
        <v>10.0</v>
      </c>
    </row>
    <row r="1004">
      <c r="A1004" s="1" t="s">
        <v>2097</v>
      </c>
      <c r="B1004" s="1">
        <v>10.0</v>
      </c>
    </row>
    <row r="1005">
      <c r="A1005" s="1" t="s">
        <v>2098</v>
      </c>
      <c r="B1005" s="1">
        <v>10.0</v>
      </c>
    </row>
    <row r="1006">
      <c r="A1006" s="1" t="s">
        <v>2099</v>
      </c>
      <c r="B1006" s="1">
        <v>10.0</v>
      </c>
    </row>
    <row r="1007">
      <c r="A1007" s="1" t="s">
        <v>2100</v>
      </c>
      <c r="B1007" s="1">
        <v>10.0</v>
      </c>
    </row>
    <row r="1008">
      <c r="A1008" s="1" t="s">
        <v>2101</v>
      </c>
      <c r="B1008" s="1">
        <v>10.0</v>
      </c>
    </row>
    <row r="1009">
      <c r="A1009" s="1" t="s">
        <v>2102</v>
      </c>
      <c r="B1009" s="1">
        <v>10.0</v>
      </c>
    </row>
    <row r="1010">
      <c r="A1010" s="1" t="s">
        <v>2103</v>
      </c>
      <c r="B1010" s="1">
        <v>10.0</v>
      </c>
    </row>
    <row r="1011">
      <c r="A1011" s="1" t="s">
        <v>2104</v>
      </c>
      <c r="B1011" s="1">
        <v>10.0</v>
      </c>
    </row>
    <row r="1012">
      <c r="A1012" s="1" t="s">
        <v>2105</v>
      </c>
      <c r="B1012" s="1">
        <v>10.0</v>
      </c>
    </row>
    <row r="1013">
      <c r="A1013" s="1" t="s">
        <v>2106</v>
      </c>
      <c r="B1013" s="1">
        <v>10.0</v>
      </c>
    </row>
    <row r="1014">
      <c r="A1014" s="1" t="s">
        <v>2107</v>
      </c>
      <c r="B1014" s="1">
        <v>10.0</v>
      </c>
    </row>
    <row r="1015">
      <c r="A1015" s="1" t="s">
        <v>2108</v>
      </c>
      <c r="B1015" s="1">
        <v>10.0</v>
      </c>
    </row>
    <row r="1016">
      <c r="A1016" s="1" t="s">
        <v>2109</v>
      </c>
      <c r="B1016" s="1">
        <v>10.0</v>
      </c>
    </row>
    <row r="1017">
      <c r="A1017" s="1" t="s">
        <v>2110</v>
      </c>
      <c r="B1017" s="1">
        <v>10.0</v>
      </c>
    </row>
    <row r="1018">
      <c r="A1018" s="1" t="s">
        <v>2111</v>
      </c>
      <c r="B1018" s="1">
        <v>10.0</v>
      </c>
    </row>
    <row r="1019">
      <c r="A1019" s="1" t="s">
        <v>2112</v>
      </c>
      <c r="B1019" s="1">
        <v>10.0</v>
      </c>
    </row>
    <row r="1020">
      <c r="A1020" s="1" t="s">
        <v>2113</v>
      </c>
      <c r="B1020" s="1">
        <v>10.0</v>
      </c>
    </row>
    <row r="1021">
      <c r="A1021" s="1" t="s">
        <v>2114</v>
      </c>
      <c r="B1021" s="1">
        <v>10.0</v>
      </c>
    </row>
    <row r="1022">
      <c r="A1022" s="1" t="s">
        <v>2115</v>
      </c>
      <c r="B1022" s="1">
        <v>10.0</v>
      </c>
    </row>
    <row r="1023">
      <c r="A1023" s="1" t="s">
        <v>2116</v>
      </c>
      <c r="B1023" s="1">
        <v>10.0</v>
      </c>
    </row>
    <row r="1024">
      <c r="A1024" s="1" t="s">
        <v>2117</v>
      </c>
      <c r="B1024" s="1">
        <v>10.0</v>
      </c>
    </row>
    <row r="1025">
      <c r="A1025" s="1" t="s">
        <v>2118</v>
      </c>
      <c r="B1025" s="1">
        <v>10.0</v>
      </c>
    </row>
    <row r="1026">
      <c r="A1026" s="1" t="s">
        <v>2119</v>
      </c>
    </row>
    <row r="1027">
      <c r="A1027" s="1" t="s">
        <v>2120</v>
      </c>
    </row>
    <row r="1028">
      <c r="A1028" s="1" t="s">
        <v>2121</v>
      </c>
    </row>
    <row r="1029">
      <c r="A1029" s="1" t="s">
        <v>2122</v>
      </c>
    </row>
    <row r="1030">
      <c r="A1030" s="1" t="s">
        <v>2123</v>
      </c>
    </row>
    <row r="1031">
      <c r="A1031" s="1" t="s">
        <v>2124</v>
      </c>
    </row>
    <row r="1032">
      <c r="A1032" s="1"/>
    </row>
    <row r="1033">
      <c r="A1033" s="1"/>
    </row>
    <row r="1034">
      <c r="A1034" s="1" t="s">
        <v>2125</v>
      </c>
    </row>
    <row r="1035">
      <c r="A1035" s="1" t="s">
        <v>2126</v>
      </c>
    </row>
    <row r="1036">
      <c r="A1036" s="1" t="s">
        <v>2127</v>
      </c>
    </row>
    <row r="1037">
      <c r="A1037" s="1" t="s">
        <v>2128</v>
      </c>
    </row>
    <row r="1038">
      <c r="A1038" s="1" t="s">
        <v>2129</v>
      </c>
    </row>
    <row r="1039">
      <c r="A1039" s="1" t="s">
        <v>2130</v>
      </c>
    </row>
    <row r="1040">
      <c r="A1040" s="1" t="s">
        <v>2131</v>
      </c>
    </row>
    <row r="1041">
      <c r="A1041" s="1" t="s">
        <v>2132</v>
      </c>
    </row>
    <row r="1042">
      <c r="A1042" s="1" t="s">
        <v>2133</v>
      </c>
    </row>
    <row r="1043">
      <c r="A1043" s="1" t="s">
        <v>2134</v>
      </c>
    </row>
    <row r="1044">
      <c r="A1044" s="1" t="s">
        <v>2135</v>
      </c>
    </row>
    <row r="1045">
      <c r="A1045" s="1" t="s">
        <v>2136</v>
      </c>
    </row>
    <row r="1046">
      <c r="A1046" s="1" t="s">
        <v>2137</v>
      </c>
    </row>
    <row r="1047">
      <c r="A1047" s="1" t="s">
        <v>2138</v>
      </c>
    </row>
    <row r="1048">
      <c r="A1048" s="1" t="s">
        <v>2139</v>
      </c>
    </row>
    <row r="1049">
      <c r="A1049" s="1" t="s">
        <v>2140</v>
      </c>
    </row>
    <row r="1050">
      <c r="A1050" s="1" t="s">
        <v>2141</v>
      </c>
    </row>
    <row r="1051">
      <c r="A1051" s="1" t="s">
        <v>2142</v>
      </c>
    </row>
    <row r="1052">
      <c r="A1052" s="1" t="s">
        <v>2143</v>
      </c>
    </row>
    <row r="1053">
      <c r="A1053" s="1" t="s">
        <v>2144</v>
      </c>
    </row>
    <row r="1054">
      <c r="A1054" s="1" t="s">
        <v>2145</v>
      </c>
    </row>
    <row r="1055">
      <c r="A1055" s="1" t="s">
        <v>2146</v>
      </c>
    </row>
    <row r="1056">
      <c r="A1056" s="1" t="s">
        <v>2147</v>
      </c>
    </row>
    <row r="1057">
      <c r="A1057" s="1" t="s">
        <v>2148</v>
      </c>
    </row>
    <row r="1058">
      <c r="A1058" s="1" t="s">
        <v>2149</v>
      </c>
    </row>
    <row r="1059">
      <c r="A1059" s="1" t="s">
        <v>2150</v>
      </c>
    </row>
    <row r="1060">
      <c r="A1060" s="1" t="s">
        <v>2151</v>
      </c>
    </row>
    <row r="1061">
      <c r="A1061" s="1" t="s">
        <v>2152</v>
      </c>
    </row>
    <row r="1062">
      <c r="A1062" s="1" t="s">
        <v>2153</v>
      </c>
    </row>
    <row r="1063">
      <c r="A1063" s="1" t="s">
        <v>2154</v>
      </c>
    </row>
    <row r="1064">
      <c r="A1064" s="1" t="s">
        <v>2155</v>
      </c>
    </row>
    <row r="1065">
      <c r="A1065" s="1" t="s">
        <v>2156</v>
      </c>
    </row>
    <row r="1066">
      <c r="A1066" s="1" t="s">
        <v>2157</v>
      </c>
    </row>
    <row r="1067">
      <c r="A1067" s="1" t="s">
        <v>2158</v>
      </c>
    </row>
    <row r="1068">
      <c r="A1068" s="1" t="s">
        <v>2159</v>
      </c>
    </row>
    <row r="1069">
      <c r="A1069" s="1" t="s">
        <v>2160</v>
      </c>
    </row>
    <row r="1070">
      <c r="A1070" s="1" t="s">
        <v>2161</v>
      </c>
    </row>
    <row r="1071">
      <c r="A1071" s="1" t="s">
        <v>2162</v>
      </c>
    </row>
    <row r="1072">
      <c r="A1072" s="1" t="s">
        <v>2163</v>
      </c>
    </row>
    <row r="1073">
      <c r="A1073" s="1" t="s">
        <v>2164</v>
      </c>
    </row>
    <row r="1074">
      <c r="A1074" s="1" t="s">
        <v>2165</v>
      </c>
    </row>
    <row r="1075">
      <c r="A1075" s="1" t="s">
        <v>2166</v>
      </c>
    </row>
    <row r="1076">
      <c r="A1076" s="1" t="s">
        <v>2167</v>
      </c>
    </row>
    <row r="1077">
      <c r="A1077" s="1" t="s">
        <v>2168</v>
      </c>
    </row>
    <row r="1078">
      <c r="A1078" s="1" t="s">
        <v>2169</v>
      </c>
    </row>
    <row r="1079">
      <c r="A1079" s="1" t="s">
        <v>2170</v>
      </c>
    </row>
    <row r="1080">
      <c r="A1080" s="1" t="s">
        <v>2171</v>
      </c>
    </row>
    <row r="1081">
      <c r="A1081" s="1" t="s">
        <v>2172</v>
      </c>
    </row>
    <row r="1082">
      <c r="A1082" s="1" t="s">
        <v>2173</v>
      </c>
    </row>
    <row r="1083">
      <c r="A1083" s="1" t="s">
        <v>2174</v>
      </c>
    </row>
    <row r="1084">
      <c r="A1084" s="1" t="s">
        <v>2175</v>
      </c>
    </row>
    <row r="1085">
      <c r="A1085" s="1" t="s">
        <v>2176</v>
      </c>
    </row>
    <row r="1086">
      <c r="A1086" s="1" t="s">
        <v>2177</v>
      </c>
    </row>
    <row r="1087">
      <c r="A1087" s="1" t="s">
        <v>2178</v>
      </c>
    </row>
    <row r="1088">
      <c r="A1088" s="1" t="s">
        <v>2179</v>
      </c>
    </row>
    <row r="1089">
      <c r="A1089" s="1" t="s">
        <v>2180</v>
      </c>
    </row>
    <row r="1090">
      <c r="A1090" s="1" t="s">
        <v>2181</v>
      </c>
    </row>
    <row r="1091">
      <c r="A1091" s="1" t="s">
        <v>2182</v>
      </c>
    </row>
    <row r="1092">
      <c r="A1092" s="1" t="s">
        <v>2183</v>
      </c>
    </row>
    <row r="1093">
      <c r="A1093" s="1" t="s">
        <v>2184</v>
      </c>
    </row>
    <row r="1094">
      <c r="A1094" s="1" t="s">
        <v>2185</v>
      </c>
    </row>
    <row r="1095">
      <c r="A1095" s="1" t="s">
        <v>2186</v>
      </c>
    </row>
    <row r="1096">
      <c r="A1096" s="1" t="s">
        <v>2187</v>
      </c>
    </row>
    <row r="1097">
      <c r="A1097" s="1" t="s">
        <v>2188</v>
      </c>
    </row>
    <row r="1098">
      <c r="A1098" s="1" t="s">
        <v>2189</v>
      </c>
    </row>
    <row r="1099">
      <c r="A1099" s="1" t="s">
        <v>2190</v>
      </c>
    </row>
    <row r="1100">
      <c r="A1100" s="1" t="s">
        <v>2191</v>
      </c>
    </row>
    <row r="1101">
      <c r="A1101" s="1" t="s">
        <v>2192</v>
      </c>
    </row>
    <row r="1102">
      <c r="A1102" s="1" t="s">
        <v>2193</v>
      </c>
    </row>
    <row r="1103">
      <c r="A1103" s="1" t="s">
        <v>2194</v>
      </c>
    </row>
    <row r="1104">
      <c r="A1104" s="1" t="s">
        <v>2195</v>
      </c>
    </row>
    <row r="1105">
      <c r="A1105" s="1" t="s">
        <v>2196</v>
      </c>
    </row>
    <row r="1106">
      <c r="A1106" s="1" t="s">
        <v>2197</v>
      </c>
    </row>
    <row r="1107">
      <c r="A1107" s="1" t="s">
        <v>2198</v>
      </c>
    </row>
    <row r="1108">
      <c r="A1108" s="1" t="s">
        <v>2199</v>
      </c>
    </row>
    <row r="1109">
      <c r="A1109" s="1" t="s">
        <v>2200</v>
      </c>
    </row>
    <row r="1110">
      <c r="A1110" s="1" t="s">
        <v>2201</v>
      </c>
    </row>
    <row r="1111">
      <c r="A1111" s="1" t="s">
        <v>2202</v>
      </c>
    </row>
    <row r="1112">
      <c r="A1112" s="1" t="s">
        <v>2203</v>
      </c>
    </row>
    <row r="1113">
      <c r="A1113" s="1" t="s">
        <v>2204</v>
      </c>
    </row>
    <row r="1114">
      <c r="A1114" s="1" t="s">
        <v>2205</v>
      </c>
    </row>
    <row r="1115">
      <c r="A1115" s="1" t="s">
        <v>2206</v>
      </c>
    </row>
    <row r="1116">
      <c r="A1116" s="1" t="s">
        <v>2207</v>
      </c>
    </row>
    <row r="1117">
      <c r="A1117" s="1" t="s">
        <v>2208</v>
      </c>
    </row>
    <row r="1118">
      <c r="A1118" s="1" t="s">
        <v>2209</v>
      </c>
    </row>
    <row r="1119">
      <c r="A1119" s="1" t="s">
        <v>2210</v>
      </c>
    </row>
    <row r="1120">
      <c r="A1120" s="1" t="s">
        <v>2211</v>
      </c>
    </row>
    <row r="1121">
      <c r="A1121" s="1" t="s">
        <v>2212</v>
      </c>
    </row>
    <row r="1122">
      <c r="A1122" s="1" t="s">
        <v>2213</v>
      </c>
    </row>
    <row r="1123">
      <c r="A1123" s="1" t="s">
        <v>2214</v>
      </c>
    </row>
    <row r="1124">
      <c r="A1124" s="1" t="s">
        <v>2215</v>
      </c>
    </row>
    <row r="1125">
      <c r="A1125" s="1" t="s">
        <v>2216</v>
      </c>
    </row>
    <row r="1126">
      <c r="A1126" s="1" t="s">
        <v>2217</v>
      </c>
    </row>
    <row r="1127">
      <c r="A1127" s="1" t="s">
        <v>2218</v>
      </c>
    </row>
    <row r="1128">
      <c r="A1128" s="1" t="s">
        <v>2219</v>
      </c>
    </row>
    <row r="1129">
      <c r="A1129" s="1" t="s">
        <v>2220</v>
      </c>
    </row>
    <row r="1130">
      <c r="A1130" s="1" t="s">
        <v>2221</v>
      </c>
    </row>
    <row r="1131">
      <c r="A1131" s="1" t="s">
        <v>2222</v>
      </c>
    </row>
    <row r="1132">
      <c r="A1132" s="1" t="s">
        <v>2223</v>
      </c>
    </row>
    <row r="1133">
      <c r="A1133" s="1" t="s">
        <v>2224</v>
      </c>
    </row>
    <row r="1134">
      <c r="A1134" s="1" t="s">
        <v>2225</v>
      </c>
    </row>
    <row r="1135">
      <c r="A1135" s="1" t="s">
        <v>2226</v>
      </c>
    </row>
    <row r="1136">
      <c r="A1136" s="1" t="s">
        <v>2227</v>
      </c>
    </row>
    <row r="1137">
      <c r="A1137" s="1" t="s">
        <v>2228</v>
      </c>
    </row>
    <row r="1138">
      <c r="A1138" s="1" t="s">
        <v>2229</v>
      </c>
    </row>
    <row r="1139">
      <c r="A1139" s="1" t="s">
        <v>2230</v>
      </c>
    </row>
    <row r="1140">
      <c r="A1140" s="1" t="s">
        <v>2231</v>
      </c>
    </row>
    <row r="1141">
      <c r="A1141" s="1" t="s">
        <v>2232</v>
      </c>
    </row>
    <row r="1142">
      <c r="A1142" s="1" t="s">
        <v>2233</v>
      </c>
    </row>
    <row r="1143">
      <c r="A1143" s="1" t="s">
        <v>2234</v>
      </c>
    </row>
    <row r="1144">
      <c r="A1144" s="1" t="s">
        <v>2235</v>
      </c>
    </row>
    <row r="1145">
      <c r="A1145" s="1" t="s">
        <v>2240</v>
      </c>
    </row>
    <row r="1146">
      <c r="A1146" s="1" t="s">
        <v>2241</v>
      </c>
    </row>
    <row r="1147">
      <c r="A1147" s="1" t="s">
        <v>2242</v>
      </c>
    </row>
    <row r="1148">
      <c r="A1148" s="1" t="s">
        <v>2243</v>
      </c>
    </row>
    <row r="1149">
      <c r="A1149" s="1" t="s">
        <v>2244</v>
      </c>
    </row>
    <row r="1150">
      <c r="A1150" s="1" t="s">
        <v>2245</v>
      </c>
    </row>
    <row r="1151">
      <c r="A1151" s="1" t="s">
        <v>2246</v>
      </c>
    </row>
    <row r="1152">
      <c r="A1152" s="1" t="s">
        <v>2247</v>
      </c>
    </row>
    <row r="1153">
      <c r="A1153" s="1" t="s">
        <v>2248</v>
      </c>
    </row>
    <row r="1154">
      <c r="A1154" s="1" t="s">
        <v>2249</v>
      </c>
    </row>
    <row r="1155">
      <c r="A1155" s="1" t="s">
        <v>2250</v>
      </c>
    </row>
    <row r="1156">
      <c r="A1156" s="1" t="s">
        <v>2251</v>
      </c>
    </row>
    <row r="1157">
      <c r="A1157" s="1" t="s">
        <v>2252</v>
      </c>
    </row>
    <row r="1158">
      <c r="A1158" s="1" t="s">
        <v>2253</v>
      </c>
    </row>
    <row r="1159">
      <c r="A1159" s="1" t="s">
        <v>2254</v>
      </c>
    </row>
    <row r="1160">
      <c r="A1160" s="1" t="s">
        <v>2255</v>
      </c>
    </row>
    <row r="1161">
      <c r="A1161" s="1" t="s">
        <v>2256</v>
      </c>
    </row>
    <row r="1162">
      <c r="A1162" s="1" t="s">
        <v>2257</v>
      </c>
    </row>
    <row r="1163">
      <c r="A1163" s="1" t="s">
        <v>2258</v>
      </c>
    </row>
    <row r="1164">
      <c r="A1164" s="1" t="s">
        <v>2259</v>
      </c>
    </row>
    <row r="1165">
      <c r="A1165" s="1" t="s">
        <v>2260</v>
      </c>
    </row>
    <row r="1166">
      <c r="A1166" s="1" t="s">
        <v>2261</v>
      </c>
    </row>
    <row r="1167">
      <c r="A1167" s="1" t="s">
        <v>2262</v>
      </c>
    </row>
    <row r="1168">
      <c r="A1168" s="1" t="s">
        <v>2263</v>
      </c>
    </row>
    <row r="1169">
      <c r="A1169" s="1" t="s">
        <v>2264</v>
      </c>
    </row>
    <row r="1170">
      <c r="A1170" s="1" t="s">
        <v>2265</v>
      </c>
    </row>
    <row r="1171">
      <c r="A1171" s="1" t="s">
        <v>2266</v>
      </c>
    </row>
    <row r="1172">
      <c r="A1172" s="1" t="s">
        <v>2267</v>
      </c>
    </row>
    <row r="1173">
      <c r="A1173" s="1" t="s">
        <v>2268</v>
      </c>
    </row>
    <row r="1174">
      <c r="A1174" s="1" t="s">
        <v>2269</v>
      </c>
    </row>
    <row r="1175">
      <c r="A1175" s="1" t="s">
        <v>2270</v>
      </c>
    </row>
    <row r="1176">
      <c r="A1176" s="1" t="s">
        <v>2271</v>
      </c>
    </row>
    <row r="1177">
      <c r="A1177" s="1" t="s">
        <v>2272</v>
      </c>
    </row>
    <row r="1178">
      <c r="A1178" s="1" t="s">
        <v>2273</v>
      </c>
    </row>
    <row r="1179">
      <c r="A1179" s="1" t="s">
        <v>2274</v>
      </c>
    </row>
    <row r="1180">
      <c r="A1180" s="1" t="s">
        <v>2275</v>
      </c>
    </row>
    <row r="1181">
      <c r="A1181" s="1" t="s">
        <v>2276</v>
      </c>
    </row>
    <row r="1182">
      <c r="A1182" s="1" t="s">
        <v>2277</v>
      </c>
    </row>
    <row r="1183">
      <c r="A1183" s="1" t="s">
        <v>2278</v>
      </c>
    </row>
    <row r="1184">
      <c r="A1184" s="1" t="s">
        <v>2279</v>
      </c>
    </row>
    <row r="1185">
      <c r="A1185" s="1" t="s">
        <v>2280</v>
      </c>
    </row>
    <row r="1186">
      <c r="A1186" s="1" t="s">
        <v>2281</v>
      </c>
    </row>
    <row r="1187">
      <c r="A1187" s="1" t="s">
        <v>2282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52.63"/>
    <col customWidth="1" min="6" max="6" width="45.63"/>
    <col customWidth="1" min="8" max="8" width="26.0"/>
  </cols>
  <sheetData>
    <row r="1">
      <c r="A1" s="76" t="s">
        <v>0</v>
      </c>
      <c r="B1" s="76" t="s">
        <v>2283</v>
      </c>
      <c r="G1" s="18"/>
    </row>
    <row r="2" hidden="1">
      <c r="A2" s="77" t="s">
        <v>2284</v>
      </c>
      <c r="B2" s="13" t="s">
        <v>2285</v>
      </c>
    </row>
    <row r="3">
      <c r="A3" s="77" t="s">
        <v>2286</v>
      </c>
      <c r="B3" s="13" t="s">
        <v>2287</v>
      </c>
      <c r="F3" s="78" t="s">
        <v>2288</v>
      </c>
      <c r="G3" s="79" t="s">
        <v>2289</v>
      </c>
    </row>
    <row r="4">
      <c r="A4" s="77" t="s">
        <v>2290</v>
      </c>
      <c r="B4" s="13" t="s">
        <v>2291</v>
      </c>
      <c r="F4" s="80" t="s">
        <v>2292</v>
      </c>
      <c r="G4" s="81" t="s">
        <v>2293</v>
      </c>
    </row>
    <row r="5">
      <c r="A5" s="77" t="s">
        <v>2294</v>
      </c>
      <c r="B5" s="13" t="s">
        <v>2295</v>
      </c>
      <c r="F5" s="82" t="s">
        <v>2296</v>
      </c>
      <c r="G5" s="81" t="s">
        <v>2297</v>
      </c>
    </row>
    <row r="6">
      <c r="A6" s="77" t="s">
        <v>2298</v>
      </c>
      <c r="B6" s="13" t="s">
        <v>2299</v>
      </c>
      <c r="F6" s="82" t="s">
        <v>2300</v>
      </c>
      <c r="G6" s="81" t="s">
        <v>2301</v>
      </c>
    </row>
    <row r="7">
      <c r="A7" s="77" t="s">
        <v>2302</v>
      </c>
      <c r="B7" s="13" t="s">
        <v>2303</v>
      </c>
      <c r="F7" s="82" t="s">
        <v>2304</v>
      </c>
      <c r="G7" s="81" t="s">
        <v>2305</v>
      </c>
    </row>
    <row r="8">
      <c r="A8" s="77" t="s">
        <v>2306</v>
      </c>
      <c r="B8" s="13" t="s">
        <v>2307</v>
      </c>
      <c r="F8" s="82" t="s">
        <v>2308</v>
      </c>
      <c r="G8" s="81" t="s">
        <v>2309</v>
      </c>
    </row>
    <row r="9" hidden="1">
      <c r="A9" s="77" t="s">
        <v>2310</v>
      </c>
      <c r="B9" s="13" t="s">
        <v>2293</v>
      </c>
      <c r="F9" s="82" t="s">
        <v>2311</v>
      </c>
      <c r="G9" s="82" t="s">
        <v>2312</v>
      </c>
    </row>
    <row r="10" hidden="1">
      <c r="A10" s="77" t="s">
        <v>2313</v>
      </c>
      <c r="B10" s="13" t="s">
        <v>2314</v>
      </c>
      <c r="F10" s="82" t="s">
        <v>2315</v>
      </c>
      <c r="G10" s="82" t="s">
        <v>2316</v>
      </c>
    </row>
    <row r="11">
      <c r="A11" s="77" t="s">
        <v>2317</v>
      </c>
      <c r="B11" s="13" t="s">
        <v>2318</v>
      </c>
      <c r="F11" s="82" t="s">
        <v>2319</v>
      </c>
      <c r="G11" s="81" t="s">
        <v>2320</v>
      </c>
      <c r="H11" s="83" t="str">
        <f>IFERROR(__xludf.DUMMYFUNCTION("SPLIT(A11,""-"")"),"https://medibillmd.com/blog/cpt")</f>
        <v>https://medibillmd.com/blog/cpt</v>
      </c>
      <c r="I11" s="59" t="str">
        <f>IFERROR(__xludf.DUMMYFUNCTION("""COMPUTED_VALUE"""),"code")</f>
        <v>code</v>
      </c>
      <c r="J11" s="59" t="str">
        <f>IFERROR(__xludf.DUMMYFUNCTION("""COMPUTED_VALUE"""),"80307/")</f>
        <v>80307/</v>
      </c>
    </row>
    <row r="12" hidden="1">
      <c r="A12" s="77" t="s">
        <v>2321</v>
      </c>
      <c r="B12" s="13" t="s">
        <v>2322</v>
      </c>
      <c r="F12" s="82" t="s">
        <v>2323</v>
      </c>
      <c r="G12" s="82" t="s">
        <v>2324</v>
      </c>
    </row>
    <row r="13" hidden="1">
      <c r="A13" s="77" t="s">
        <v>2325</v>
      </c>
      <c r="B13" s="13" t="s">
        <v>2326</v>
      </c>
      <c r="F13" s="82" t="s">
        <v>2327</v>
      </c>
      <c r="G13" s="82" t="s">
        <v>2328</v>
      </c>
    </row>
    <row r="14" hidden="1">
      <c r="A14" s="77" t="s">
        <v>2329</v>
      </c>
      <c r="B14" s="13" t="s">
        <v>2297</v>
      </c>
      <c r="F14" s="82" t="s">
        <v>2330</v>
      </c>
      <c r="G14" s="82" t="s">
        <v>2331</v>
      </c>
    </row>
    <row r="15">
      <c r="A15" s="77" t="s">
        <v>2332</v>
      </c>
      <c r="B15" s="13" t="s">
        <v>2333</v>
      </c>
      <c r="F15" s="82" t="s">
        <v>2334</v>
      </c>
      <c r="G15" s="81" t="s">
        <v>2335</v>
      </c>
      <c r="H15" s="83" t="str">
        <f>IFERROR(__xludf.DUMMYFUNCTION("SPLIT(A15,""-"")"),"https://medibillmd.com/blog/cpt")</f>
        <v>https://medibillmd.com/blog/cpt</v>
      </c>
      <c r="I15" s="59" t="str">
        <f>IFERROR(__xludf.DUMMYFUNCTION("""COMPUTED_VALUE"""),"code")</f>
        <v>code</v>
      </c>
      <c r="J15" s="59" t="str">
        <f>IFERROR(__xludf.DUMMYFUNCTION("""COMPUTED_VALUE"""),"52310/")</f>
        <v>52310/</v>
      </c>
    </row>
    <row r="16" hidden="1">
      <c r="A16" s="77" t="s">
        <v>2336</v>
      </c>
      <c r="B16" s="13" t="s">
        <v>2337</v>
      </c>
      <c r="F16" s="82" t="s">
        <v>2338</v>
      </c>
      <c r="G16" s="82" t="s">
        <v>2339</v>
      </c>
    </row>
    <row r="17" hidden="1">
      <c r="A17" s="77" t="s">
        <v>2340</v>
      </c>
      <c r="B17" s="13" t="s">
        <v>2301</v>
      </c>
      <c r="F17" s="82" t="s">
        <v>2341</v>
      </c>
      <c r="G17" s="82" t="s">
        <v>2342</v>
      </c>
    </row>
    <row r="18">
      <c r="A18" s="77" t="s">
        <v>2343</v>
      </c>
      <c r="B18" s="13" t="s">
        <v>2344</v>
      </c>
      <c r="F18" s="82" t="s">
        <v>2345</v>
      </c>
      <c r="G18" s="81" t="s">
        <v>2346</v>
      </c>
      <c r="H18" s="83" t="str">
        <f>IFERROR(__xludf.DUMMYFUNCTION("SPLIT(A18,""-"")"),"https://medibillmd.com/blog/cpt")</f>
        <v>https://medibillmd.com/blog/cpt</v>
      </c>
      <c r="I18" s="59" t="str">
        <f>IFERROR(__xludf.DUMMYFUNCTION("""COMPUTED_VALUE"""),"code")</f>
        <v>code</v>
      </c>
      <c r="J18" s="59" t="str">
        <f>IFERROR(__xludf.DUMMYFUNCTION("""COMPUTED_VALUE"""),"93228/")</f>
        <v>93228/</v>
      </c>
    </row>
    <row r="19">
      <c r="A19" s="77" t="s">
        <v>2347</v>
      </c>
      <c r="B19" s="13" t="s">
        <v>2348</v>
      </c>
      <c r="F19" s="82" t="s">
        <v>2349</v>
      </c>
      <c r="G19" s="81" t="s">
        <v>2350</v>
      </c>
      <c r="H19" s="83" t="str">
        <f>IFERROR(__xludf.DUMMYFUNCTION("SPLIT(A19,""-"")"),"https://medibillmd.com/blog/cpt")</f>
        <v>https://medibillmd.com/blog/cpt</v>
      </c>
      <c r="I19" s="59" t="str">
        <f>IFERROR(__xludf.DUMMYFUNCTION("""COMPUTED_VALUE"""),"code")</f>
        <v>code</v>
      </c>
      <c r="J19" s="59" t="str">
        <f>IFERROR(__xludf.DUMMYFUNCTION("""COMPUTED_VALUE"""),"93308/")</f>
        <v>93308/</v>
      </c>
    </row>
    <row r="20">
      <c r="A20" s="77" t="s">
        <v>2351</v>
      </c>
      <c r="B20" s="13" t="s">
        <v>2352</v>
      </c>
      <c r="F20" s="82" t="s">
        <v>2353</v>
      </c>
      <c r="G20" s="81" t="s">
        <v>2354</v>
      </c>
      <c r="H20" s="83" t="str">
        <f>IFERROR(__xludf.DUMMYFUNCTION("SPLIT(A20,""-"")"),"https://medibillmd.com/blog/cpt")</f>
        <v>https://medibillmd.com/blog/cpt</v>
      </c>
      <c r="I20" s="59" t="str">
        <f>IFERROR(__xludf.DUMMYFUNCTION("""COMPUTED_VALUE"""),"code")</f>
        <v>code</v>
      </c>
      <c r="J20" s="59" t="str">
        <f>IFERROR(__xludf.DUMMYFUNCTION("""COMPUTED_VALUE"""),"01400/")</f>
        <v>01400/</v>
      </c>
    </row>
    <row r="21">
      <c r="A21" s="77" t="s">
        <v>2355</v>
      </c>
      <c r="B21" s="13" t="s">
        <v>2356</v>
      </c>
      <c r="F21" s="82" t="s">
        <v>2357</v>
      </c>
      <c r="G21" s="81" t="s">
        <v>2358</v>
      </c>
      <c r="H21" s="83" t="str">
        <f>IFERROR(__xludf.DUMMYFUNCTION("SPLIT(A21,""-"")"),"https://medibillmd.com/blog/cpt")</f>
        <v>https://medibillmd.com/blog/cpt</v>
      </c>
      <c r="I21" s="59" t="str">
        <f>IFERROR(__xludf.DUMMYFUNCTION("""COMPUTED_VALUE"""),"code")</f>
        <v>code</v>
      </c>
      <c r="J21" s="59" t="str">
        <f>IFERROR(__xludf.DUMMYFUNCTION("""COMPUTED_VALUE"""),"33208/")</f>
        <v>33208/</v>
      </c>
    </row>
    <row r="22" hidden="1">
      <c r="A22" s="77" t="s">
        <v>2359</v>
      </c>
      <c r="B22" s="13" t="s">
        <v>2301</v>
      </c>
      <c r="F22" s="82" t="s">
        <v>2360</v>
      </c>
      <c r="G22" s="82" t="s">
        <v>2361</v>
      </c>
    </row>
    <row r="23" hidden="1">
      <c r="A23" s="77" t="s">
        <v>2362</v>
      </c>
      <c r="B23" s="13" t="s">
        <v>2305</v>
      </c>
      <c r="F23" s="82" t="s">
        <v>2363</v>
      </c>
      <c r="G23" s="82" t="s">
        <v>2364</v>
      </c>
    </row>
    <row r="24">
      <c r="A24" s="77" t="s">
        <v>2365</v>
      </c>
      <c r="B24" s="13" t="s">
        <v>2366</v>
      </c>
      <c r="F24" s="82" t="s">
        <v>2367</v>
      </c>
      <c r="G24" s="81" t="s">
        <v>2368</v>
      </c>
      <c r="H24" s="83" t="str">
        <f>IFERROR(__xludf.DUMMYFUNCTION("SPLIT(A24,""-"")"),"https://medibillmd.com/blog/cpt")</f>
        <v>https://medibillmd.com/blog/cpt</v>
      </c>
      <c r="I24" s="59" t="str">
        <f>IFERROR(__xludf.DUMMYFUNCTION("""COMPUTED_VALUE"""),"code")</f>
        <v>code</v>
      </c>
      <c r="J24" s="59" t="str">
        <f>IFERROR(__xludf.DUMMYFUNCTION("""COMPUTED_VALUE"""),"93307/")</f>
        <v>93307/</v>
      </c>
    </row>
    <row r="25" hidden="1">
      <c r="A25" s="77" t="s">
        <v>2369</v>
      </c>
      <c r="B25" s="13" t="s">
        <v>2309</v>
      </c>
      <c r="F25" s="82" t="s">
        <v>2370</v>
      </c>
      <c r="G25" s="82" t="s">
        <v>2371</v>
      </c>
    </row>
    <row r="26">
      <c r="A26" s="77" t="s">
        <v>2372</v>
      </c>
      <c r="B26" s="13" t="s">
        <v>2373</v>
      </c>
      <c r="F26" s="82" t="s">
        <v>2374</v>
      </c>
      <c r="G26" s="81" t="s">
        <v>2375</v>
      </c>
      <c r="H26" s="83" t="str">
        <f>IFERROR(__xludf.DUMMYFUNCTION("SPLIT(A26,""-"")"),"https://medibillmd.com/blog/cpt")</f>
        <v>https://medibillmd.com/blog/cpt</v>
      </c>
      <c r="I26" s="59" t="str">
        <f>IFERROR(__xludf.DUMMYFUNCTION("""COMPUTED_VALUE"""),"code")</f>
        <v>code</v>
      </c>
      <c r="J26" s="59" t="str">
        <f>IFERROR(__xludf.DUMMYFUNCTION("""COMPUTED_VALUE"""),"92960/")</f>
        <v>92960/</v>
      </c>
    </row>
    <row r="27">
      <c r="A27" s="77" t="s">
        <v>2376</v>
      </c>
      <c r="B27" s="13" t="s">
        <v>2377</v>
      </c>
      <c r="F27" s="82" t="s">
        <v>2378</v>
      </c>
      <c r="G27" s="81" t="s">
        <v>2379</v>
      </c>
      <c r="H27" s="83" t="str">
        <f>IFERROR(__xludf.DUMMYFUNCTION("SPLIT(A27,""-"")"),"https://medibillmd.com/blog/cpt")</f>
        <v>https://medibillmd.com/blog/cpt</v>
      </c>
      <c r="I27" s="59" t="str">
        <f>IFERROR(__xludf.DUMMYFUNCTION("""COMPUTED_VALUE"""),"code")</f>
        <v>code</v>
      </c>
      <c r="J27" s="59" t="str">
        <f>IFERROR(__xludf.DUMMYFUNCTION("""COMPUTED_VALUE"""),"92928/")</f>
        <v>92928/</v>
      </c>
    </row>
    <row r="28">
      <c r="A28" s="77" t="s">
        <v>2380</v>
      </c>
      <c r="B28" s="13" t="s">
        <v>2381</v>
      </c>
      <c r="F28" s="82" t="s">
        <v>2382</v>
      </c>
      <c r="G28" s="81" t="s">
        <v>2383</v>
      </c>
      <c r="H28" s="83" t="str">
        <f>IFERROR(__xludf.DUMMYFUNCTION("SPLIT(A28,""-"")"),"https://medibillmd.com/blog/cpt")</f>
        <v>https://medibillmd.com/blog/cpt</v>
      </c>
      <c r="I28" s="59" t="str">
        <f>IFERROR(__xludf.DUMMYFUNCTION("""COMPUTED_VALUE"""),"code")</f>
        <v>code</v>
      </c>
      <c r="J28" s="59" t="str">
        <f>IFERROR(__xludf.DUMMYFUNCTION("""COMPUTED_VALUE"""),"52332/")</f>
        <v>52332/</v>
      </c>
    </row>
    <row r="29">
      <c r="A29" s="77" t="s">
        <v>2384</v>
      </c>
      <c r="B29" s="13" t="s">
        <v>2385</v>
      </c>
      <c r="F29" s="82" t="s">
        <v>2386</v>
      </c>
      <c r="G29" s="81" t="s">
        <v>2387</v>
      </c>
      <c r="H29" s="83" t="str">
        <f>IFERROR(__xludf.DUMMYFUNCTION("SPLIT(A29,""-"")"),"https://medibillmd.com/blog/cpt")</f>
        <v>https://medibillmd.com/blog/cpt</v>
      </c>
      <c r="I29" s="59" t="str">
        <f>IFERROR(__xludf.DUMMYFUNCTION("""COMPUTED_VALUE"""),"code")</f>
        <v>code</v>
      </c>
      <c r="J29" s="59" t="str">
        <f>IFERROR(__xludf.DUMMYFUNCTION("""COMPUTED_VALUE"""),"33249/")</f>
        <v>33249/</v>
      </c>
    </row>
    <row r="30" hidden="1">
      <c r="A30" s="77" t="s">
        <v>2388</v>
      </c>
      <c r="B30" s="13" t="s">
        <v>2389</v>
      </c>
      <c r="F30" s="82" t="s">
        <v>2390</v>
      </c>
      <c r="G30" s="82" t="s">
        <v>2391</v>
      </c>
    </row>
    <row r="31">
      <c r="A31" s="77" t="s">
        <v>2392</v>
      </c>
      <c r="B31" s="13" t="s">
        <v>2393</v>
      </c>
      <c r="F31" s="82" t="s">
        <v>2394</v>
      </c>
      <c r="G31" s="81" t="s">
        <v>2395</v>
      </c>
      <c r="H31" s="83" t="str">
        <f>IFERROR(__xludf.DUMMYFUNCTION("SPLIT(A31,""-"")"),"https://medibillmd.com/blog/cpt")</f>
        <v>https://medibillmd.com/blog/cpt</v>
      </c>
      <c r="I31" s="59" t="str">
        <f>IFERROR(__xludf.DUMMYFUNCTION("""COMPUTED_VALUE"""),"code")</f>
        <v>code</v>
      </c>
      <c r="J31" s="59" t="str">
        <f>IFERROR(__xludf.DUMMYFUNCTION("""COMPUTED_VALUE"""),"95819/")</f>
        <v>95819/</v>
      </c>
    </row>
    <row r="32" hidden="1">
      <c r="A32" s="77" t="s">
        <v>2396</v>
      </c>
      <c r="B32" s="13" t="s">
        <v>2397</v>
      </c>
      <c r="F32" s="82" t="s">
        <v>2398</v>
      </c>
      <c r="G32" s="82" t="s">
        <v>2399</v>
      </c>
    </row>
    <row r="33" hidden="1">
      <c r="A33" s="77" t="s">
        <v>2400</v>
      </c>
      <c r="B33" s="13" t="s">
        <v>2401</v>
      </c>
      <c r="F33" s="82" t="s">
        <v>2402</v>
      </c>
      <c r="G33" s="82" t="s">
        <v>2403</v>
      </c>
    </row>
    <row r="34" hidden="1">
      <c r="A34" s="77" t="s">
        <v>2404</v>
      </c>
      <c r="B34" s="13" t="s">
        <v>2405</v>
      </c>
      <c r="F34" s="82" t="s">
        <v>2406</v>
      </c>
      <c r="G34" s="82" t="s">
        <v>2407</v>
      </c>
    </row>
    <row r="35">
      <c r="A35" s="77" t="s">
        <v>2408</v>
      </c>
      <c r="B35" s="13" t="s">
        <v>2409</v>
      </c>
      <c r="F35" s="82" t="s">
        <v>2410</v>
      </c>
      <c r="G35" s="81" t="s">
        <v>2411</v>
      </c>
      <c r="H35" s="83" t="str">
        <f>IFERROR(__xludf.DUMMYFUNCTION("SPLIT(A35,""-"")"),"https://medibillmd.com/blog/cpt")</f>
        <v>https://medibillmd.com/blog/cpt</v>
      </c>
      <c r="I35" s="59" t="str">
        <f>IFERROR(__xludf.DUMMYFUNCTION("""COMPUTED_VALUE"""),"code")</f>
        <v>code</v>
      </c>
      <c r="J35" s="59" t="str">
        <f>IFERROR(__xludf.DUMMYFUNCTION("""COMPUTED_VALUE"""),"51798/")</f>
        <v>51798/</v>
      </c>
    </row>
    <row r="36" hidden="1">
      <c r="A36" s="77" t="s">
        <v>2412</v>
      </c>
      <c r="B36" s="13" t="s">
        <v>2312</v>
      </c>
      <c r="F36" s="82" t="s">
        <v>2413</v>
      </c>
      <c r="G36" s="82" t="s">
        <v>2414</v>
      </c>
    </row>
    <row r="37">
      <c r="A37" s="77" t="s">
        <v>2415</v>
      </c>
      <c r="B37" s="13" t="s">
        <v>2416</v>
      </c>
      <c r="F37" s="82" t="s">
        <v>2417</v>
      </c>
      <c r="G37" s="81" t="s">
        <v>2418</v>
      </c>
      <c r="H37" s="83" t="str">
        <f>IFERROR(__xludf.DUMMYFUNCTION("SPLIT(A37,""-"")"),"https://medibillmd.com/blog/cpt")</f>
        <v>https://medibillmd.com/blog/cpt</v>
      </c>
      <c r="I37" s="59" t="str">
        <f>IFERROR(__xludf.DUMMYFUNCTION("""COMPUTED_VALUE"""),"code")</f>
        <v>code</v>
      </c>
      <c r="J37" s="59" t="str">
        <f>IFERROR(__xludf.DUMMYFUNCTION("""COMPUTED_VALUE"""),"93016/")</f>
        <v>93016/</v>
      </c>
    </row>
    <row r="38">
      <c r="A38" s="77" t="s">
        <v>2419</v>
      </c>
      <c r="B38" s="13" t="s">
        <v>2420</v>
      </c>
      <c r="F38" s="82" t="s">
        <v>2421</v>
      </c>
      <c r="G38" s="81" t="s">
        <v>2422</v>
      </c>
      <c r="H38" s="83" t="str">
        <f>IFERROR(__xludf.DUMMYFUNCTION("SPLIT(A38,""-"")"),"https://medibillmd.com/blog/cpt")</f>
        <v>https://medibillmd.com/blog/cpt</v>
      </c>
      <c r="I38" s="59" t="str">
        <f>IFERROR(__xludf.DUMMYFUNCTION("""COMPUTED_VALUE"""),"code")</f>
        <v>code</v>
      </c>
      <c r="J38" s="59" t="str">
        <f>IFERROR(__xludf.DUMMYFUNCTION("""COMPUTED_VALUE"""),"77080/")</f>
        <v>77080/</v>
      </c>
    </row>
    <row r="39">
      <c r="A39" s="77" t="s">
        <v>2423</v>
      </c>
      <c r="B39" s="13" t="s">
        <v>2424</v>
      </c>
      <c r="F39" s="82" t="s">
        <v>2425</v>
      </c>
      <c r="G39" s="81" t="s">
        <v>2426</v>
      </c>
      <c r="H39" s="83" t="str">
        <f>IFERROR(__xludf.DUMMYFUNCTION("SPLIT(A39,""-"")"),"https://medibillmd.com/blog/cpt")</f>
        <v>https://medibillmd.com/blog/cpt</v>
      </c>
      <c r="I39" s="59" t="str">
        <f>IFERROR(__xludf.DUMMYFUNCTION("""COMPUTED_VALUE"""),"code")</f>
        <v>code</v>
      </c>
      <c r="J39" s="59" t="str">
        <f>IFERROR(__xludf.DUMMYFUNCTION("""COMPUTED_VALUE"""),"90832/")</f>
        <v>90832/</v>
      </c>
    </row>
    <row r="40" hidden="1">
      <c r="A40" s="77" t="s">
        <v>2427</v>
      </c>
      <c r="B40" s="13" t="s">
        <v>2428</v>
      </c>
      <c r="F40" s="82" t="s">
        <v>2429</v>
      </c>
      <c r="G40" s="82" t="s">
        <v>2430</v>
      </c>
    </row>
    <row r="41" hidden="1">
      <c r="A41" s="77" t="s">
        <v>2431</v>
      </c>
      <c r="B41" s="13" t="s">
        <v>2316</v>
      </c>
      <c r="F41" s="82" t="s">
        <v>2432</v>
      </c>
      <c r="G41" s="82" t="s">
        <v>2433</v>
      </c>
    </row>
    <row r="42">
      <c r="A42" s="77" t="s">
        <v>2434</v>
      </c>
      <c r="B42" s="13" t="s">
        <v>2435</v>
      </c>
      <c r="F42" s="82" t="s">
        <v>2436</v>
      </c>
      <c r="G42" s="81" t="s">
        <v>2437</v>
      </c>
      <c r="H42" s="83" t="str">
        <f>IFERROR(__xludf.DUMMYFUNCTION("SPLIT(A42,""-"")"),"https://medibillmd.com/blog/cpt")</f>
        <v>https://medibillmd.com/blog/cpt</v>
      </c>
      <c r="I42" s="59" t="str">
        <f>IFERROR(__xludf.DUMMYFUNCTION("""COMPUTED_VALUE"""),"code")</f>
        <v>code</v>
      </c>
      <c r="J42" s="59" t="str">
        <f>IFERROR(__xludf.DUMMYFUNCTION("""COMPUTED_VALUE"""),"99308/")</f>
        <v>99308/</v>
      </c>
    </row>
    <row r="43">
      <c r="A43" s="77" t="s">
        <v>2438</v>
      </c>
      <c r="B43" s="13" t="s">
        <v>2439</v>
      </c>
      <c r="F43" s="82" t="s">
        <v>2440</v>
      </c>
      <c r="G43" s="81" t="s">
        <v>2441</v>
      </c>
      <c r="H43" s="83" t="str">
        <f>IFERROR(__xludf.DUMMYFUNCTION("SPLIT(A43,""-"")"),"https://medibillmd.com/blog/cpt")</f>
        <v>https://medibillmd.com/blog/cpt</v>
      </c>
      <c r="I43" s="59" t="str">
        <f>IFERROR(__xludf.DUMMYFUNCTION("""COMPUTED_VALUE"""),"code")</f>
        <v>code</v>
      </c>
      <c r="J43" s="59" t="str">
        <f>IFERROR(__xludf.DUMMYFUNCTION("""COMPUTED_VALUE"""),"97813/")</f>
        <v>97813/</v>
      </c>
    </row>
    <row r="44">
      <c r="A44" s="77" t="s">
        <v>2442</v>
      </c>
      <c r="B44" s="13" t="s">
        <v>2443</v>
      </c>
      <c r="F44" s="82" t="s">
        <v>2444</v>
      </c>
      <c r="G44" s="81" t="s">
        <v>2445</v>
      </c>
      <c r="H44" s="83" t="str">
        <f>IFERROR(__xludf.DUMMYFUNCTION("SPLIT(A44,""-"")"),"https://medibillmd.com/blog/cpt")</f>
        <v>https://medibillmd.com/blog/cpt</v>
      </c>
      <c r="I44" s="59" t="str">
        <f>IFERROR(__xludf.DUMMYFUNCTION("""COMPUTED_VALUE"""),"code")</f>
        <v>code</v>
      </c>
      <c r="J44" s="59" t="str">
        <f>IFERROR(__xludf.DUMMYFUNCTION("""COMPUTED_VALUE"""),"97811/")</f>
        <v>97811/</v>
      </c>
    </row>
    <row r="45">
      <c r="A45" s="77" t="s">
        <v>2446</v>
      </c>
      <c r="B45" s="13" t="s">
        <v>2447</v>
      </c>
      <c r="F45" s="82" t="s">
        <v>2448</v>
      </c>
      <c r="G45" s="81" t="s">
        <v>2449</v>
      </c>
      <c r="H45" s="83" t="str">
        <f>IFERROR(__xludf.DUMMYFUNCTION("SPLIT(A45,""-"")"),"https://medibillmd.com/blog/cpt")</f>
        <v>https://medibillmd.com/blog/cpt</v>
      </c>
      <c r="I45" s="59" t="str">
        <f>IFERROR(__xludf.DUMMYFUNCTION("""COMPUTED_VALUE"""),"code")</f>
        <v>code</v>
      </c>
      <c r="J45" s="59" t="str">
        <f>IFERROR(__xludf.DUMMYFUNCTION("""COMPUTED_VALUE"""),"99381/")</f>
        <v>99381/</v>
      </c>
    </row>
    <row r="46">
      <c r="A46" s="77" t="s">
        <v>2450</v>
      </c>
      <c r="B46" s="13" t="s">
        <v>2451</v>
      </c>
      <c r="F46" s="82" t="s">
        <v>2452</v>
      </c>
      <c r="G46" s="81" t="s">
        <v>2453</v>
      </c>
      <c r="H46" s="83" t="str">
        <f>IFERROR(__xludf.DUMMYFUNCTION("SPLIT(A46,""-"")"),"https://medibillmd.com/blog/cpt")</f>
        <v>https://medibillmd.com/blog/cpt</v>
      </c>
      <c r="I46" s="59" t="str">
        <f>IFERROR(__xludf.DUMMYFUNCTION("""COMPUTED_VALUE"""),"code")</f>
        <v>code</v>
      </c>
      <c r="J46" s="59" t="str">
        <f>IFERROR(__xludf.DUMMYFUNCTION("""COMPUTED_VALUE"""),"90792/")</f>
        <v>90792/</v>
      </c>
    </row>
    <row r="47" hidden="1">
      <c r="A47" s="77" t="s">
        <v>2454</v>
      </c>
      <c r="B47" s="13" t="s">
        <v>2320</v>
      </c>
      <c r="F47" s="82" t="s">
        <v>2455</v>
      </c>
      <c r="G47" s="82" t="s">
        <v>2456</v>
      </c>
    </row>
    <row r="48">
      <c r="A48" s="77" t="s">
        <v>2457</v>
      </c>
      <c r="B48" s="13" t="s">
        <v>2458</v>
      </c>
      <c r="F48" s="82" t="s">
        <v>2459</v>
      </c>
      <c r="G48" s="81" t="s">
        <v>2460</v>
      </c>
      <c r="H48" s="83" t="str">
        <f>IFERROR(__xludf.DUMMYFUNCTION("SPLIT(A48,""-"")"),"https://medibillmd.com/blog/cpt")</f>
        <v>https://medibillmd.com/blog/cpt</v>
      </c>
      <c r="I48" s="59" t="str">
        <f>IFERROR(__xludf.DUMMYFUNCTION("""COMPUTED_VALUE"""),"code")</f>
        <v>code</v>
      </c>
      <c r="J48" s="59" t="str">
        <f>IFERROR(__xludf.DUMMYFUNCTION("""COMPUTED_VALUE"""),"99305/")</f>
        <v>99305/</v>
      </c>
    </row>
    <row r="49" hidden="1">
      <c r="A49" s="77" t="s">
        <v>2461</v>
      </c>
      <c r="B49" s="13" t="s">
        <v>2324</v>
      </c>
      <c r="F49" s="82" t="s">
        <v>2462</v>
      </c>
      <c r="G49" s="82" t="s">
        <v>2463</v>
      </c>
    </row>
    <row r="50" hidden="1">
      <c r="A50" s="77" t="s">
        <v>2464</v>
      </c>
      <c r="B50" s="13" t="s">
        <v>2328</v>
      </c>
      <c r="F50" s="82" t="s">
        <v>2465</v>
      </c>
      <c r="G50" s="82" t="s">
        <v>2466</v>
      </c>
    </row>
    <row r="51">
      <c r="A51" s="77" t="s">
        <v>2467</v>
      </c>
      <c r="B51" s="13" t="s">
        <v>2468</v>
      </c>
      <c r="F51" s="82" t="s">
        <v>2469</v>
      </c>
      <c r="G51" s="81" t="s">
        <v>2470</v>
      </c>
      <c r="H51" s="83" t="str">
        <f>IFERROR(__xludf.DUMMYFUNCTION("SPLIT(A51,""-"")"),"https://medibillmd.com/blog/cpt")</f>
        <v>https://medibillmd.com/blog/cpt</v>
      </c>
      <c r="I51" s="59" t="str">
        <f>IFERROR(__xludf.DUMMYFUNCTION("""COMPUTED_VALUE"""),"code")</f>
        <v>code</v>
      </c>
      <c r="J51" s="59" t="str">
        <f>IFERROR(__xludf.DUMMYFUNCTION("""COMPUTED_VALUE"""),"99382/")</f>
        <v>99382/</v>
      </c>
    </row>
    <row r="52">
      <c r="A52" s="77" t="s">
        <v>2471</v>
      </c>
      <c r="B52" s="13" t="s">
        <v>2472</v>
      </c>
      <c r="F52" s="82" t="s">
        <v>2473</v>
      </c>
      <c r="G52" s="81" t="s">
        <v>2474</v>
      </c>
      <c r="H52" s="83" t="str">
        <f>IFERROR(__xludf.DUMMYFUNCTION("SPLIT(A52,""-"")"),"https://medibillmd.com/blog/cpt")</f>
        <v>https://medibillmd.com/blog/cpt</v>
      </c>
      <c r="I52" s="59" t="str">
        <f>IFERROR(__xludf.DUMMYFUNCTION("""COMPUTED_VALUE"""),"code")</f>
        <v>code</v>
      </c>
      <c r="J52" s="59" t="str">
        <f>IFERROR(__xludf.DUMMYFUNCTION("""COMPUTED_VALUE"""),"99309/")</f>
        <v>99309/</v>
      </c>
    </row>
    <row r="53">
      <c r="A53" s="77" t="s">
        <v>2475</v>
      </c>
      <c r="B53" s="13" t="s">
        <v>2476</v>
      </c>
      <c r="F53" s="82" t="s">
        <v>2477</v>
      </c>
      <c r="G53" s="81" t="s">
        <v>2478</v>
      </c>
      <c r="H53" s="83" t="str">
        <f>IFERROR(__xludf.DUMMYFUNCTION("SPLIT(A53,""-"")"),"https://medibillmd.com/blog/cpt")</f>
        <v>https://medibillmd.com/blog/cpt</v>
      </c>
      <c r="I53" s="59" t="str">
        <f>IFERROR(__xludf.DUMMYFUNCTION("""COMPUTED_VALUE"""),"code")</f>
        <v>code</v>
      </c>
      <c r="J53" s="59" t="str">
        <f>IFERROR(__xludf.DUMMYFUNCTION("""COMPUTED_VALUE"""),"99394/")</f>
        <v>99394/</v>
      </c>
    </row>
    <row r="54">
      <c r="A54" s="77" t="s">
        <v>2479</v>
      </c>
      <c r="B54" s="13" t="s">
        <v>2480</v>
      </c>
      <c r="F54" s="82" t="s">
        <v>2481</v>
      </c>
      <c r="G54" s="81" t="s">
        <v>2482</v>
      </c>
      <c r="H54" s="83" t="str">
        <f>IFERROR(__xludf.DUMMYFUNCTION("SPLIT(A54,""-"")"),"https://medibillmd.com/blog/cpt")</f>
        <v>https://medibillmd.com/blog/cpt</v>
      </c>
      <c r="I54" s="59" t="str">
        <f>IFERROR(__xludf.DUMMYFUNCTION("""COMPUTED_VALUE"""),"code")</f>
        <v>code</v>
      </c>
      <c r="J54" s="59" t="str">
        <f>IFERROR(__xludf.DUMMYFUNCTION("""COMPUTED_VALUE"""),"99391/")</f>
        <v>99391/</v>
      </c>
    </row>
    <row r="55" hidden="1">
      <c r="A55" s="77" t="s">
        <v>2483</v>
      </c>
      <c r="B55" s="13" t="s">
        <v>2331</v>
      </c>
      <c r="F55" s="82" t="s">
        <v>2484</v>
      </c>
      <c r="G55" s="82" t="s">
        <v>2485</v>
      </c>
    </row>
    <row r="56" hidden="1">
      <c r="A56" s="77" t="s">
        <v>2486</v>
      </c>
      <c r="B56" s="13" t="s">
        <v>2335</v>
      </c>
      <c r="F56" s="82" t="s">
        <v>2487</v>
      </c>
      <c r="G56" s="82" t="s">
        <v>2488</v>
      </c>
    </row>
    <row r="57" hidden="1">
      <c r="A57" s="77" t="s">
        <v>2489</v>
      </c>
      <c r="B57" s="13" t="s">
        <v>2339</v>
      </c>
      <c r="F57" s="82" t="s">
        <v>2490</v>
      </c>
      <c r="G57" s="82" t="s">
        <v>2491</v>
      </c>
    </row>
    <row r="58" hidden="1">
      <c r="A58" s="77" t="s">
        <v>2492</v>
      </c>
      <c r="B58" s="13" t="s">
        <v>2342</v>
      </c>
      <c r="F58" s="82" t="s">
        <v>2493</v>
      </c>
      <c r="G58" s="82" t="s">
        <v>2494</v>
      </c>
    </row>
    <row r="59" hidden="1">
      <c r="A59" s="77" t="s">
        <v>2495</v>
      </c>
      <c r="B59" s="13" t="s">
        <v>2346</v>
      </c>
    </row>
    <row r="60" hidden="1">
      <c r="A60" s="77" t="s">
        <v>2496</v>
      </c>
      <c r="B60" s="13" t="s">
        <v>2497</v>
      </c>
      <c r="F60" s="1" t="s">
        <v>832</v>
      </c>
    </row>
    <row r="61" hidden="1">
      <c r="A61" s="77" t="s">
        <v>2498</v>
      </c>
      <c r="B61" s="13" t="s">
        <v>2350</v>
      </c>
    </row>
    <row r="62" hidden="1">
      <c r="A62" s="77" t="s">
        <v>2499</v>
      </c>
      <c r="B62" s="13" t="s">
        <v>2354</v>
      </c>
    </row>
    <row r="63">
      <c r="A63" s="77" t="s">
        <v>2500</v>
      </c>
      <c r="B63" s="13" t="s">
        <v>2501</v>
      </c>
      <c r="G63" s="18"/>
      <c r="H63" s="83" t="str">
        <f>IFERROR(__xludf.DUMMYFUNCTION("SPLIT(A63,""-"")"),"https://medibillmd.com/blog/cpt")</f>
        <v>https://medibillmd.com/blog/cpt</v>
      </c>
      <c r="I63" s="59" t="str">
        <f>IFERROR(__xludf.DUMMYFUNCTION("""COMPUTED_VALUE"""),"code")</f>
        <v>code</v>
      </c>
      <c r="J63" s="59" t="str">
        <f>IFERROR(__xludf.DUMMYFUNCTION("""COMPUTED_VALUE"""),"97810/")</f>
        <v>97810/</v>
      </c>
    </row>
    <row r="64">
      <c r="A64" s="77" t="s">
        <v>2502</v>
      </c>
      <c r="B64" s="13" t="s">
        <v>2503</v>
      </c>
      <c r="G64" s="18"/>
      <c r="H64" s="83" t="str">
        <f>IFERROR(__xludf.DUMMYFUNCTION("SPLIT(A64,""-"")"),"https://medibillmd.com/blog/cpt")</f>
        <v>https://medibillmd.com/blog/cpt</v>
      </c>
      <c r="I64" s="59" t="str">
        <f>IFERROR(__xludf.DUMMYFUNCTION("""COMPUTED_VALUE"""),"code")</f>
        <v>code</v>
      </c>
      <c r="J64" s="59" t="str">
        <f>IFERROR(__xludf.DUMMYFUNCTION("""COMPUTED_VALUE"""),"77063/")</f>
        <v>77063/</v>
      </c>
    </row>
    <row r="65" hidden="1">
      <c r="A65" s="77" t="s">
        <v>2504</v>
      </c>
      <c r="B65" s="13" t="s">
        <v>2358</v>
      </c>
    </row>
    <row r="66" hidden="1">
      <c r="A66" s="77" t="s">
        <v>2505</v>
      </c>
      <c r="B66" s="13" t="s">
        <v>2361</v>
      </c>
    </row>
    <row r="67" hidden="1">
      <c r="A67" s="77" t="s">
        <v>2506</v>
      </c>
      <c r="B67" s="13" t="s">
        <v>2507</v>
      </c>
    </row>
    <row r="68" hidden="1">
      <c r="A68" s="77" t="s">
        <v>2508</v>
      </c>
      <c r="B68" s="13" t="s">
        <v>2509</v>
      </c>
    </row>
    <row r="69" hidden="1">
      <c r="A69" s="77" t="s">
        <v>2510</v>
      </c>
      <c r="B69" s="13" t="s">
        <v>2511</v>
      </c>
    </row>
    <row r="70">
      <c r="A70" s="77" t="s">
        <v>2512</v>
      </c>
      <c r="B70" s="13" t="s">
        <v>2513</v>
      </c>
      <c r="G70" s="18"/>
      <c r="H70" s="83" t="str">
        <f>IFERROR(__xludf.DUMMYFUNCTION("SPLIT(A70,""-"")"),"https://medibillmd.com/blog/cpt")</f>
        <v>https://medibillmd.com/blog/cpt</v>
      </c>
      <c r="I70" s="59" t="str">
        <f>IFERROR(__xludf.DUMMYFUNCTION("""COMPUTED_VALUE"""),"code")</f>
        <v>code</v>
      </c>
      <c r="J70" s="59" t="str">
        <f>IFERROR(__xludf.DUMMYFUNCTION("""COMPUTED_VALUE"""),"97530/")</f>
        <v>97530/</v>
      </c>
    </row>
    <row r="71">
      <c r="A71" s="77" t="s">
        <v>2514</v>
      </c>
      <c r="B71" s="13" t="s">
        <v>2515</v>
      </c>
      <c r="G71" s="18"/>
      <c r="H71" s="83" t="str">
        <f>IFERROR(__xludf.DUMMYFUNCTION("SPLIT(A71,""-"")"),"https://medibillmd.com/blog/cpt")</f>
        <v>https://medibillmd.com/blog/cpt</v>
      </c>
      <c r="I71" s="59" t="str">
        <f>IFERROR(__xludf.DUMMYFUNCTION("""COMPUTED_VALUE"""),"code")</f>
        <v>code</v>
      </c>
      <c r="J71" s="59" t="str">
        <f>IFERROR(__xludf.DUMMYFUNCTION("""COMPUTED_VALUE"""),"90834/")</f>
        <v>90834/</v>
      </c>
    </row>
    <row r="72" hidden="1">
      <c r="A72" s="77" t="s">
        <v>2516</v>
      </c>
      <c r="B72" s="13" t="s">
        <v>2364</v>
      </c>
    </row>
    <row r="73">
      <c r="A73" s="77" t="s">
        <v>2517</v>
      </c>
      <c r="B73" s="13" t="s">
        <v>2518</v>
      </c>
      <c r="G73" s="18"/>
      <c r="H73" s="83" t="str">
        <f>IFERROR(__xludf.DUMMYFUNCTION("SPLIT(A73,""-"")"),"https://medibillmd.com/blog/cpt")</f>
        <v>https://medibillmd.com/blog/cpt</v>
      </c>
      <c r="I73" s="59" t="str">
        <f>IFERROR(__xludf.DUMMYFUNCTION("""COMPUTED_VALUE"""),"code")</f>
        <v>code</v>
      </c>
      <c r="J73" s="59" t="str">
        <f>IFERROR(__xludf.DUMMYFUNCTION("""COMPUTED_VALUE"""),"74176/")</f>
        <v>74176/</v>
      </c>
    </row>
    <row r="74" hidden="1">
      <c r="A74" s="77" t="s">
        <v>2519</v>
      </c>
      <c r="B74" s="13" t="s">
        <v>2368</v>
      </c>
    </row>
    <row r="75">
      <c r="A75" s="77" t="s">
        <v>2520</v>
      </c>
      <c r="B75" s="13" t="s">
        <v>2521</v>
      </c>
      <c r="G75" s="18"/>
      <c r="H75" s="83" t="str">
        <f>IFERROR(__xludf.DUMMYFUNCTION("SPLIT(A75,""-"")"),"https://medibillmd.com/blog/cpt")</f>
        <v>https://medibillmd.com/blog/cpt</v>
      </c>
      <c r="I75" s="59" t="str">
        <f>IFERROR(__xludf.DUMMYFUNCTION("""COMPUTED_VALUE"""),"code")</f>
        <v>code</v>
      </c>
      <c r="J75" s="59" t="str">
        <f>IFERROR(__xludf.DUMMYFUNCTION("""COMPUTED_VALUE"""),"76942/")</f>
        <v>76942/</v>
      </c>
    </row>
    <row r="76" hidden="1">
      <c r="A76" s="77" t="s">
        <v>2522</v>
      </c>
      <c r="B76" s="13" t="s">
        <v>2371</v>
      </c>
    </row>
    <row r="77">
      <c r="A77" s="77" t="s">
        <v>2523</v>
      </c>
      <c r="B77" s="13" t="s">
        <v>2524</v>
      </c>
      <c r="G77" s="18"/>
      <c r="H77" s="83" t="str">
        <f>IFERROR(__xludf.DUMMYFUNCTION("SPLIT(A77,""-"")"),"https://medibillmd.com/blog/cpt")</f>
        <v>https://medibillmd.com/blog/cpt</v>
      </c>
      <c r="I77" s="59" t="str">
        <f>IFERROR(__xludf.DUMMYFUNCTION("""COMPUTED_VALUE"""),"code")</f>
        <v>code</v>
      </c>
      <c r="J77" s="59" t="str">
        <f>IFERROR(__xludf.DUMMYFUNCTION("""COMPUTED_VALUE"""),"52000/")</f>
        <v>52000/</v>
      </c>
    </row>
    <row r="78">
      <c r="A78" s="77" t="s">
        <v>2525</v>
      </c>
      <c r="B78" s="13" t="s">
        <v>2526</v>
      </c>
      <c r="G78" s="18"/>
      <c r="H78" s="83" t="str">
        <f>IFERROR(__xludf.DUMMYFUNCTION("SPLIT(A78,""-"")"),"https://medibillmd.com/blog/cpt")</f>
        <v>https://medibillmd.com/blog/cpt</v>
      </c>
      <c r="I78" s="59" t="str">
        <f>IFERROR(__xludf.DUMMYFUNCTION("""COMPUTED_VALUE"""),"code")</f>
        <v>code</v>
      </c>
      <c r="J78" s="59" t="str">
        <f>IFERROR(__xludf.DUMMYFUNCTION("""COMPUTED_VALUE"""),"76705/")</f>
        <v>76705/</v>
      </c>
    </row>
    <row r="79">
      <c r="A79" s="77" t="s">
        <v>2527</v>
      </c>
      <c r="B79" s="13" t="s">
        <v>2528</v>
      </c>
      <c r="G79" s="18"/>
      <c r="H79" s="83" t="str">
        <f>IFERROR(__xludf.DUMMYFUNCTION("SPLIT(A79,""-"")"),"https://medibillmd.com/blog/cpt")</f>
        <v>https://medibillmd.com/blog/cpt</v>
      </c>
      <c r="I79" s="59" t="str">
        <f>IFERROR(__xludf.DUMMYFUNCTION("""COMPUTED_VALUE"""),"code")</f>
        <v>code</v>
      </c>
      <c r="J79" s="59" t="str">
        <f>IFERROR(__xludf.DUMMYFUNCTION("""COMPUTED_VALUE"""),"98943/")</f>
        <v>98943/</v>
      </c>
    </row>
    <row r="80">
      <c r="A80" s="77" t="s">
        <v>2529</v>
      </c>
      <c r="B80" s="13" t="s">
        <v>2530</v>
      </c>
      <c r="G80" s="18"/>
      <c r="H80" s="83" t="str">
        <f>IFERROR(__xludf.DUMMYFUNCTION("SPLIT(A80,""-"")"),"https://medibillmd.com/blog/cpt")</f>
        <v>https://medibillmd.com/blog/cpt</v>
      </c>
      <c r="I80" s="59" t="str">
        <f>IFERROR(__xludf.DUMMYFUNCTION("""COMPUTED_VALUE"""),"code")</f>
        <v>code</v>
      </c>
      <c r="J80" s="59" t="str">
        <f>IFERROR(__xludf.DUMMYFUNCTION("""COMPUTED_VALUE"""),"90791/")</f>
        <v>90791/</v>
      </c>
    </row>
    <row r="81">
      <c r="A81" s="77" t="s">
        <v>2531</v>
      </c>
      <c r="B81" s="13" t="s">
        <v>2532</v>
      </c>
      <c r="G81" s="18"/>
      <c r="H81" s="83" t="str">
        <f>IFERROR(__xludf.DUMMYFUNCTION("SPLIT(A81,""-"")"),"https://medibillmd.com/blog/cpt")</f>
        <v>https://medibillmd.com/blog/cpt</v>
      </c>
      <c r="I81" s="59" t="str">
        <f>IFERROR(__xludf.DUMMYFUNCTION("""COMPUTED_VALUE"""),"code")</f>
        <v>code</v>
      </c>
      <c r="J81" s="59" t="str">
        <f>IFERROR(__xludf.DUMMYFUNCTION("""COMPUTED_VALUE"""),"71250/")</f>
        <v>71250/</v>
      </c>
    </row>
    <row r="82" hidden="1">
      <c r="A82" s="77" t="s">
        <v>2533</v>
      </c>
      <c r="B82" s="13" t="s">
        <v>2375</v>
      </c>
    </row>
    <row r="83">
      <c r="A83" s="77" t="s">
        <v>2534</v>
      </c>
      <c r="B83" s="13" t="s">
        <v>2535</v>
      </c>
      <c r="G83" s="18"/>
      <c r="H83" s="83" t="str">
        <f>IFERROR(__xludf.DUMMYFUNCTION("SPLIT(A83,""-"")"),"https://medibillmd.com/blog/cpt")</f>
        <v>https://medibillmd.com/blog/cpt</v>
      </c>
      <c r="I83" s="59" t="str">
        <f>IFERROR(__xludf.DUMMYFUNCTION("""COMPUTED_VALUE"""),"code")</f>
        <v>code</v>
      </c>
      <c r="J83" s="59" t="str">
        <f>IFERROR(__xludf.DUMMYFUNCTION("""COMPUTED_VALUE"""),"77067/")</f>
        <v>77067/</v>
      </c>
    </row>
    <row r="84">
      <c r="A84" s="77" t="s">
        <v>2536</v>
      </c>
      <c r="B84" s="13" t="s">
        <v>2537</v>
      </c>
      <c r="G84" s="18"/>
      <c r="H84" s="83" t="str">
        <f>IFERROR(__xludf.DUMMYFUNCTION("SPLIT(A84,""-"")"),"https://medibillmd.com/blog/cpt")</f>
        <v>https://medibillmd.com/blog/cpt</v>
      </c>
      <c r="I84" s="59" t="str">
        <f>IFERROR(__xludf.DUMMYFUNCTION("""COMPUTED_VALUE"""),"code")</f>
        <v>code</v>
      </c>
      <c r="J84" s="59" t="str">
        <f>IFERROR(__xludf.DUMMYFUNCTION("""COMPUTED_VALUE"""),"98940/")</f>
        <v>98940/</v>
      </c>
    </row>
    <row r="85">
      <c r="A85" s="77" t="s">
        <v>2538</v>
      </c>
      <c r="B85" s="13" t="s">
        <v>2539</v>
      </c>
      <c r="G85" s="18"/>
      <c r="H85" s="83" t="str">
        <f>IFERROR(__xludf.DUMMYFUNCTION("SPLIT(A85,""-"")"),"https://medibillmd.com/blog/cpt")</f>
        <v>https://medibillmd.com/blog/cpt</v>
      </c>
      <c r="I85" s="59" t="str">
        <f>IFERROR(__xludf.DUMMYFUNCTION("""COMPUTED_VALUE"""),"code")</f>
        <v>code</v>
      </c>
      <c r="J85" s="59" t="str">
        <f>IFERROR(__xludf.DUMMYFUNCTION("""COMPUTED_VALUE"""),"73721/")</f>
        <v>73721/</v>
      </c>
    </row>
    <row r="86">
      <c r="A86" s="77" t="s">
        <v>2540</v>
      </c>
      <c r="B86" s="13" t="s">
        <v>2541</v>
      </c>
      <c r="G86" s="18"/>
      <c r="H86" s="83" t="str">
        <f>IFERROR(__xludf.DUMMYFUNCTION("SPLIT(A86,""-"")"),"https://medibillmd.com/blog/cpt")</f>
        <v>https://medibillmd.com/blog/cpt</v>
      </c>
      <c r="I86" s="59" t="str">
        <f>IFERROR(__xludf.DUMMYFUNCTION("""COMPUTED_VALUE"""),"code")</f>
        <v>code</v>
      </c>
      <c r="J86" s="59" t="str">
        <f>IFERROR(__xludf.DUMMYFUNCTION("""COMPUTED_VALUE"""),"99439/")</f>
        <v>99439/</v>
      </c>
    </row>
    <row r="87">
      <c r="A87" s="77" t="s">
        <v>2542</v>
      </c>
      <c r="B87" s="13" t="s">
        <v>2543</v>
      </c>
      <c r="G87" s="18"/>
      <c r="H87" s="83" t="str">
        <f>IFERROR(__xludf.DUMMYFUNCTION("SPLIT(A87,""-"")"),"https://medibillmd.com/blog/cpt")</f>
        <v>https://medibillmd.com/blog/cpt</v>
      </c>
      <c r="I87" s="59" t="str">
        <f>IFERROR(__xludf.DUMMYFUNCTION("""COMPUTED_VALUE"""),"code")</f>
        <v>code</v>
      </c>
      <c r="J87" s="59" t="str">
        <f>IFERROR(__xludf.DUMMYFUNCTION("""COMPUTED_VALUE"""),"90837/")</f>
        <v>90837/</v>
      </c>
    </row>
    <row r="88">
      <c r="A88" s="77" t="s">
        <v>2544</v>
      </c>
      <c r="B88" s="13" t="s">
        <v>2545</v>
      </c>
      <c r="G88" s="18"/>
      <c r="H88" s="83" t="str">
        <f>IFERROR(__xludf.DUMMYFUNCTION("SPLIT(A88,""-"")"),"https://medibillmd.com/blog/cpt")</f>
        <v>https://medibillmd.com/blog/cpt</v>
      </c>
      <c r="I88" s="59" t="str">
        <f>IFERROR(__xludf.DUMMYFUNCTION("""COMPUTED_VALUE"""),"code")</f>
        <v>code</v>
      </c>
      <c r="J88" s="59" t="str">
        <f>IFERROR(__xludf.DUMMYFUNCTION("""COMPUTED_VALUE"""),"98941/")</f>
        <v>98941/</v>
      </c>
    </row>
    <row r="89">
      <c r="A89" s="77" t="s">
        <v>2546</v>
      </c>
      <c r="B89" s="13" t="s">
        <v>2547</v>
      </c>
      <c r="G89" s="18"/>
      <c r="H89" s="83" t="str">
        <f>IFERROR(__xludf.DUMMYFUNCTION("SPLIT(A89,""-"")"),"https://medibillmd.com/blog/cpt")</f>
        <v>https://medibillmd.com/blog/cpt</v>
      </c>
      <c r="I89" s="59" t="str">
        <f>IFERROR(__xludf.DUMMYFUNCTION("""COMPUTED_VALUE"""),"code")</f>
        <v>code</v>
      </c>
      <c r="J89" s="59" t="str">
        <f>IFERROR(__xludf.DUMMYFUNCTION("""COMPUTED_VALUE"""),"85025/")</f>
        <v>85025/</v>
      </c>
    </row>
    <row r="90">
      <c r="A90" s="77" t="s">
        <v>2548</v>
      </c>
      <c r="B90" s="13" t="s">
        <v>2549</v>
      </c>
      <c r="G90" s="18"/>
      <c r="H90" s="83" t="str">
        <f>IFERROR(__xludf.DUMMYFUNCTION("SPLIT(A90,""-"")"),"https://medibillmd.com/blog/cpt")</f>
        <v>https://medibillmd.com/blog/cpt</v>
      </c>
      <c r="I90" s="59" t="str">
        <f>IFERROR(__xludf.DUMMYFUNCTION("""COMPUTED_VALUE"""),"code")</f>
        <v>code</v>
      </c>
      <c r="J90" s="59" t="str">
        <f>IFERROR(__xludf.DUMMYFUNCTION("""COMPUTED_VALUE"""),"80048/")</f>
        <v>80048/</v>
      </c>
    </row>
    <row r="91" hidden="1">
      <c r="A91" s="77" t="s">
        <v>2550</v>
      </c>
      <c r="B91" s="13" t="s">
        <v>2379</v>
      </c>
    </row>
    <row r="92" hidden="1">
      <c r="A92" s="77" t="s">
        <v>2551</v>
      </c>
      <c r="B92" s="13" t="s">
        <v>2383</v>
      </c>
    </row>
    <row r="93">
      <c r="A93" s="77" t="s">
        <v>2552</v>
      </c>
      <c r="B93" s="13" t="s">
        <v>2553</v>
      </c>
      <c r="G93" s="18"/>
      <c r="H93" s="83" t="str">
        <f>IFERROR(__xludf.DUMMYFUNCTION("SPLIT(A93,""-"")"),"https://medibillmd.com/blog/cpt")</f>
        <v>https://medibillmd.com/blog/cpt</v>
      </c>
      <c r="I93" s="59" t="str">
        <f>IFERROR(__xludf.DUMMYFUNCTION("""COMPUTED_VALUE"""),"code")</f>
        <v>code</v>
      </c>
      <c r="J93" s="59" t="str">
        <f>IFERROR(__xludf.DUMMYFUNCTION("""COMPUTED_VALUE"""),"72148/")</f>
        <v>72148/</v>
      </c>
    </row>
    <row r="94">
      <c r="A94" s="77" t="s">
        <v>2554</v>
      </c>
      <c r="B94" s="13" t="s">
        <v>2555</v>
      </c>
      <c r="G94" s="18"/>
      <c r="H94" s="83" t="str">
        <f>IFERROR(__xludf.DUMMYFUNCTION("SPLIT(A94,""-"")"),"https://medibillmd.com/blog/cpt")</f>
        <v>https://medibillmd.com/blog/cpt</v>
      </c>
      <c r="I94" s="59" t="str">
        <f>IFERROR(__xludf.DUMMYFUNCTION("""COMPUTED_VALUE"""),"code")</f>
        <v>code</v>
      </c>
      <c r="J94" s="59" t="str">
        <f>IFERROR(__xludf.DUMMYFUNCTION("""COMPUTED_VALUE"""),"99487/")</f>
        <v>99487/</v>
      </c>
    </row>
    <row r="95">
      <c r="A95" s="77" t="s">
        <v>2556</v>
      </c>
      <c r="B95" s="13" t="s">
        <v>2557</v>
      </c>
      <c r="G95" s="18"/>
      <c r="H95" s="83" t="str">
        <f>IFERROR(__xludf.DUMMYFUNCTION("SPLIT(A95,""-"")"),"https://medibillmd.com/blog/cpt")</f>
        <v>https://medibillmd.com/blog/cpt</v>
      </c>
      <c r="I95" s="59" t="str">
        <f>IFERROR(__xludf.DUMMYFUNCTION("""COMPUTED_VALUE"""),"code")</f>
        <v>code</v>
      </c>
      <c r="J95" s="59" t="str">
        <f>IFERROR(__xludf.DUMMYFUNCTION("""COMPUTED_VALUE"""),"70450/")</f>
        <v>70450/</v>
      </c>
    </row>
    <row r="96" hidden="1">
      <c r="A96" s="77" t="s">
        <v>2558</v>
      </c>
      <c r="B96" s="13" t="s">
        <v>2387</v>
      </c>
    </row>
    <row r="97">
      <c r="A97" s="77" t="s">
        <v>2559</v>
      </c>
      <c r="B97" s="13" t="s">
        <v>2560</v>
      </c>
      <c r="G97" s="18"/>
      <c r="H97" s="83" t="str">
        <f>IFERROR(__xludf.DUMMYFUNCTION("SPLIT(A97,""-"")"),"https://medibillmd.com/blog/cpt")</f>
        <v>https://medibillmd.com/blog/cpt</v>
      </c>
      <c r="I97" s="59" t="str">
        <f>IFERROR(__xludf.DUMMYFUNCTION("""COMPUTED_VALUE"""),"code")</f>
        <v>code</v>
      </c>
      <c r="J97" s="59" t="str">
        <f>IFERROR(__xludf.DUMMYFUNCTION("""COMPUTED_VALUE"""),"81002/")</f>
        <v>81002/</v>
      </c>
    </row>
    <row r="98" hidden="1">
      <c r="A98" s="77" t="s">
        <v>2561</v>
      </c>
      <c r="B98" s="13" t="s">
        <v>2391</v>
      </c>
    </row>
    <row r="99" hidden="1">
      <c r="A99" s="77" t="s">
        <v>2562</v>
      </c>
      <c r="B99" s="13" t="s">
        <v>2395</v>
      </c>
    </row>
    <row r="100">
      <c r="A100" s="77" t="s">
        <v>2563</v>
      </c>
      <c r="B100" s="13" t="s">
        <v>2564</v>
      </c>
      <c r="G100" s="18"/>
      <c r="H100" s="83" t="str">
        <f>IFERROR(__xludf.DUMMYFUNCTION("SPLIT(A100,""-"")"),"https://medibillmd.com/blog/cpt")</f>
        <v>https://medibillmd.com/blog/cpt</v>
      </c>
      <c r="I100" s="59" t="str">
        <f>IFERROR(__xludf.DUMMYFUNCTION("""COMPUTED_VALUE"""),"code")</f>
        <v>code</v>
      </c>
      <c r="J100" s="59" t="str">
        <f>IFERROR(__xludf.DUMMYFUNCTION("""COMPUTED_VALUE"""),"80050/")</f>
        <v>80050/</v>
      </c>
    </row>
    <row r="101">
      <c r="A101" s="77" t="s">
        <v>2565</v>
      </c>
      <c r="B101" s="13" t="s">
        <v>2566</v>
      </c>
      <c r="G101" s="18"/>
      <c r="H101" s="83" t="str">
        <f>IFERROR(__xludf.DUMMYFUNCTION("SPLIT(A101,""-"")"),"https://medibillmd.com/blog/cpt")</f>
        <v>https://medibillmd.com/blog/cpt</v>
      </c>
      <c r="I101" s="59" t="str">
        <f>IFERROR(__xludf.DUMMYFUNCTION("""COMPUTED_VALUE"""),"code")</f>
        <v>code</v>
      </c>
      <c r="J101" s="59" t="str">
        <f>IFERROR(__xludf.DUMMYFUNCTION("""COMPUTED_VALUE"""),"11045/")</f>
        <v>11045/</v>
      </c>
    </row>
    <row r="102">
      <c r="A102" s="77" t="s">
        <v>2567</v>
      </c>
      <c r="B102" s="13" t="s">
        <v>2568</v>
      </c>
      <c r="G102" s="18"/>
      <c r="H102" s="83" t="str">
        <f>IFERROR(__xludf.DUMMYFUNCTION("SPLIT(A102,""-"")"),"https://medibillmd.com/blog/cpt")</f>
        <v>https://medibillmd.com/blog/cpt</v>
      </c>
      <c r="I102" s="59" t="str">
        <f>IFERROR(__xludf.DUMMYFUNCTION("""COMPUTED_VALUE"""),"code")</f>
        <v>code</v>
      </c>
      <c r="J102" s="59" t="str">
        <f>IFERROR(__xludf.DUMMYFUNCTION("""COMPUTED_VALUE"""),"31579/")</f>
        <v>31579/</v>
      </c>
    </row>
    <row r="103">
      <c r="A103" s="77" t="s">
        <v>2569</v>
      </c>
      <c r="B103" s="13" t="s">
        <v>2570</v>
      </c>
      <c r="G103" s="18"/>
      <c r="H103" s="83" t="str">
        <f>IFERROR(__xludf.DUMMYFUNCTION("SPLIT(A103,""-"")"),"https://medibillmd.com/blog/cpt")</f>
        <v>https://medibillmd.com/blog/cpt</v>
      </c>
      <c r="I103" s="59" t="str">
        <f>IFERROR(__xludf.DUMMYFUNCTION("""COMPUTED_VALUE"""),"code")</f>
        <v>code</v>
      </c>
      <c r="J103" s="59" t="str">
        <f>IFERROR(__xludf.DUMMYFUNCTION("""COMPUTED_VALUE"""),"74177/")</f>
        <v>74177/</v>
      </c>
    </row>
    <row r="104">
      <c r="A104" s="77" t="s">
        <v>2571</v>
      </c>
      <c r="B104" s="13" t="s">
        <v>2572</v>
      </c>
      <c r="G104" s="18"/>
      <c r="H104" s="83" t="str">
        <f>IFERROR(__xludf.DUMMYFUNCTION("SPLIT(A104,""-"")"),"https://medibillmd.com/blog/cpt")</f>
        <v>https://medibillmd.com/blog/cpt</v>
      </c>
      <c r="I104" s="59" t="str">
        <f>IFERROR(__xludf.DUMMYFUNCTION("""COMPUTED_VALUE"""),"code")</f>
        <v>code</v>
      </c>
      <c r="J104" s="59" t="str">
        <f>IFERROR(__xludf.DUMMYFUNCTION("""COMPUTED_VALUE"""),"81001/")</f>
        <v>81001/</v>
      </c>
    </row>
    <row r="105">
      <c r="A105" s="77" t="s">
        <v>2573</v>
      </c>
      <c r="B105" s="13" t="s">
        <v>2574</v>
      </c>
      <c r="G105" s="18"/>
      <c r="H105" s="83" t="str">
        <f>IFERROR(__xludf.DUMMYFUNCTION("SPLIT(A105,""-"")"),"https://medibillmd.com/blog/cpt")</f>
        <v>https://medibillmd.com/blog/cpt</v>
      </c>
      <c r="I105" s="59" t="str">
        <f>IFERROR(__xludf.DUMMYFUNCTION("""COMPUTED_VALUE"""),"code")</f>
        <v>code</v>
      </c>
      <c r="J105" s="59" t="str">
        <f>IFERROR(__xludf.DUMMYFUNCTION("""COMPUTED_VALUE"""),"92550/")</f>
        <v>92550/</v>
      </c>
    </row>
    <row r="106" hidden="1">
      <c r="A106" s="77" t="s">
        <v>2575</v>
      </c>
      <c r="B106" s="13" t="s">
        <v>2399</v>
      </c>
    </row>
    <row r="107" hidden="1">
      <c r="A107" s="77" t="s">
        <v>2576</v>
      </c>
      <c r="B107" s="13" t="s">
        <v>2577</v>
      </c>
    </row>
    <row r="108" hidden="1">
      <c r="A108" s="77" t="s">
        <v>2578</v>
      </c>
      <c r="B108" s="13" t="s">
        <v>2579</v>
      </c>
    </row>
    <row r="109">
      <c r="A109" s="77" t="s">
        <v>2580</v>
      </c>
      <c r="B109" s="13" t="s">
        <v>2581</v>
      </c>
      <c r="G109" s="18"/>
      <c r="H109" s="83" t="str">
        <f>IFERROR(__xludf.DUMMYFUNCTION("SPLIT(A109,""-"")"),"https://medibillmd.com/blog/cpt")</f>
        <v>https://medibillmd.com/blog/cpt</v>
      </c>
      <c r="I109" s="59" t="str">
        <f>IFERROR(__xludf.DUMMYFUNCTION("""COMPUTED_VALUE"""),"code")</f>
        <v>code</v>
      </c>
      <c r="J109" s="59" t="str">
        <f>IFERROR(__xludf.DUMMYFUNCTION("""COMPUTED_VALUE"""),"23472/")</f>
        <v>23472/</v>
      </c>
    </row>
    <row r="110" hidden="1">
      <c r="A110" s="77" t="s">
        <v>2582</v>
      </c>
      <c r="B110" s="13" t="s">
        <v>2403</v>
      </c>
    </row>
    <row r="111">
      <c r="A111" s="77" t="s">
        <v>2583</v>
      </c>
      <c r="B111" s="13" t="s">
        <v>2584</v>
      </c>
      <c r="G111" s="18"/>
      <c r="H111" s="1" t="s">
        <v>2585</v>
      </c>
    </row>
    <row r="112">
      <c r="A112" s="77" t="s">
        <v>2586</v>
      </c>
      <c r="B112" s="13" t="s">
        <v>2587</v>
      </c>
      <c r="G112" s="18"/>
    </row>
    <row r="113">
      <c r="A113" s="77" t="s">
        <v>2588</v>
      </c>
      <c r="B113" s="13" t="s">
        <v>2589</v>
      </c>
      <c r="G113" s="18"/>
    </row>
    <row r="114" hidden="1">
      <c r="A114" s="77" t="s">
        <v>2590</v>
      </c>
      <c r="B114" s="13" t="s">
        <v>2591</v>
      </c>
    </row>
    <row r="115">
      <c r="A115" s="77" t="s">
        <v>2592</v>
      </c>
      <c r="B115" s="13" t="s">
        <v>2593</v>
      </c>
      <c r="G115" s="18"/>
    </row>
    <row r="116" hidden="1">
      <c r="A116" s="77" t="s">
        <v>2594</v>
      </c>
      <c r="B116" s="13" t="s">
        <v>2407</v>
      </c>
    </row>
    <row r="117">
      <c r="A117" s="77" t="s">
        <v>2595</v>
      </c>
      <c r="B117" s="13" t="s">
        <v>2596</v>
      </c>
      <c r="G117" s="18"/>
    </row>
    <row r="118">
      <c r="A118" s="77" t="s">
        <v>2597</v>
      </c>
      <c r="B118" s="13" t="s">
        <v>2598</v>
      </c>
      <c r="G118" s="18"/>
    </row>
    <row r="119" hidden="1">
      <c r="A119" s="77" t="s">
        <v>2599</v>
      </c>
      <c r="B119" s="13" t="s">
        <v>2411</v>
      </c>
    </row>
    <row r="120" hidden="1">
      <c r="A120" s="77" t="s">
        <v>2600</v>
      </c>
      <c r="B120" s="13" t="s">
        <v>2414</v>
      </c>
    </row>
    <row r="121">
      <c r="A121" s="77" t="s">
        <v>2601</v>
      </c>
      <c r="B121" s="13" t="s">
        <v>2602</v>
      </c>
      <c r="G121" s="18"/>
    </row>
    <row r="122" hidden="1">
      <c r="A122" s="77" t="s">
        <v>2603</v>
      </c>
      <c r="B122" s="13" t="s">
        <v>2418</v>
      </c>
    </row>
    <row r="123" hidden="1">
      <c r="A123" s="77" t="s">
        <v>2604</v>
      </c>
      <c r="B123" s="13" t="s">
        <v>2422</v>
      </c>
    </row>
    <row r="124">
      <c r="A124" s="77" t="s">
        <v>2605</v>
      </c>
      <c r="B124" s="13" t="s">
        <v>2606</v>
      </c>
      <c r="G124" s="18"/>
    </row>
    <row r="125">
      <c r="A125" s="77" t="s">
        <v>2607</v>
      </c>
      <c r="B125" s="13" t="s">
        <v>2608</v>
      </c>
      <c r="G125" s="18"/>
    </row>
    <row r="126">
      <c r="A126" s="77" t="s">
        <v>2609</v>
      </c>
      <c r="B126" s="13" t="s">
        <v>2610</v>
      </c>
      <c r="G126" s="18"/>
    </row>
    <row r="127">
      <c r="A127" s="77" t="s">
        <v>2611</v>
      </c>
      <c r="B127" s="13" t="s">
        <v>2612</v>
      </c>
      <c r="G127" s="18"/>
    </row>
    <row r="128" hidden="1">
      <c r="A128" s="77" t="s">
        <v>2613</v>
      </c>
      <c r="B128" s="13" t="s">
        <v>2614</v>
      </c>
    </row>
    <row r="129">
      <c r="A129" s="77" t="s">
        <v>2615</v>
      </c>
      <c r="B129" s="13" t="s">
        <v>2616</v>
      </c>
      <c r="G129" s="18"/>
    </row>
    <row r="130">
      <c r="A130" s="77" t="s">
        <v>2617</v>
      </c>
      <c r="B130" s="13" t="s">
        <v>2618</v>
      </c>
      <c r="G130" s="18"/>
    </row>
    <row r="131" hidden="1">
      <c r="A131" s="77" t="s">
        <v>2619</v>
      </c>
      <c r="B131" s="13" t="s">
        <v>2620</v>
      </c>
    </row>
    <row r="132">
      <c r="A132" s="77" t="s">
        <v>2621</v>
      </c>
      <c r="B132" s="13" t="s">
        <v>2622</v>
      </c>
      <c r="G132" s="18"/>
    </row>
    <row r="133">
      <c r="A133" s="77" t="s">
        <v>2623</v>
      </c>
      <c r="B133" s="13" t="s">
        <v>2624</v>
      </c>
      <c r="G133" s="18"/>
    </row>
    <row r="134">
      <c r="A134" s="77" t="s">
        <v>2625</v>
      </c>
      <c r="B134" s="13" t="s">
        <v>2626</v>
      </c>
      <c r="G134" s="18"/>
    </row>
    <row r="135">
      <c r="A135" s="77" t="s">
        <v>2627</v>
      </c>
      <c r="B135" s="13" t="s">
        <v>2628</v>
      </c>
      <c r="G135" s="18"/>
    </row>
    <row r="136">
      <c r="A136" s="77" t="s">
        <v>2629</v>
      </c>
      <c r="B136" s="13" t="s">
        <v>2630</v>
      </c>
      <c r="G136" s="18"/>
    </row>
    <row r="137">
      <c r="A137" s="77" t="s">
        <v>2631</v>
      </c>
      <c r="B137" s="13" t="s">
        <v>2632</v>
      </c>
      <c r="G137" s="18"/>
    </row>
    <row r="138" hidden="1">
      <c r="A138" s="77" t="s">
        <v>2633</v>
      </c>
      <c r="B138" s="13" t="s">
        <v>2634</v>
      </c>
    </row>
    <row r="139">
      <c r="A139" s="77" t="s">
        <v>2635</v>
      </c>
      <c r="B139" s="13" t="s">
        <v>2636</v>
      </c>
      <c r="G139" s="18"/>
    </row>
    <row r="140" hidden="1">
      <c r="A140" s="77" t="s">
        <v>2637</v>
      </c>
      <c r="B140" s="13" t="s">
        <v>2638</v>
      </c>
    </row>
    <row r="141">
      <c r="A141" s="77" t="s">
        <v>2639</v>
      </c>
      <c r="B141" s="13" t="s">
        <v>2640</v>
      </c>
      <c r="G141" s="18"/>
    </row>
    <row r="142">
      <c r="A142" s="77" t="s">
        <v>2641</v>
      </c>
      <c r="B142" s="13" t="s">
        <v>2642</v>
      </c>
      <c r="G142" s="18"/>
    </row>
    <row r="143">
      <c r="A143" s="77" t="s">
        <v>2643</v>
      </c>
      <c r="B143" s="13" t="s">
        <v>2644</v>
      </c>
      <c r="G143" s="18"/>
    </row>
    <row r="144">
      <c r="A144" s="77" t="s">
        <v>2645</v>
      </c>
      <c r="B144" s="13" t="s">
        <v>2646</v>
      </c>
      <c r="G144" s="18"/>
    </row>
    <row r="145">
      <c r="A145" s="77" t="s">
        <v>2647</v>
      </c>
      <c r="B145" s="13" t="s">
        <v>2648</v>
      </c>
      <c r="G145" s="18"/>
    </row>
    <row r="146">
      <c r="A146" s="77" t="s">
        <v>2649</v>
      </c>
      <c r="B146" s="13" t="s">
        <v>2650</v>
      </c>
      <c r="G146" s="18"/>
    </row>
    <row r="147" hidden="1">
      <c r="A147" s="77" t="s">
        <v>2651</v>
      </c>
      <c r="B147" s="13" t="s">
        <v>2652</v>
      </c>
    </row>
    <row r="148">
      <c r="A148" s="77" t="s">
        <v>2653</v>
      </c>
      <c r="B148" s="13" t="s">
        <v>2654</v>
      </c>
      <c r="G148" s="18"/>
    </row>
    <row r="149">
      <c r="A149" s="77" t="s">
        <v>2655</v>
      </c>
      <c r="B149" s="13" t="s">
        <v>2656</v>
      </c>
      <c r="G149" s="18"/>
    </row>
    <row r="150">
      <c r="A150" s="77" t="s">
        <v>2657</v>
      </c>
      <c r="B150" s="13" t="s">
        <v>2658</v>
      </c>
      <c r="G150" s="18"/>
    </row>
    <row r="151">
      <c r="A151" s="77" t="s">
        <v>2659</v>
      </c>
      <c r="B151" s="13" t="s">
        <v>2660</v>
      </c>
      <c r="G151" s="18"/>
    </row>
    <row r="152">
      <c r="A152" s="77" t="s">
        <v>2661</v>
      </c>
      <c r="B152" s="13" t="s">
        <v>2662</v>
      </c>
      <c r="G152" s="18"/>
    </row>
    <row r="153">
      <c r="A153" s="77" t="s">
        <v>2663</v>
      </c>
      <c r="B153" s="13" t="s">
        <v>2664</v>
      </c>
      <c r="G153" s="18"/>
    </row>
    <row r="154" hidden="1">
      <c r="A154" s="77" t="s">
        <v>2665</v>
      </c>
      <c r="B154" s="13" t="s">
        <v>2666</v>
      </c>
    </row>
    <row r="155" hidden="1">
      <c r="A155" s="77" t="s">
        <v>2667</v>
      </c>
      <c r="B155" s="13" t="s">
        <v>2668</v>
      </c>
    </row>
    <row r="156">
      <c r="A156" s="77" t="s">
        <v>2669</v>
      </c>
      <c r="B156" s="13" t="s">
        <v>2670</v>
      </c>
      <c r="G156" s="18"/>
    </row>
    <row r="157">
      <c r="A157" s="77" t="s">
        <v>2671</v>
      </c>
      <c r="B157" s="13" t="s">
        <v>2672</v>
      </c>
      <c r="G157" s="18"/>
    </row>
    <row r="158">
      <c r="A158" s="77" t="s">
        <v>2673</v>
      </c>
      <c r="B158" s="13" t="s">
        <v>2674</v>
      </c>
      <c r="G158" s="18"/>
    </row>
    <row r="159">
      <c r="A159" s="77" t="s">
        <v>2675</v>
      </c>
      <c r="B159" s="13" t="s">
        <v>2676</v>
      </c>
      <c r="G159" s="18"/>
    </row>
    <row r="160">
      <c r="A160" s="77" t="s">
        <v>2677</v>
      </c>
      <c r="B160" s="13" t="s">
        <v>2678</v>
      </c>
      <c r="G160" s="18"/>
    </row>
    <row r="161" hidden="1">
      <c r="A161" s="77" t="s">
        <v>2679</v>
      </c>
      <c r="B161" s="13" t="s">
        <v>2680</v>
      </c>
    </row>
    <row r="162" hidden="1">
      <c r="A162" s="77" t="s">
        <v>2681</v>
      </c>
      <c r="B162" s="13" t="s">
        <v>2682</v>
      </c>
    </row>
    <row r="163">
      <c r="A163" s="77" t="s">
        <v>2683</v>
      </c>
      <c r="B163" s="13" t="s">
        <v>2684</v>
      </c>
      <c r="G163" s="18"/>
    </row>
    <row r="164" hidden="1">
      <c r="A164" s="77" t="s">
        <v>2685</v>
      </c>
      <c r="B164" s="13" t="s">
        <v>2686</v>
      </c>
    </row>
    <row r="165">
      <c r="A165" s="77" t="s">
        <v>2687</v>
      </c>
      <c r="B165" s="13" t="s">
        <v>2688</v>
      </c>
      <c r="G165" s="18"/>
    </row>
    <row r="166">
      <c r="A166" s="77" t="s">
        <v>2689</v>
      </c>
      <c r="B166" s="13" t="s">
        <v>2690</v>
      </c>
      <c r="G166" s="18"/>
    </row>
    <row r="167">
      <c r="A167" s="77" t="s">
        <v>2691</v>
      </c>
      <c r="B167" s="13" t="s">
        <v>2692</v>
      </c>
      <c r="G167" s="18"/>
    </row>
    <row r="168">
      <c r="A168" s="77" t="s">
        <v>2693</v>
      </c>
      <c r="B168" s="13" t="s">
        <v>2694</v>
      </c>
      <c r="G168" s="18"/>
    </row>
    <row r="169">
      <c r="A169" s="77" t="s">
        <v>2695</v>
      </c>
      <c r="B169" s="13" t="s">
        <v>2696</v>
      </c>
      <c r="G169" s="18"/>
    </row>
    <row r="170">
      <c r="A170" s="77" t="s">
        <v>2697</v>
      </c>
      <c r="B170" s="13" t="s">
        <v>2698</v>
      </c>
      <c r="G170" s="18"/>
    </row>
    <row r="171">
      <c r="A171" s="77" t="s">
        <v>2699</v>
      </c>
      <c r="B171" s="13" t="s">
        <v>2700</v>
      </c>
      <c r="G171" s="18"/>
    </row>
    <row r="172">
      <c r="A172" s="77" t="s">
        <v>2701</v>
      </c>
      <c r="B172" s="13" t="s">
        <v>2702</v>
      </c>
      <c r="G172" s="18"/>
    </row>
    <row r="173">
      <c r="A173" s="77" t="s">
        <v>2703</v>
      </c>
      <c r="B173" s="13" t="s">
        <v>2704</v>
      </c>
      <c r="G173" s="18"/>
    </row>
    <row r="174">
      <c r="A174" s="77" t="s">
        <v>2705</v>
      </c>
      <c r="B174" s="13" t="s">
        <v>2706</v>
      </c>
      <c r="G174" s="18"/>
    </row>
    <row r="175">
      <c r="A175" s="77" t="s">
        <v>2707</v>
      </c>
      <c r="B175" s="13" t="s">
        <v>2708</v>
      </c>
      <c r="G175" s="18"/>
    </row>
    <row r="176">
      <c r="A176" s="77" t="s">
        <v>2709</v>
      </c>
      <c r="B176" s="13" t="s">
        <v>2710</v>
      </c>
      <c r="G176" s="18"/>
    </row>
    <row r="177">
      <c r="A177" s="77" t="s">
        <v>2711</v>
      </c>
      <c r="B177" s="13" t="s">
        <v>2712</v>
      </c>
      <c r="G177" s="18"/>
    </row>
    <row r="178">
      <c r="A178" s="77" t="s">
        <v>2713</v>
      </c>
      <c r="B178" s="13" t="s">
        <v>2714</v>
      </c>
      <c r="G178" s="18"/>
    </row>
    <row r="179" hidden="1">
      <c r="A179" s="77" t="s">
        <v>2715</v>
      </c>
      <c r="B179" s="13" t="s">
        <v>2426</v>
      </c>
    </row>
    <row r="180" hidden="1">
      <c r="A180" s="77" t="s">
        <v>2716</v>
      </c>
      <c r="B180" s="13" t="s">
        <v>2430</v>
      </c>
    </row>
    <row r="181">
      <c r="A181" s="77" t="s">
        <v>2717</v>
      </c>
      <c r="B181" s="13" t="s">
        <v>2718</v>
      </c>
      <c r="G181" s="18"/>
    </row>
    <row r="182">
      <c r="A182" s="77" t="s">
        <v>2719</v>
      </c>
      <c r="B182" s="13" t="s">
        <v>2720</v>
      </c>
      <c r="G182" s="18"/>
    </row>
    <row r="183">
      <c r="A183" s="77" t="s">
        <v>2721</v>
      </c>
      <c r="B183" s="13" t="s">
        <v>2722</v>
      </c>
      <c r="G183" s="18"/>
    </row>
    <row r="184" hidden="1">
      <c r="A184" s="77" t="s">
        <v>2723</v>
      </c>
      <c r="B184" s="13" t="s">
        <v>2433</v>
      </c>
    </row>
    <row r="185" hidden="1">
      <c r="A185" s="77" t="s">
        <v>2724</v>
      </c>
      <c r="B185" s="13" t="s">
        <v>2725</v>
      </c>
    </row>
    <row r="186" hidden="1">
      <c r="A186" s="77" t="s">
        <v>2726</v>
      </c>
      <c r="B186" s="13" t="s">
        <v>2437</v>
      </c>
    </row>
    <row r="187">
      <c r="A187" s="77" t="s">
        <v>2727</v>
      </c>
      <c r="B187" s="13" t="s">
        <v>2728</v>
      </c>
      <c r="G187" s="18"/>
    </row>
    <row r="188">
      <c r="A188" s="77" t="s">
        <v>2729</v>
      </c>
      <c r="B188" s="13" t="s">
        <v>2730</v>
      </c>
      <c r="G188" s="18"/>
    </row>
    <row r="189">
      <c r="A189" s="77" t="s">
        <v>2731</v>
      </c>
      <c r="B189" s="13" t="s">
        <v>2732</v>
      </c>
      <c r="G189" s="18"/>
    </row>
    <row r="190" hidden="1">
      <c r="A190" s="77" t="s">
        <v>2733</v>
      </c>
      <c r="B190" s="13" t="s">
        <v>2734</v>
      </c>
    </row>
    <row r="191">
      <c r="A191" s="77" t="s">
        <v>2735</v>
      </c>
      <c r="B191" s="13" t="s">
        <v>2736</v>
      </c>
      <c r="G191" s="18"/>
    </row>
    <row r="192">
      <c r="A192" s="77" t="s">
        <v>2737</v>
      </c>
      <c r="B192" s="13" t="s">
        <v>2738</v>
      </c>
      <c r="G192" s="18"/>
    </row>
    <row r="193">
      <c r="A193" s="77" t="s">
        <v>2739</v>
      </c>
      <c r="B193" s="13" t="s">
        <v>2740</v>
      </c>
      <c r="G193" s="18"/>
    </row>
    <row r="194">
      <c r="A194" s="77" t="s">
        <v>2741</v>
      </c>
      <c r="B194" s="13" t="s">
        <v>2742</v>
      </c>
      <c r="G194" s="18"/>
    </row>
    <row r="195">
      <c r="A195" s="77" t="s">
        <v>2743</v>
      </c>
      <c r="B195" s="13" t="s">
        <v>2744</v>
      </c>
      <c r="G195" s="18"/>
    </row>
    <row r="196">
      <c r="A196" s="77" t="s">
        <v>2745</v>
      </c>
      <c r="B196" s="13" t="s">
        <v>2746</v>
      </c>
      <c r="G196" s="18"/>
    </row>
    <row r="197">
      <c r="A197" s="77" t="s">
        <v>2747</v>
      </c>
      <c r="B197" s="13" t="s">
        <v>2748</v>
      </c>
      <c r="G197" s="18"/>
    </row>
    <row r="198">
      <c r="A198" s="77" t="s">
        <v>2749</v>
      </c>
      <c r="B198" s="13" t="s">
        <v>2750</v>
      </c>
      <c r="G198" s="18"/>
    </row>
    <row r="199">
      <c r="A199" s="77" t="s">
        <v>2751</v>
      </c>
      <c r="B199" s="13" t="s">
        <v>2752</v>
      </c>
      <c r="G199" s="18"/>
    </row>
    <row r="200">
      <c r="A200" s="77" t="s">
        <v>2753</v>
      </c>
      <c r="B200" s="13" t="s">
        <v>2754</v>
      </c>
      <c r="G200" s="18"/>
    </row>
    <row r="201">
      <c r="A201" s="77" t="s">
        <v>2755</v>
      </c>
      <c r="B201" s="13" t="s">
        <v>2756</v>
      </c>
      <c r="G201" s="18"/>
    </row>
    <row r="202">
      <c r="A202" s="77" t="s">
        <v>2757</v>
      </c>
      <c r="B202" s="13" t="s">
        <v>2758</v>
      </c>
      <c r="G202" s="18"/>
    </row>
    <row r="203" hidden="1">
      <c r="A203" s="77" t="s">
        <v>2759</v>
      </c>
      <c r="B203" s="13" t="s">
        <v>2760</v>
      </c>
    </row>
    <row r="204">
      <c r="A204" s="77" t="s">
        <v>2761</v>
      </c>
      <c r="B204" s="13" t="s">
        <v>2762</v>
      </c>
      <c r="G204" s="18"/>
    </row>
    <row r="205" hidden="1">
      <c r="A205" s="77" t="s">
        <v>2763</v>
      </c>
      <c r="B205" s="13" t="s">
        <v>2764</v>
      </c>
    </row>
    <row r="206" hidden="1">
      <c r="A206" s="77" t="s">
        <v>2765</v>
      </c>
      <c r="B206" s="13" t="s">
        <v>2766</v>
      </c>
    </row>
    <row r="207" hidden="1">
      <c r="A207" s="77" t="s">
        <v>2767</v>
      </c>
      <c r="B207" s="13" t="s">
        <v>2768</v>
      </c>
    </row>
    <row r="208">
      <c r="A208" s="77" t="s">
        <v>2769</v>
      </c>
      <c r="B208" s="13" t="s">
        <v>2770</v>
      </c>
      <c r="G208" s="18"/>
    </row>
    <row r="209">
      <c r="A209" s="77" t="s">
        <v>2771</v>
      </c>
      <c r="B209" s="13" t="s">
        <v>2772</v>
      </c>
      <c r="G209" s="18"/>
    </row>
    <row r="210">
      <c r="A210" s="77" t="s">
        <v>2773</v>
      </c>
      <c r="B210" s="13" t="s">
        <v>2774</v>
      </c>
      <c r="G210" s="18"/>
    </row>
    <row r="211">
      <c r="A211" s="77" t="s">
        <v>2775</v>
      </c>
      <c r="B211" s="13" t="s">
        <v>2776</v>
      </c>
      <c r="G211" s="18"/>
    </row>
    <row r="212">
      <c r="A212" s="77" t="s">
        <v>2777</v>
      </c>
      <c r="B212" s="13" t="s">
        <v>2778</v>
      </c>
      <c r="G212" s="18"/>
    </row>
    <row r="213">
      <c r="A213" s="77" t="s">
        <v>2779</v>
      </c>
      <c r="B213" s="13" t="s">
        <v>2780</v>
      </c>
      <c r="G213" s="18"/>
    </row>
    <row r="214" hidden="1">
      <c r="A214" s="77" t="s">
        <v>2781</v>
      </c>
      <c r="B214" s="13" t="s">
        <v>2441</v>
      </c>
    </row>
    <row r="215">
      <c r="A215" s="77" t="s">
        <v>2782</v>
      </c>
      <c r="B215" s="13" t="s">
        <v>2783</v>
      </c>
      <c r="G215" s="18"/>
    </row>
    <row r="216">
      <c r="A216" s="77" t="s">
        <v>2784</v>
      </c>
      <c r="B216" s="13" t="s">
        <v>2785</v>
      </c>
      <c r="G216" s="18"/>
    </row>
    <row r="217">
      <c r="A217" s="77" t="s">
        <v>2786</v>
      </c>
      <c r="B217" s="13" t="s">
        <v>2787</v>
      </c>
      <c r="G217" s="18"/>
    </row>
    <row r="218" hidden="1">
      <c r="A218" s="77" t="s">
        <v>2788</v>
      </c>
      <c r="B218" s="13" t="s">
        <v>2445</v>
      </c>
    </row>
    <row r="219" hidden="1">
      <c r="A219" s="77" t="s">
        <v>2789</v>
      </c>
      <c r="B219" s="13" t="s">
        <v>2449</v>
      </c>
    </row>
    <row r="220" hidden="1">
      <c r="A220" s="77" t="s">
        <v>2790</v>
      </c>
      <c r="B220" s="13" t="s">
        <v>2453</v>
      </c>
    </row>
    <row r="221">
      <c r="A221" s="77" t="s">
        <v>2791</v>
      </c>
      <c r="B221" s="13" t="s">
        <v>2792</v>
      </c>
      <c r="G221" s="18"/>
    </row>
    <row r="222">
      <c r="A222" s="77" t="s">
        <v>2793</v>
      </c>
      <c r="B222" s="13" t="s">
        <v>2794</v>
      </c>
      <c r="G222" s="18"/>
    </row>
    <row r="223">
      <c r="A223" s="77" t="s">
        <v>2795</v>
      </c>
      <c r="B223" s="13" t="s">
        <v>2796</v>
      </c>
      <c r="G223" s="18"/>
    </row>
    <row r="224">
      <c r="A224" s="77" t="s">
        <v>2797</v>
      </c>
      <c r="B224" s="13" t="s">
        <v>2798</v>
      </c>
      <c r="G224" s="18"/>
    </row>
    <row r="225" hidden="1">
      <c r="A225" s="77" t="s">
        <v>2799</v>
      </c>
      <c r="B225" s="13" t="s">
        <v>2456</v>
      </c>
    </row>
    <row r="226">
      <c r="A226" s="77" t="s">
        <v>2800</v>
      </c>
      <c r="B226" s="13" t="s">
        <v>2801</v>
      </c>
      <c r="G226" s="18"/>
    </row>
    <row r="227">
      <c r="A227" s="77" t="s">
        <v>2802</v>
      </c>
      <c r="B227" s="13" t="s">
        <v>2803</v>
      </c>
      <c r="G227" s="18"/>
    </row>
    <row r="228" hidden="1">
      <c r="A228" s="77" t="s">
        <v>2804</v>
      </c>
      <c r="B228" s="13" t="s">
        <v>2460</v>
      </c>
    </row>
    <row r="229" hidden="1">
      <c r="A229" s="77" t="s">
        <v>2805</v>
      </c>
      <c r="B229" s="13" t="s">
        <v>2806</v>
      </c>
    </row>
    <row r="230">
      <c r="A230" s="77" t="s">
        <v>2807</v>
      </c>
      <c r="B230" s="13" t="s">
        <v>2808</v>
      </c>
      <c r="G230" s="18"/>
    </row>
    <row r="231" hidden="1">
      <c r="A231" s="77" t="s">
        <v>2809</v>
      </c>
      <c r="B231" s="13" t="s">
        <v>2810</v>
      </c>
    </row>
    <row r="232">
      <c r="A232" s="77" t="s">
        <v>2811</v>
      </c>
      <c r="B232" s="13" t="s">
        <v>2812</v>
      </c>
      <c r="G232" s="18"/>
    </row>
    <row r="233" hidden="1">
      <c r="A233" s="77" t="s">
        <v>2813</v>
      </c>
      <c r="B233" s="13" t="s">
        <v>2814</v>
      </c>
    </row>
    <row r="234">
      <c r="A234" s="77" t="s">
        <v>2815</v>
      </c>
      <c r="B234" s="13" t="s">
        <v>2816</v>
      </c>
      <c r="G234" s="18"/>
    </row>
    <row r="235">
      <c r="A235" s="77" t="s">
        <v>2817</v>
      </c>
      <c r="B235" s="13" t="s">
        <v>2818</v>
      </c>
      <c r="G235" s="18"/>
    </row>
    <row r="236">
      <c r="A236" s="77" t="s">
        <v>2819</v>
      </c>
      <c r="B236" s="13" t="s">
        <v>2820</v>
      </c>
      <c r="G236" s="18"/>
    </row>
    <row r="237">
      <c r="A237" s="77" t="s">
        <v>2821</v>
      </c>
      <c r="B237" s="13" t="s">
        <v>2822</v>
      </c>
      <c r="G237" s="18"/>
    </row>
    <row r="238">
      <c r="A238" s="77" t="s">
        <v>2823</v>
      </c>
      <c r="B238" s="13" t="s">
        <v>2824</v>
      </c>
      <c r="G238" s="18"/>
    </row>
    <row r="239">
      <c r="A239" s="77" t="s">
        <v>2825</v>
      </c>
      <c r="B239" s="13" t="s">
        <v>2826</v>
      </c>
      <c r="G239" s="18"/>
    </row>
    <row r="240">
      <c r="A240" s="77" t="s">
        <v>2827</v>
      </c>
      <c r="B240" s="13" t="s">
        <v>2828</v>
      </c>
      <c r="G240" s="18"/>
    </row>
    <row r="241">
      <c r="A241" s="77" t="s">
        <v>2829</v>
      </c>
      <c r="B241" s="13" t="s">
        <v>2830</v>
      </c>
      <c r="G241" s="18"/>
    </row>
    <row r="242">
      <c r="A242" s="77" t="s">
        <v>2831</v>
      </c>
      <c r="B242" s="13" t="s">
        <v>2832</v>
      </c>
      <c r="G242" s="18"/>
    </row>
    <row r="243">
      <c r="A243" s="77" t="s">
        <v>2833</v>
      </c>
      <c r="B243" s="13" t="s">
        <v>2834</v>
      </c>
      <c r="G243" s="18"/>
    </row>
    <row r="244">
      <c r="A244" s="77" t="s">
        <v>2835</v>
      </c>
      <c r="B244" s="13" t="s">
        <v>2836</v>
      </c>
      <c r="G244" s="18"/>
    </row>
    <row r="245">
      <c r="A245" s="77" t="s">
        <v>2837</v>
      </c>
      <c r="B245" s="13" t="s">
        <v>2838</v>
      </c>
      <c r="G245" s="18"/>
    </row>
    <row r="246">
      <c r="A246" s="77" t="s">
        <v>2839</v>
      </c>
      <c r="B246" s="13" t="s">
        <v>2840</v>
      </c>
      <c r="G246" s="18"/>
    </row>
    <row r="247">
      <c r="A247" s="77" t="s">
        <v>2841</v>
      </c>
      <c r="B247" s="13" t="s">
        <v>2842</v>
      </c>
      <c r="G247" s="18"/>
    </row>
    <row r="248">
      <c r="A248" s="77" t="s">
        <v>2843</v>
      </c>
      <c r="B248" s="13" t="s">
        <v>2844</v>
      </c>
      <c r="G248" s="18"/>
    </row>
    <row r="249" hidden="1">
      <c r="A249" s="77" t="s">
        <v>2845</v>
      </c>
      <c r="B249" s="13" t="s">
        <v>2846</v>
      </c>
    </row>
    <row r="250" hidden="1">
      <c r="A250" s="77" t="s">
        <v>2847</v>
      </c>
      <c r="B250" s="13" t="s">
        <v>2848</v>
      </c>
    </row>
    <row r="251">
      <c r="A251" s="77" t="s">
        <v>2849</v>
      </c>
      <c r="B251" s="13" t="s">
        <v>2850</v>
      </c>
      <c r="G251" s="18"/>
    </row>
    <row r="252" hidden="1">
      <c r="A252" s="77" t="s">
        <v>2851</v>
      </c>
      <c r="B252" s="13" t="s">
        <v>2852</v>
      </c>
    </row>
    <row r="253" hidden="1">
      <c r="A253" s="77" t="s">
        <v>2853</v>
      </c>
      <c r="B253" s="13" t="s">
        <v>2854</v>
      </c>
    </row>
    <row r="254" hidden="1">
      <c r="A254" s="77" t="s">
        <v>2855</v>
      </c>
      <c r="B254" s="13" t="s">
        <v>2856</v>
      </c>
    </row>
    <row r="255">
      <c r="A255" s="77" t="s">
        <v>2857</v>
      </c>
      <c r="B255" s="13" t="s">
        <v>2858</v>
      </c>
      <c r="G255" s="18"/>
    </row>
    <row r="256">
      <c r="A256" s="77" t="s">
        <v>2859</v>
      </c>
      <c r="B256" s="13" t="s">
        <v>2860</v>
      </c>
      <c r="G256" s="18"/>
    </row>
    <row r="257">
      <c r="A257" s="77" t="s">
        <v>2861</v>
      </c>
      <c r="B257" s="13" t="s">
        <v>2862</v>
      </c>
      <c r="G257" s="18"/>
    </row>
    <row r="258" hidden="1">
      <c r="A258" s="77" t="s">
        <v>2863</v>
      </c>
      <c r="B258" s="13" t="s">
        <v>2864</v>
      </c>
    </row>
    <row r="259">
      <c r="A259" s="77" t="s">
        <v>2865</v>
      </c>
      <c r="B259" s="13" t="s">
        <v>2866</v>
      </c>
      <c r="G259" s="18"/>
    </row>
    <row r="260">
      <c r="A260" s="77" t="s">
        <v>2867</v>
      </c>
      <c r="B260" s="13" t="s">
        <v>2868</v>
      </c>
      <c r="G260" s="18"/>
    </row>
    <row r="261">
      <c r="A261" s="77" t="s">
        <v>2869</v>
      </c>
      <c r="B261" s="13" t="s">
        <v>2870</v>
      </c>
      <c r="G261" s="18"/>
    </row>
    <row r="262" hidden="1">
      <c r="A262" s="77" t="s">
        <v>2871</v>
      </c>
      <c r="B262" s="13" t="s">
        <v>2463</v>
      </c>
    </row>
    <row r="263">
      <c r="A263" s="77" t="s">
        <v>2872</v>
      </c>
      <c r="B263" s="13" t="s">
        <v>2873</v>
      </c>
      <c r="G263" s="18"/>
    </row>
    <row r="264">
      <c r="A264" s="77" t="s">
        <v>2874</v>
      </c>
      <c r="B264" s="13" t="s">
        <v>2875</v>
      </c>
      <c r="G264" s="18"/>
    </row>
    <row r="265">
      <c r="A265" s="77" t="s">
        <v>2876</v>
      </c>
      <c r="B265" s="13" t="s">
        <v>2877</v>
      </c>
      <c r="G265" s="18"/>
    </row>
    <row r="266" hidden="1">
      <c r="A266" s="77" t="s">
        <v>2878</v>
      </c>
      <c r="B266" s="13" t="s">
        <v>2879</v>
      </c>
    </row>
    <row r="267">
      <c r="A267" s="77" t="s">
        <v>2880</v>
      </c>
      <c r="B267" s="13" t="s">
        <v>2881</v>
      </c>
      <c r="G267" s="18"/>
    </row>
    <row r="268">
      <c r="A268" s="77" t="s">
        <v>2882</v>
      </c>
      <c r="B268" s="13" t="s">
        <v>2883</v>
      </c>
      <c r="G268" s="18"/>
    </row>
    <row r="269">
      <c r="A269" s="77" t="s">
        <v>2884</v>
      </c>
      <c r="B269" s="13" t="s">
        <v>2885</v>
      </c>
      <c r="G269" s="18"/>
    </row>
    <row r="270">
      <c r="A270" s="77" t="s">
        <v>2886</v>
      </c>
      <c r="B270" s="13" t="s">
        <v>2887</v>
      </c>
      <c r="G270" s="18"/>
    </row>
    <row r="271" hidden="1">
      <c r="A271" s="77" t="s">
        <v>2888</v>
      </c>
      <c r="B271" s="13" t="s">
        <v>2889</v>
      </c>
    </row>
    <row r="272" hidden="1">
      <c r="A272" s="77" t="s">
        <v>2890</v>
      </c>
      <c r="B272" s="13" t="s">
        <v>2891</v>
      </c>
    </row>
    <row r="273" hidden="1">
      <c r="A273" s="77" t="s">
        <v>2892</v>
      </c>
      <c r="B273" s="13" t="s">
        <v>2893</v>
      </c>
    </row>
    <row r="274" hidden="1">
      <c r="A274" s="77" t="s">
        <v>2894</v>
      </c>
      <c r="B274" s="13" t="s">
        <v>2895</v>
      </c>
    </row>
    <row r="275">
      <c r="A275" s="77" t="s">
        <v>2896</v>
      </c>
      <c r="B275" s="13" t="s">
        <v>2897</v>
      </c>
      <c r="G275" s="18"/>
    </row>
    <row r="276" hidden="1">
      <c r="A276" s="77" t="s">
        <v>2898</v>
      </c>
      <c r="B276" s="13" t="s">
        <v>2899</v>
      </c>
    </row>
    <row r="277">
      <c r="A277" s="77" t="s">
        <v>2900</v>
      </c>
      <c r="B277" s="13" t="s">
        <v>2901</v>
      </c>
      <c r="G277" s="18"/>
    </row>
    <row r="278" hidden="1">
      <c r="A278" s="77" t="s">
        <v>2902</v>
      </c>
      <c r="B278" s="13" t="s">
        <v>2903</v>
      </c>
    </row>
    <row r="279" hidden="1">
      <c r="A279" s="77" t="s">
        <v>2904</v>
      </c>
      <c r="B279" s="13" t="s">
        <v>2905</v>
      </c>
    </row>
    <row r="280">
      <c r="A280" s="77" t="s">
        <v>2906</v>
      </c>
      <c r="B280" s="13" t="s">
        <v>2907</v>
      </c>
      <c r="G280" s="18"/>
    </row>
    <row r="281">
      <c r="A281" s="77" t="s">
        <v>2908</v>
      </c>
      <c r="B281" s="13" t="s">
        <v>2909</v>
      </c>
      <c r="G281" s="18"/>
    </row>
    <row r="282">
      <c r="A282" s="77" t="s">
        <v>2910</v>
      </c>
      <c r="B282" s="13" t="s">
        <v>2911</v>
      </c>
      <c r="G282" s="18"/>
    </row>
    <row r="283">
      <c r="A283" s="77" t="s">
        <v>2912</v>
      </c>
      <c r="B283" s="13" t="s">
        <v>2913</v>
      </c>
      <c r="G283" s="18"/>
    </row>
    <row r="284">
      <c r="A284" s="77" t="s">
        <v>2914</v>
      </c>
      <c r="B284" s="13" t="s">
        <v>2915</v>
      </c>
      <c r="G284" s="18"/>
    </row>
    <row r="285">
      <c r="A285" s="77" t="s">
        <v>2916</v>
      </c>
      <c r="B285" s="13" t="s">
        <v>2917</v>
      </c>
      <c r="G285" s="18"/>
    </row>
    <row r="286">
      <c r="A286" s="77" t="s">
        <v>2918</v>
      </c>
      <c r="B286" s="13" t="s">
        <v>2919</v>
      </c>
      <c r="G286" s="18"/>
    </row>
    <row r="287">
      <c r="A287" s="77" t="s">
        <v>2920</v>
      </c>
      <c r="B287" s="13" t="s">
        <v>2921</v>
      </c>
      <c r="G287" s="18"/>
    </row>
    <row r="288">
      <c r="A288" s="77" t="s">
        <v>2922</v>
      </c>
      <c r="B288" s="13" t="s">
        <v>2923</v>
      </c>
      <c r="G288" s="18"/>
    </row>
    <row r="289">
      <c r="A289" s="77" t="s">
        <v>2924</v>
      </c>
      <c r="B289" s="13" t="s">
        <v>2925</v>
      </c>
      <c r="G289" s="18"/>
    </row>
    <row r="290" hidden="1">
      <c r="A290" s="77" t="s">
        <v>2926</v>
      </c>
      <c r="B290" s="13" t="s">
        <v>2927</v>
      </c>
    </row>
    <row r="291" hidden="1">
      <c r="A291" s="77" t="s">
        <v>2928</v>
      </c>
      <c r="B291" s="13" t="s">
        <v>2929</v>
      </c>
    </row>
    <row r="292" hidden="1">
      <c r="A292" s="77" t="s">
        <v>2930</v>
      </c>
      <c r="B292" s="13" t="s">
        <v>2931</v>
      </c>
    </row>
    <row r="293" hidden="1">
      <c r="A293" s="77" t="s">
        <v>2932</v>
      </c>
      <c r="B293" s="13" t="s">
        <v>2933</v>
      </c>
    </row>
    <row r="294" hidden="1">
      <c r="A294" s="77" t="s">
        <v>2934</v>
      </c>
      <c r="B294" s="13" t="s">
        <v>2935</v>
      </c>
    </row>
    <row r="295" hidden="1">
      <c r="A295" s="77" t="s">
        <v>2936</v>
      </c>
      <c r="B295" s="13" t="s">
        <v>2937</v>
      </c>
    </row>
    <row r="296" hidden="1">
      <c r="A296" s="77" t="s">
        <v>2938</v>
      </c>
      <c r="B296" s="13" t="s">
        <v>2939</v>
      </c>
    </row>
    <row r="297" hidden="1">
      <c r="A297" s="77" t="s">
        <v>2940</v>
      </c>
      <c r="B297" s="13" t="s">
        <v>2941</v>
      </c>
    </row>
    <row r="298">
      <c r="A298" s="77" t="s">
        <v>2942</v>
      </c>
      <c r="B298" s="13" t="s">
        <v>2943</v>
      </c>
      <c r="G298" s="18"/>
    </row>
    <row r="299" hidden="1">
      <c r="A299" s="77" t="s">
        <v>2944</v>
      </c>
      <c r="B299" s="13" t="s">
        <v>2466</v>
      </c>
    </row>
    <row r="300" hidden="1">
      <c r="A300" s="77" t="s">
        <v>2945</v>
      </c>
      <c r="B300" s="13" t="s">
        <v>2946</v>
      </c>
    </row>
    <row r="301" hidden="1">
      <c r="A301" s="77" t="s">
        <v>2947</v>
      </c>
      <c r="B301" s="13" t="s">
        <v>2948</v>
      </c>
    </row>
    <row r="302" hidden="1">
      <c r="A302" s="77" t="s">
        <v>2949</v>
      </c>
      <c r="B302" s="13" t="s">
        <v>2470</v>
      </c>
    </row>
    <row r="303" hidden="1">
      <c r="A303" s="77" t="s">
        <v>2950</v>
      </c>
      <c r="B303" s="13" t="s">
        <v>2474</v>
      </c>
    </row>
    <row r="304" hidden="1">
      <c r="A304" s="77" t="s">
        <v>2951</v>
      </c>
      <c r="B304" s="13" t="s">
        <v>2952</v>
      </c>
    </row>
    <row r="305" hidden="1">
      <c r="A305" s="77" t="s">
        <v>2953</v>
      </c>
      <c r="B305" s="13" t="s">
        <v>2954</v>
      </c>
    </row>
    <row r="306" hidden="1">
      <c r="A306" s="77" t="s">
        <v>2955</v>
      </c>
      <c r="B306" s="13" t="s">
        <v>2956</v>
      </c>
    </row>
    <row r="307" hidden="1">
      <c r="A307" s="77" t="s">
        <v>2957</v>
      </c>
      <c r="B307" s="13" t="s">
        <v>2958</v>
      </c>
    </row>
    <row r="308" hidden="1">
      <c r="A308" s="77" t="s">
        <v>2959</v>
      </c>
      <c r="B308" s="13" t="s">
        <v>2960</v>
      </c>
    </row>
    <row r="309" hidden="1">
      <c r="A309" s="77" t="s">
        <v>2961</v>
      </c>
      <c r="B309" s="13" t="s">
        <v>2962</v>
      </c>
    </row>
    <row r="310">
      <c r="A310" s="77" t="s">
        <v>2963</v>
      </c>
      <c r="B310" s="13" t="s">
        <v>2964</v>
      </c>
      <c r="G310" s="18"/>
    </row>
    <row r="311" hidden="1">
      <c r="A311" s="77" t="s">
        <v>2965</v>
      </c>
      <c r="B311" s="13" t="s">
        <v>2478</v>
      </c>
    </row>
    <row r="312">
      <c r="A312" s="77" t="s">
        <v>2966</v>
      </c>
      <c r="B312" s="13" t="s">
        <v>2967</v>
      </c>
      <c r="G312" s="18"/>
    </row>
    <row r="313" hidden="1">
      <c r="A313" s="77" t="s">
        <v>2968</v>
      </c>
      <c r="B313" s="13" t="s">
        <v>2969</v>
      </c>
    </row>
    <row r="314" hidden="1">
      <c r="A314" s="77" t="s">
        <v>2970</v>
      </c>
      <c r="B314" s="13" t="s">
        <v>2971</v>
      </c>
    </row>
    <row r="315" hidden="1">
      <c r="A315" s="77" t="s">
        <v>2972</v>
      </c>
      <c r="B315" s="13" t="s">
        <v>2973</v>
      </c>
    </row>
    <row r="316" hidden="1">
      <c r="A316" s="77" t="s">
        <v>2974</v>
      </c>
      <c r="B316" s="13" t="s">
        <v>2975</v>
      </c>
    </row>
    <row r="317">
      <c r="A317" s="77" t="s">
        <v>2976</v>
      </c>
      <c r="B317" s="13" t="s">
        <v>2977</v>
      </c>
      <c r="G317" s="18"/>
    </row>
    <row r="318">
      <c r="A318" s="77" t="s">
        <v>2978</v>
      </c>
      <c r="B318" s="13" t="s">
        <v>2979</v>
      </c>
      <c r="G318" s="18"/>
    </row>
    <row r="319" hidden="1">
      <c r="A319" s="77" t="s">
        <v>2980</v>
      </c>
      <c r="B319" s="13" t="s">
        <v>2981</v>
      </c>
    </row>
    <row r="320" hidden="1">
      <c r="A320" s="77" t="s">
        <v>2982</v>
      </c>
      <c r="B320" s="13" t="s">
        <v>2983</v>
      </c>
    </row>
    <row r="321" hidden="1">
      <c r="A321" s="77" t="s">
        <v>2984</v>
      </c>
      <c r="B321" s="13" t="s">
        <v>2985</v>
      </c>
    </row>
    <row r="322" hidden="1">
      <c r="A322" s="77" t="s">
        <v>2986</v>
      </c>
      <c r="B322" s="13" t="s">
        <v>2494</v>
      </c>
    </row>
    <row r="323">
      <c r="A323" s="77" t="s">
        <v>2987</v>
      </c>
      <c r="B323" s="13" t="s">
        <v>2988</v>
      </c>
      <c r="G323" s="18"/>
    </row>
    <row r="324" hidden="1">
      <c r="A324" s="77" t="s">
        <v>2989</v>
      </c>
      <c r="B324" s="13" t="s">
        <v>2990</v>
      </c>
    </row>
    <row r="325" hidden="1">
      <c r="A325" s="77" t="s">
        <v>2991</v>
      </c>
      <c r="B325" s="13" t="s">
        <v>2992</v>
      </c>
    </row>
    <row r="326" hidden="1">
      <c r="A326" s="77" t="s">
        <v>2993</v>
      </c>
      <c r="B326" s="13" t="s">
        <v>2994</v>
      </c>
    </row>
    <row r="327" hidden="1">
      <c r="A327" s="77" t="s">
        <v>2995</v>
      </c>
      <c r="B327" s="13" t="s">
        <v>2996</v>
      </c>
    </row>
    <row r="328" hidden="1">
      <c r="A328" s="77" t="s">
        <v>2997</v>
      </c>
      <c r="B328" s="13" t="s">
        <v>2998</v>
      </c>
    </row>
    <row r="329" hidden="1">
      <c r="A329" s="77" t="s">
        <v>2999</v>
      </c>
      <c r="B329" s="13" t="s">
        <v>3000</v>
      </c>
    </row>
    <row r="330" hidden="1">
      <c r="A330" s="77" t="s">
        <v>3001</v>
      </c>
      <c r="B330" s="13" t="s">
        <v>3002</v>
      </c>
    </row>
    <row r="331">
      <c r="A331" s="77" t="s">
        <v>3003</v>
      </c>
      <c r="B331" s="13" t="s">
        <v>3004</v>
      </c>
      <c r="G331" s="18"/>
    </row>
    <row r="332" hidden="1">
      <c r="A332" s="77" t="s">
        <v>3005</v>
      </c>
      <c r="B332" s="13" t="s">
        <v>3006</v>
      </c>
    </row>
    <row r="333" hidden="1">
      <c r="A333" s="77" t="s">
        <v>3007</v>
      </c>
      <c r="B333" s="13" t="s">
        <v>3008</v>
      </c>
    </row>
    <row r="334" hidden="1">
      <c r="A334" s="77" t="s">
        <v>3009</v>
      </c>
      <c r="B334" s="13" t="s">
        <v>2482</v>
      </c>
    </row>
    <row r="335" hidden="1">
      <c r="A335" s="77" t="s">
        <v>3010</v>
      </c>
      <c r="B335" s="13" t="s">
        <v>3011</v>
      </c>
    </row>
    <row r="336">
      <c r="A336" s="77" t="s">
        <v>3012</v>
      </c>
      <c r="B336" s="13" t="s">
        <v>3013</v>
      </c>
      <c r="G336" s="18"/>
    </row>
    <row r="337" hidden="1">
      <c r="A337" s="77" t="s">
        <v>3014</v>
      </c>
      <c r="B337" s="13" t="s">
        <v>3015</v>
      </c>
    </row>
    <row r="338" hidden="1">
      <c r="A338" s="77" t="s">
        <v>3016</v>
      </c>
      <c r="B338" s="13" t="s">
        <v>3017</v>
      </c>
    </row>
    <row r="339" hidden="1">
      <c r="A339" s="77" t="s">
        <v>3018</v>
      </c>
      <c r="B339" s="13" t="s">
        <v>2485</v>
      </c>
    </row>
    <row r="340" hidden="1">
      <c r="A340" s="77" t="s">
        <v>3019</v>
      </c>
      <c r="B340" s="13" t="s">
        <v>2488</v>
      </c>
    </row>
    <row r="341" hidden="1">
      <c r="A341" s="77" t="s">
        <v>3020</v>
      </c>
      <c r="B341" s="13" t="s">
        <v>2491</v>
      </c>
    </row>
    <row r="342" hidden="1">
      <c r="A342" s="77" t="s">
        <v>3021</v>
      </c>
      <c r="B342" s="13" t="s">
        <v>3022</v>
      </c>
    </row>
    <row r="343" hidden="1">
      <c r="A343" s="77" t="s">
        <v>3023</v>
      </c>
      <c r="B343" s="13" t="s">
        <v>3024</v>
      </c>
    </row>
    <row r="344" hidden="1">
      <c r="A344" s="77" t="s">
        <v>3025</v>
      </c>
      <c r="B344" s="13" t="s">
        <v>3026</v>
      </c>
    </row>
    <row r="345" hidden="1">
      <c r="A345" s="77" t="s">
        <v>3027</v>
      </c>
      <c r="B345" s="13" t="s">
        <v>3028</v>
      </c>
    </row>
    <row r="346">
      <c r="A346" s="77" t="s">
        <v>3029</v>
      </c>
      <c r="B346" s="13" t="s">
        <v>3030</v>
      </c>
      <c r="G346" s="18"/>
    </row>
    <row r="347" hidden="1">
      <c r="A347" s="77" t="s">
        <v>3031</v>
      </c>
      <c r="B347" s="13" t="s">
        <v>3032</v>
      </c>
    </row>
    <row r="348" hidden="1">
      <c r="A348" s="77" t="s">
        <v>3033</v>
      </c>
      <c r="B348" s="13" t="s">
        <v>3034</v>
      </c>
    </row>
    <row r="349" hidden="1">
      <c r="A349" s="77" t="s">
        <v>3035</v>
      </c>
      <c r="B349" s="13" t="s">
        <v>3036</v>
      </c>
    </row>
    <row r="350">
      <c r="A350" s="77" t="s">
        <v>3037</v>
      </c>
      <c r="B350" s="13" t="s">
        <v>3038</v>
      </c>
      <c r="G350" s="18"/>
    </row>
    <row r="351" hidden="1">
      <c r="A351" s="77" t="s">
        <v>3039</v>
      </c>
      <c r="B351" s="13" t="s">
        <v>3040</v>
      </c>
    </row>
    <row r="352" hidden="1">
      <c r="A352" s="77" t="s">
        <v>3041</v>
      </c>
      <c r="B352" s="13" t="s">
        <v>3042</v>
      </c>
    </row>
    <row r="353" hidden="1">
      <c r="A353" s="77" t="s">
        <v>3043</v>
      </c>
      <c r="B353" s="13" t="s">
        <v>3044</v>
      </c>
    </row>
    <row r="354">
      <c r="A354" s="77" t="s">
        <v>3045</v>
      </c>
      <c r="B354" s="13" t="s">
        <v>3046</v>
      </c>
      <c r="G354" s="18"/>
    </row>
    <row r="355" hidden="1">
      <c r="A355" s="77" t="s">
        <v>3047</v>
      </c>
      <c r="B355" s="13" t="s">
        <v>3048</v>
      </c>
    </row>
    <row r="356">
      <c r="A356" s="77" t="s">
        <v>3049</v>
      </c>
      <c r="B356" s="13" t="s">
        <v>3050</v>
      </c>
      <c r="G356" s="18"/>
    </row>
    <row r="357">
      <c r="A357" s="77" t="s">
        <v>3051</v>
      </c>
      <c r="B357" s="13" t="s">
        <v>3052</v>
      </c>
      <c r="G357" s="18"/>
    </row>
    <row r="358" hidden="1">
      <c r="A358" s="77" t="s">
        <v>3053</v>
      </c>
      <c r="B358" s="13" t="s">
        <v>3054</v>
      </c>
    </row>
    <row r="359" hidden="1">
      <c r="A359" s="77" t="s">
        <v>3055</v>
      </c>
      <c r="B359" s="13" t="s">
        <v>3056</v>
      </c>
    </row>
    <row r="360" hidden="1">
      <c r="A360" s="77" t="s">
        <v>3057</v>
      </c>
      <c r="B360" s="13" t="s">
        <v>3058</v>
      </c>
    </row>
    <row r="361" hidden="1">
      <c r="A361" s="77" t="s">
        <v>3059</v>
      </c>
      <c r="B361" s="13" t="s">
        <v>3060</v>
      </c>
    </row>
    <row r="362" hidden="1">
      <c r="A362" s="77" t="s">
        <v>3061</v>
      </c>
      <c r="B362" s="13" t="s">
        <v>3062</v>
      </c>
    </row>
    <row r="363" hidden="1">
      <c r="A363" s="77" t="s">
        <v>3063</v>
      </c>
      <c r="B363" s="13" t="s">
        <v>3064</v>
      </c>
    </row>
    <row r="364" hidden="1">
      <c r="A364" s="77" t="s">
        <v>3065</v>
      </c>
      <c r="B364" s="13" t="s">
        <v>3066</v>
      </c>
    </row>
    <row r="365">
      <c r="A365" s="77" t="s">
        <v>3067</v>
      </c>
      <c r="B365" s="13" t="s">
        <v>3068</v>
      </c>
      <c r="G365" s="18"/>
    </row>
    <row r="366">
      <c r="A366" s="77" t="s">
        <v>3069</v>
      </c>
      <c r="B366" s="13" t="s">
        <v>3070</v>
      </c>
      <c r="G366" s="18"/>
    </row>
    <row r="367">
      <c r="A367" s="77" t="s">
        <v>3071</v>
      </c>
      <c r="B367" s="13" t="s">
        <v>3072</v>
      </c>
      <c r="G367" s="18"/>
    </row>
    <row r="368">
      <c r="A368" s="77" t="s">
        <v>3073</v>
      </c>
      <c r="B368" s="13" t="s">
        <v>3074</v>
      </c>
      <c r="G368" s="18"/>
    </row>
    <row r="369">
      <c r="A369" s="77" t="s">
        <v>3075</v>
      </c>
      <c r="B369" s="13" t="s">
        <v>3076</v>
      </c>
      <c r="G369" s="18"/>
    </row>
    <row r="370" hidden="1">
      <c r="A370" s="77" t="s">
        <v>3077</v>
      </c>
      <c r="B370" s="13" t="s">
        <v>3078</v>
      </c>
    </row>
    <row r="371">
      <c r="A371" s="77" t="s">
        <v>3079</v>
      </c>
      <c r="B371" s="13" t="s">
        <v>3080</v>
      </c>
      <c r="G371" s="18"/>
    </row>
    <row r="372" hidden="1">
      <c r="A372" s="77" t="s">
        <v>3081</v>
      </c>
      <c r="B372" s="13" t="s">
        <v>3082</v>
      </c>
    </row>
    <row r="373" hidden="1">
      <c r="A373" s="77" t="s">
        <v>3083</v>
      </c>
      <c r="B373" s="13" t="s">
        <v>3084</v>
      </c>
    </row>
    <row r="374">
      <c r="A374" s="77" t="s">
        <v>3085</v>
      </c>
      <c r="B374" s="13" t="s">
        <v>3086</v>
      </c>
      <c r="G374" s="18"/>
    </row>
    <row r="375">
      <c r="A375" s="77" t="s">
        <v>3087</v>
      </c>
      <c r="B375" s="13" t="s">
        <v>3088</v>
      </c>
      <c r="G375" s="18"/>
    </row>
    <row r="376" hidden="1">
      <c r="A376" s="77" t="s">
        <v>3089</v>
      </c>
      <c r="B376" s="13" t="s">
        <v>3090</v>
      </c>
    </row>
    <row r="377">
      <c r="A377" s="77" t="s">
        <v>3091</v>
      </c>
      <c r="B377" s="13" t="s">
        <v>3092</v>
      </c>
      <c r="G377" s="18"/>
    </row>
    <row r="378">
      <c r="A378" s="77" t="s">
        <v>3093</v>
      </c>
      <c r="B378" s="13" t="s">
        <v>3094</v>
      </c>
      <c r="G378" s="18"/>
    </row>
    <row r="379">
      <c r="A379" s="77" t="s">
        <v>3095</v>
      </c>
      <c r="B379" s="13" t="s">
        <v>3096</v>
      </c>
      <c r="G379" s="18"/>
    </row>
    <row r="380" hidden="1">
      <c r="A380" s="77" t="s">
        <v>3097</v>
      </c>
      <c r="B380" s="13" t="s">
        <v>3098</v>
      </c>
    </row>
    <row r="381" hidden="1">
      <c r="A381" s="77" t="s">
        <v>3099</v>
      </c>
      <c r="B381" s="13" t="s">
        <v>3100</v>
      </c>
    </row>
    <row r="382" hidden="1">
      <c r="A382" s="77" t="s">
        <v>3101</v>
      </c>
      <c r="B382" s="13" t="s">
        <v>3102</v>
      </c>
    </row>
    <row r="383" hidden="1">
      <c r="A383" s="77" t="s">
        <v>3103</v>
      </c>
      <c r="B383" s="13" t="s">
        <v>3104</v>
      </c>
    </row>
    <row r="384">
      <c r="A384" s="77" t="s">
        <v>3105</v>
      </c>
      <c r="B384" s="13" t="s">
        <v>3106</v>
      </c>
      <c r="G384" s="18"/>
    </row>
    <row r="385">
      <c r="A385" s="77" t="s">
        <v>3107</v>
      </c>
      <c r="B385" s="13" t="s">
        <v>3108</v>
      </c>
      <c r="G385" s="18"/>
    </row>
    <row r="386" hidden="1">
      <c r="A386" s="77" t="s">
        <v>3109</v>
      </c>
      <c r="B386" s="13" t="s">
        <v>3110</v>
      </c>
    </row>
    <row r="387" hidden="1">
      <c r="A387" s="77" t="s">
        <v>3111</v>
      </c>
      <c r="B387" s="13" t="s">
        <v>3112</v>
      </c>
    </row>
    <row r="388" hidden="1">
      <c r="A388" s="77" t="s">
        <v>3113</v>
      </c>
      <c r="B388" s="13" t="s">
        <v>3114</v>
      </c>
    </row>
    <row r="389" hidden="1">
      <c r="A389" s="77" t="s">
        <v>3115</v>
      </c>
      <c r="B389" s="13" t="s">
        <v>3116</v>
      </c>
    </row>
    <row r="390">
      <c r="A390" s="77" t="s">
        <v>3117</v>
      </c>
      <c r="B390" s="13" t="s">
        <v>3118</v>
      </c>
      <c r="G390" s="18"/>
    </row>
    <row r="391" hidden="1">
      <c r="A391" s="77" t="s">
        <v>3119</v>
      </c>
      <c r="B391" s="13" t="s">
        <v>3120</v>
      </c>
    </row>
    <row r="392">
      <c r="A392" s="77" t="s">
        <v>3121</v>
      </c>
      <c r="B392" s="13" t="s">
        <v>3122</v>
      </c>
      <c r="G392" s="18"/>
    </row>
    <row r="393">
      <c r="A393" s="77" t="s">
        <v>3123</v>
      </c>
      <c r="B393" s="13" t="s">
        <v>3124</v>
      </c>
      <c r="G393" s="18"/>
    </row>
    <row r="394" hidden="1">
      <c r="A394" s="77" t="s">
        <v>3125</v>
      </c>
      <c r="B394" s="13" t="s">
        <v>3126</v>
      </c>
    </row>
    <row r="395" hidden="1">
      <c r="A395" s="77" t="s">
        <v>3127</v>
      </c>
      <c r="B395" s="13" t="s">
        <v>3128</v>
      </c>
    </row>
    <row r="396" hidden="1">
      <c r="A396" s="77" t="s">
        <v>3129</v>
      </c>
      <c r="B396" s="13" t="s">
        <v>3130</v>
      </c>
    </row>
    <row r="397" hidden="1">
      <c r="A397" s="77" t="s">
        <v>3131</v>
      </c>
      <c r="B397" s="13" t="s">
        <v>3132</v>
      </c>
    </row>
    <row r="398" hidden="1">
      <c r="A398" s="77" t="s">
        <v>3133</v>
      </c>
      <c r="B398" s="13" t="s">
        <v>3134</v>
      </c>
    </row>
    <row r="399" hidden="1">
      <c r="A399" s="77" t="s">
        <v>3135</v>
      </c>
      <c r="B399" s="13" t="s">
        <v>3136</v>
      </c>
    </row>
    <row r="400" hidden="1">
      <c r="A400" s="77" t="s">
        <v>3137</v>
      </c>
      <c r="B400" s="13" t="s">
        <v>3138</v>
      </c>
    </row>
    <row r="401" hidden="1">
      <c r="A401" s="77" t="s">
        <v>3139</v>
      </c>
      <c r="B401" s="13" t="s">
        <v>3140</v>
      </c>
    </row>
    <row r="402">
      <c r="A402" s="77" t="s">
        <v>3141</v>
      </c>
      <c r="B402" s="13" t="s">
        <v>3142</v>
      </c>
      <c r="G402" s="18"/>
    </row>
    <row r="403" hidden="1">
      <c r="A403" s="77" t="s">
        <v>3143</v>
      </c>
      <c r="B403" s="13" t="s">
        <v>3144</v>
      </c>
    </row>
    <row r="404" hidden="1">
      <c r="A404" s="77" t="s">
        <v>3145</v>
      </c>
      <c r="B404" s="13" t="s">
        <v>3146</v>
      </c>
    </row>
    <row r="405" hidden="1">
      <c r="A405" s="77" t="s">
        <v>3147</v>
      </c>
      <c r="B405" s="13" t="s">
        <v>3148</v>
      </c>
    </row>
    <row r="406">
      <c r="A406" s="77" t="s">
        <v>3149</v>
      </c>
      <c r="B406" s="13" t="s">
        <v>3150</v>
      </c>
      <c r="G406" s="18"/>
    </row>
    <row r="407" hidden="1">
      <c r="A407" s="77" t="s">
        <v>3151</v>
      </c>
      <c r="B407" s="13" t="s">
        <v>3152</v>
      </c>
    </row>
    <row r="408" hidden="1">
      <c r="A408" s="77" t="s">
        <v>3153</v>
      </c>
      <c r="B408" s="13" t="s">
        <v>3154</v>
      </c>
    </row>
    <row r="409" hidden="1">
      <c r="A409" s="77" t="s">
        <v>3155</v>
      </c>
      <c r="B409" s="13" t="s">
        <v>3156</v>
      </c>
    </row>
    <row r="410" hidden="1">
      <c r="A410" s="77" t="s">
        <v>3157</v>
      </c>
      <c r="B410" s="13" t="s">
        <v>3158</v>
      </c>
    </row>
    <row r="411" hidden="1">
      <c r="A411" s="77" t="s">
        <v>3159</v>
      </c>
      <c r="B411" s="13" t="s">
        <v>3160</v>
      </c>
    </row>
    <row r="412" hidden="1">
      <c r="A412" s="77" t="s">
        <v>3161</v>
      </c>
      <c r="B412" s="13" t="s">
        <v>3162</v>
      </c>
    </row>
    <row r="413" hidden="1">
      <c r="A413" s="77" t="s">
        <v>3163</v>
      </c>
      <c r="B413" s="13" t="s">
        <v>3164</v>
      </c>
    </row>
    <row r="414">
      <c r="A414" s="77" t="s">
        <v>3165</v>
      </c>
      <c r="B414" s="13" t="s">
        <v>3166</v>
      </c>
      <c r="G414" s="18"/>
    </row>
    <row r="415" hidden="1">
      <c r="A415" s="77" t="s">
        <v>3167</v>
      </c>
      <c r="B415" s="13" t="s">
        <v>3168</v>
      </c>
    </row>
    <row r="416" hidden="1">
      <c r="A416" s="77" t="s">
        <v>3169</v>
      </c>
      <c r="B416" s="13" t="s">
        <v>3170</v>
      </c>
    </row>
    <row r="417" hidden="1">
      <c r="A417" s="77" t="s">
        <v>3171</v>
      </c>
      <c r="B417" s="13" t="s">
        <v>3172</v>
      </c>
    </row>
    <row r="418" hidden="1">
      <c r="A418" s="77" t="s">
        <v>3173</v>
      </c>
      <c r="B418" s="13" t="s">
        <v>3174</v>
      </c>
    </row>
    <row r="419" hidden="1">
      <c r="A419" s="77" t="s">
        <v>3175</v>
      </c>
      <c r="B419" s="13" t="s">
        <v>3176</v>
      </c>
    </row>
    <row r="420" hidden="1">
      <c r="A420" s="77" t="s">
        <v>3177</v>
      </c>
      <c r="B420" s="13" t="s">
        <v>3178</v>
      </c>
    </row>
    <row r="421" hidden="1">
      <c r="A421" s="77" t="s">
        <v>3179</v>
      </c>
      <c r="B421" s="13" t="s">
        <v>3180</v>
      </c>
    </row>
    <row r="422" hidden="1">
      <c r="A422" s="77" t="s">
        <v>3181</v>
      </c>
      <c r="B422" s="13" t="s">
        <v>3182</v>
      </c>
    </row>
    <row r="423">
      <c r="A423" s="77" t="s">
        <v>3183</v>
      </c>
      <c r="B423" s="13" t="s">
        <v>3184</v>
      </c>
      <c r="G423" s="18"/>
    </row>
    <row r="424" hidden="1">
      <c r="A424" s="77" t="s">
        <v>3185</v>
      </c>
      <c r="B424" s="13" t="s">
        <v>3186</v>
      </c>
    </row>
    <row r="425" hidden="1">
      <c r="A425" s="77" t="s">
        <v>3187</v>
      </c>
      <c r="B425" s="13" t="s">
        <v>3188</v>
      </c>
    </row>
    <row r="426" hidden="1">
      <c r="A426" s="77" t="s">
        <v>3189</v>
      </c>
      <c r="B426" s="13" t="s">
        <v>3190</v>
      </c>
    </row>
    <row r="427">
      <c r="A427" s="77" t="s">
        <v>3191</v>
      </c>
      <c r="B427" s="13" t="s">
        <v>3192</v>
      </c>
      <c r="G427" s="18"/>
    </row>
    <row r="428" hidden="1">
      <c r="A428" s="77" t="s">
        <v>3193</v>
      </c>
      <c r="B428" s="13" t="s">
        <v>3194</v>
      </c>
    </row>
    <row r="429" hidden="1">
      <c r="A429" s="77" t="s">
        <v>3195</v>
      </c>
      <c r="B429" s="13" t="s">
        <v>3196</v>
      </c>
    </row>
    <row r="430" hidden="1">
      <c r="A430" s="77" t="s">
        <v>3197</v>
      </c>
      <c r="B430" s="13" t="s">
        <v>3198</v>
      </c>
    </row>
    <row r="431" hidden="1">
      <c r="A431" s="77" t="s">
        <v>3199</v>
      </c>
      <c r="B431" s="13" t="s">
        <v>3200</v>
      </c>
    </row>
    <row r="432" hidden="1">
      <c r="A432" s="77" t="s">
        <v>3201</v>
      </c>
      <c r="B432" s="13" t="s">
        <v>3202</v>
      </c>
    </row>
    <row r="433" hidden="1">
      <c r="A433" s="77" t="s">
        <v>3203</v>
      </c>
      <c r="B433" s="13" t="s">
        <v>3204</v>
      </c>
    </row>
    <row r="434" hidden="1">
      <c r="A434" s="77" t="s">
        <v>3205</v>
      </c>
      <c r="B434" s="13" t="s">
        <v>3206</v>
      </c>
    </row>
    <row r="435" hidden="1">
      <c r="A435" s="77" t="s">
        <v>3207</v>
      </c>
      <c r="B435" s="13" t="s">
        <v>3208</v>
      </c>
    </row>
    <row r="436">
      <c r="A436" s="77" t="s">
        <v>3209</v>
      </c>
      <c r="B436" s="13" t="s">
        <v>3210</v>
      </c>
      <c r="G436" s="18"/>
    </row>
    <row r="437" hidden="1">
      <c r="A437" s="77" t="s">
        <v>3211</v>
      </c>
      <c r="B437" s="13" t="s">
        <v>3212</v>
      </c>
    </row>
    <row r="438" hidden="1">
      <c r="A438" s="77" t="s">
        <v>3213</v>
      </c>
      <c r="B438" s="13" t="s">
        <v>3214</v>
      </c>
    </row>
    <row r="439" hidden="1">
      <c r="A439" s="77" t="s">
        <v>3215</v>
      </c>
      <c r="B439" s="13" t="s">
        <v>3216</v>
      </c>
    </row>
    <row r="440">
      <c r="A440" s="77" t="s">
        <v>3217</v>
      </c>
      <c r="B440" s="13" t="s">
        <v>3218</v>
      </c>
      <c r="G440" s="18"/>
    </row>
    <row r="441" hidden="1">
      <c r="A441" s="77" t="s">
        <v>3219</v>
      </c>
      <c r="B441" s="13" t="s">
        <v>3220</v>
      </c>
    </row>
    <row r="442">
      <c r="A442" s="77" t="s">
        <v>3221</v>
      </c>
      <c r="B442" s="13" t="s">
        <v>3222</v>
      </c>
      <c r="G442" s="18"/>
    </row>
    <row r="443">
      <c r="A443" s="77" t="s">
        <v>3223</v>
      </c>
      <c r="B443" s="13" t="s">
        <v>3224</v>
      </c>
      <c r="G443" s="18"/>
    </row>
    <row r="444" hidden="1">
      <c r="A444" s="77" t="s">
        <v>3225</v>
      </c>
      <c r="B444" s="13" t="s">
        <v>3226</v>
      </c>
    </row>
    <row r="445" hidden="1">
      <c r="A445" s="77" t="s">
        <v>3227</v>
      </c>
      <c r="B445" s="13" t="s">
        <v>3228</v>
      </c>
    </row>
    <row r="446" hidden="1">
      <c r="A446" s="77" t="s">
        <v>3229</v>
      </c>
      <c r="B446" s="13" t="s">
        <v>3230</v>
      </c>
    </row>
    <row r="447">
      <c r="A447" s="77" t="s">
        <v>3231</v>
      </c>
      <c r="B447" s="13" t="s">
        <v>3232</v>
      </c>
      <c r="G447" s="18"/>
    </row>
    <row r="448" hidden="1">
      <c r="A448" s="77" t="s">
        <v>3233</v>
      </c>
      <c r="B448" s="13" t="s">
        <v>3234</v>
      </c>
    </row>
    <row r="449" hidden="1">
      <c r="A449" s="77" t="s">
        <v>3235</v>
      </c>
      <c r="B449" s="13" t="s">
        <v>3236</v>
      </c>
    </row>
    <row r="450" hidden="1">
      <c r="A450" s="77" t="s">
        <v>3237</v>
      </c>
      <c r="B450" s="13" t="s">
        <v>3238</v>
      </c>
    </row>
    <row r="451" hidden="1">
      <c r="A451" s="77" t="s">
        <v>3239</v>
      </c>
      <c r="B451" s="13" t="s">
        <v>3240</v>
      </c>
    </row>
    <row r="452" hidden="1">
      <c r="A452" s="77" t="s">
        <v>3241</v>
      </c>
      <c r="B452" s="13" t="s">
        <v>3242</v>
      </c>
    </row>
    <row r="453" hidden="1">
      <c r="A453" s="77" t="s">
        <v>3243</v>
      </c>
      <c r="B453" s="13" t="s">
        <v>3244</v>
      </c>
    </row>
    <row r="454" hidden="1">
      <c r="A454" s="77" t="s">
        <v>3245</v>
      </c>
      <c r="B454" s="13" t="s">
        <v>3246</v>
      </c>
    </row>
    <row r="455" hidden="1">
      <c r="A455" s="77" t="s">
        <v>3247</v>
      </c>
      <c r="B455" s="13" t="s">
        <v>3248</v>
      </c>
    </row>
    <row r="456" hidden="1">
      <c r="A456" s="77" t="s">
        <v>3249</v>
      </c>
      <c r="B456" s="13" t="s">
        <v>3250</v>
      </c>
    </row>
    <row r="457" hidden="1">
      <c r="A457" s="77" t="s">
        <v>3251</v>
      </c>
      <c r="B457" s="13" t="s">
        <v>3252</v>
      </c>
    </row>
    <row r="458" hidden="1">
      <c r="A458" s="77" t="s">
        <v>3253</v>
      </c>
      <c r="B458" s="13" t="s">
        <v>3254</v>
      </c>
    </row>
    <row r="459" hidden="1">
      <c r="A459" s="77" t="s">
        <v>3255</v>
      </c>
      <c r="B459" s="13" t="s">
        <v>3256</v>
      </c>
    </row>
    <row r="460" hidden="1">
      <c r="A460" s="77" t="s">
        <v>3257</v>
      </c>
      <c r="B460" s="13" t="s">
        <v>3258</v>
      </c>
    </row>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B$1000">
    <filterColumn colId="1">
      <customFilters>
        <customFilter val="*CPT Code*"/>
      </custom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s>
  <drawing r:id="rId4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 customWidth="1" min="2" max="2" width="52.63"/>
  </cols>
  <sheetData>
    <row r="1">
      <c r="A1" s="76" t="s">
        <v>3259</v>
      </c>
      <c r="B1" s="76" t="s">
        <v>2283</v>
      </c>
    </row>
    <row r="2">
      <c r="A2" s="77" t="s">
        <v>3260</v>
      </c>
      <c r="B2" s="13" t="s">
        <v>3261</v>
      </c>
    </row>
    <row r="3">
      <c r="A3" s="77" t="s">
        <v>3262</v>
      </c>
      <c r="B3" s="13" t="s">
        <v>3263</v>
      </c>
    </row>
    <row r="4">
      <c r="A4" s="77" t="s">
        <v>3264</v>
      </c>
      <c r="B4" s="13" t="s">
        <v>3265</v>
      </c>
    </row>
    <row r="5">
      <c r="A5" s="77" t="s">
        <v>3266</v>
      </c>
      <c r="B5" s="13" t="s">
        <v>3267</v>
      </c>
    </row>
    <row r="6">
      <c r="A6" s="77" t="s">
        <v>3268</v>
      </c>
      <c r="B6" s="13" t="s">
        <v>3269</v>
      </c>
    </row>
    <row r="7">
      <c r="A7" s="77" t="s">
        <v>3270</v>
      </c>
      <c r="B7" s="13" t="s">
        <v>3271</v>
      </c>
    </row>
    <row r="8">
      <c r="A8" s="77" t="s">
        <v>3272</v>
      </c>
      <c r="B8" s="13" t="s">
        <v>3273</v>
      </c>
    </row>
    <row r="9">
      <c r="A9" s="77" t="s">
        <v>3274</v>
      </c>
      <c r="B9" s="13" t="s">
        <v>3275</v>
      </c>
    </row>
    <row r="10">
      <c r="A10" s="84" t="s">
        <v>3276</v>
      </c>
      <c r="B10" s="13" t="s">
        <v>3277</v>
      </c>
    </row>
    <row r="11">
      <c r="A11" s="84" t="s">
        <v>3278</v>
      </c>
      <c r="B11" s="13" t="s">
        <v>3279</v>
      </c>
    </row>
    <row r="12">
      <c r="A12" s="77" t="s">
        <v>3280</v>
      </c>
      <c r="B12" s="13" t="s">
        <v>3281</v>
      </c>
    </row>
    <row r="13">
      <c r="A13" s="77" t="s">
        <v>3282</v>
      </c>
      <c r="B13" s="13" t="s">
        <v>3283</v>
      </c>
    </row>
    <row r="14">
      <c r="A14" s="77" t="s">
        <v>3284</v>
      </c>
      <c r="B14" s="13" t="s">
        <v>3285</v>
      </c>
    </row>
    <row r="15">
      <c r="A15" s="84" t="s">
        <v>3286</v>
      </c>
      <c r="B15" s="13" t="s">
        <v>3287</v>
      </c>
    </row>
    <row r="16">
      <c r="A16" s="84" t="s">
        <v>3288</v>
      </c>
      <c r="B16" s="13" t="s">
        <v>3289</v>
      </c>
    </row>
    <row r="17">
      <c r="A17" s="84" t="s">
        <v>3290</v>
      </c>
      <c r="B17" s="13" t="s">
        <v>3291</v>
      </c>
    </row>
    <row r="18">
      <c r="A18" s="84" t="s">
        <v>3292</v>
      </c>
      <c r="B18" s="13" t="s">
        <v>3293</v>
      </c>
    </row>
    <row r="19">
      <c r="A19" s="84" t="s">
        <v>3294</v>
      </c>
      <c r="B19" s="13" t="s">
        <v>3295</v>
      </c>
    </row>
    <row r="20">
      <c r="A20" s="84" t="s">
        <v>3296</v>
      </c>
      <c r="B20" s="13" t="s">
        <v>3297</v>
      </c>
    </row>
    <row r="21">
      <c r="A21" s="84" t="s">
        <v>3298</v>
      </c>
      <c r="B21" s="13" t="s">
        <v>3299</v>
      </c>
    </row>
    <row r="22">
      <c r="A22" s="84" t="s">
        <v>3300</v>
      </c>
      <c r="B22" s="13" t="s">
        <v>3301</v>
      </c>
    </row>
    <row r="23">
      <c r="A23" s="84" t="s">
        <v>3302</v>
      </c>
      <c r="B23" s="13" t="s">
        <v>3303</v>
      </c>
    </row>
    <row r="24">
      <c r="A24" s="84" t="s">
        <v>3304</v>
      </c>
      <c r="B24" s="13" t="s">
        <v>3305</v>
      </c>
    </row>
    <row r="25">
      <c r="A25" s="84" t="s">
        <v>3306</v>
      </c>
      <c r="B25" s="13" t="s">
        <v>3307</v>
      </c>
    </row>
    <row r="26">
      <c r="A26" s="84" t="s">
        <v>3308</v>
      </c>
      <c r="B26" s="13" t="s">
        <v>3309</v>
      </c>
    </row>
    <row r="27">
      <c r="A27" s="84" t="s">
        <v>3310</v>
      </c>
      <c r="B27" s="13" t="s">
        <v>3311</v>
      </c>
    </row>
    <row r="28">
      <c r="A28" s="84" t="s">
        <v>3312</v>
      </c>
      <c r="B28" s="13" t="s">
        <v>3313</v>
      </c>
    </row>
    <row r="29">
      <c r="A29" s="84" t="s">
        <v>3314</v>
      </c>
      <c r="B29" s="13" t="s">
        <v>3315</v>
      </c>
    </row>
    <row r="30">
      <c r="A30" s="84" t="s">
        <v>3316</v>
      </c>
      <c r="B30" s="13" t="s">
        <v>3317</v>
      </c>
    </row>
    <row r="31">
      <c r="A31" s="84" t="s">
        <v>3318</v>
      </c>
      <c r="B31" s="13" t="s">
        <v>3319</v>
      </c>
    </row>
    <row r="32">
      <c r="A32" s="84" t="s">
        <v>3320</v>
      </c>
      <c r="B32" s="13" t="s">
        <v>3321</v>
      </c>
    </row>
    <row r="33">
      <c r="A33" s="84" t="s">
        <v>3322</v>
      </c>
      <c r="B33" s="13" t="s">
        <v>3323</v>
      </c>
    </row>
    <row r="34">
      <c r="A34" s="84" t="s">
        <v>3324</v>
      </c>
      <c r="B34" s="13" t="s">
        <v>3325</v>
      </c>
    </row>
    <row r="35">
      <c r="A35" s="84" t="s">
        <v>3326</v>
      </c>
      <c r="B35" s="13" t="s">
        <v>3327</v>
      </c>
    </row>
    <row r="36">
      <c r="A36" s="84" t="s">
        <v>3328</v>
      </c>
      <c r="B36" s="13" t="s">
        <v>3329</v>
      </c>
    </row>
    <row r="37">
      <c r="A37" s="84" t="s">
        <v>3330</v>
      </c>
      <c r="B37" s="13" t="s">
        <v>3331</v>
      </c>
    </row>
    <row r="38">
      <c r="A38" s="84" t="s">
        <v>3332</v>
      </c>
      <c r="B38" s="13" t="s">
        <v>3333</v>
      </c>
    </row>
    <row r="39">
      <c r="A39" s="84" t="s">
        <v>3334</v>
      </c>
      <c r="B39" s="13" t="s">
        <v>3335</v>
      </c>
    </row>
    <row r="40">
      <c r="A40" s="84" t="s">
        <v>3336</v>
      </c>
      <c r="B40" s="13" t="s">
        <v>3337</v>
      </c>
    </row>
    <row r="41">
      <c r="A41" s="84" t="s">
        <v>3338</v>
      </c>
      <c r="B41" s="13" t="s">
        <v>3339</v>
      </c>
    </row>
    <row r="42">
      <c r="A42" s="84" t="s">
        <v>3340</v>
      </c>
      <c r="B42" s="13" t="s">
        <v>3341</v>
      </c>
    </row>
    <row r="43">
      <c r="A43" s="84" t="s">
        <v>3342</v>
      </c>
      <c r="B43" s="13" t="s">
        <v>3343</v>
      </c>
    </row>
    <row r="44">
      <c r="A44" s="77" t="s">
        <v>3344</v>
      </c>
      <c r="B44" s="13" t="s">
        <v>3345</v>
      </c>
    </row>
    <row r="45">
      <c r="A45" s="84" t="s">
        <v>3346</v>
      </c>
      <c r="B45" s="13" t="s">
        <v>3347</v>
      </c>
    </row>
    <row r="46">
      <c r="A46" s="84" t="s">
        <v>3348</v>
      </c>
      <c r="B46" s="13" t="s">
        <v>3349</v>
      </c>
    </row>
    <row r="47">
      <c r="A47" s="84" t="s">
        <v>3350</v>
      </c>
      <c r="B47" s="13" t="s">
        <v>3351</v>
      </c>
    </row>
    <row r="48">
      <c r="A48" s="77" t="s">
        <v>3278</v>
      </c>
      <c r="B48" s="13" t="s">
        <v>3279</v>
      </c>
    </row>
    <row r="49">
      <c r="A49" s="84" t="s">
        <v>3352</v>
      </c>
      <c r="B49" s="13" t="s">
        <v>3353</v>
      </c>
    </row>
    <row r="50">
      <c r="A50" s="77" t="s">
        <v>3284</v>
      </c>
      <c r="B50" s="13" t="s">
        <v>3285</v>
      </c>
    </row>
    <row r="51">
      <c r="A51" s="77" t="s">
        <v>3354</v>
      </c>
      <c r="B51" s="13" t="s">
        <v>3355</v>
      </c>
    </row>
    <row r="52">
      <c r="A52" s="84" t="s">
        <v>3356</v>
      </c>
      <c r="B52" s="13" t="s">
        <v>3357</v>
      </c>
    </row>
    <row r="53">
      <c r="A53" s="84" t="s">
        <v>3358</v>
      </c>
      <c r="B53" s="13" t="s">
        <v>3359</v>
      </c>
    </row>
    <row r="54">
      <c r="A54" s="84" t="s">
        <v>3360</v>
      </c>
      <c r="B54" s="13" t="s">
        <v>3361</v>
      </c>
    </row>
    <row r="55">
      <c r="A55" s="84" t="s">
        <v>3362</v>
      </c>
      <c r="B55" s="13" t="s">
        <v>3363</v>
      </c>
    </row>
    <row r="56">
      <c r="A56" s="84" t="s">
        <v>3364</v>
      </c>
      <c r="B56" s="13" t="s">
        <v>3365</v>
      </c>
    </row>
    <row r="57">
      <c r="A57" s="77" t="s">
        <v>3366</v>
      </c>
      <c r="B57" s="13" t="s">
        <v>3367</v>
      </c>
    </row>
    <row r="58">
      <c r="A58" s="84" t="s">
        <v>3368</v>
      </c>
      <c r="B58" s="13" t="s">
        <v>3369</v>
      </c>
    </row>
    <row r="59">
      <c r="A59" s="77" t="s">
        <v>3370</v>
      </c>
      <c r="B59" s="13" t="s">
        <v>3371</v>
      </c>
    </row>
    <row r="60">
      <c r="A60" s="84" t="s">
        <v>3372</v>
      </c>
      <c r="B60" s="13" t="s">
        <v>3373</v>
      </c>
    </row>
    <row r="61">
      <c r="A61" s="84" t="s">
        <v>3374</v>
      </c>
      <c r="B61" s="13" t="s">
        <v>3375</v>
      </c>
    </row>
    <row r="62">
      <c r="A62" s="84" t="s">
        <v>3376</v>
      </c>
      <c r="B62" s="13" t="s">
        <v>3377</v>
      </c>
    </row>
    <row r="63">
      <c r="A63" s="84" t="s">
        <v>3378</v>
      </c>
      <c r="B63" s="13" t="s">
        <v>3379</v>
      </c>
    </row>
    <row r="64">
      <c r="A64" s="84" t="s">
        <v>3380</v>
      </c>
      <c r="B64" s="13" t="s">
        <v>3381</v>
      </c>
    </row>
    <row r="65">
      <c r="A65" s="77" t="s">
        <v>3382</v>
      </c>
      <c r="B65" s="13" t="s">
        <v>3254</v>
      </c>
    </row>
    <row r="66">
      <c r="A66" s="84" t="s">
        <v>3383</v>
      </c>
      <c r="B66" s="13" t="s">
        <v>3384</v>
      </c>
    </row>
    <row r="67">
      <c r="A67" s="84" t="s">
        <v>3385</v>
      </c>
      <c r="B67" s="13" t="s">
        <v>3386</v>
      </c>
    </row>
    <row r="68">
      <c r="A68" s="77" t="s">
        <v>3387</v>
      </c>
      <c r="B68" s="13" t="s">
        <v>3388</v>
      </c>
    </row>
    <row r="69">
      <c r="A69" s="77" t="s">
        <v>3389</v>
      </c>
      <c r="B69" s="13" t="s">
        <v>3390</v>
      </c>
    </row>
    <row r="70">
      <c r="A70" s="77" t="s">
        <v>3391</v>
      </c>
      <c r="B70" s="13" t="s">
        <v>3392</v>
      </c>
    </row>
    <row r="71">
      <c r="A71" s="77" t="s">
        <v>3393</v>
      </c>
      <c r="B71" s="13" t="s">
        <v>3394</v>
      </c>
    </row>
    <row r="72">
      <c r="A72" s="77" t="s">
        <v>3395</v>
      </c>
      <c r="B72" s="13" t="s">
        <v>3396</v>
      </c>
    </row>
    <row r="73">
      <c r="A73" s="77" t="s">
        <v>3397</v>
      </c>
      <c r="B73" s="13" t="s">
        <v>3398</v>
      </c>
    </row>
    <row r="74">
      <c r="A74" s="77" t="s">
        <v>3399</v>
      </c>
      <c r="B74" s="13" t="s">
        <v>3400</v>
      </c>
    </row>
    <row r="75">
      <c r="A75" s="77" t="s">
        <v>3401</v>
      </c>
      <c r="B75" s="13" t="s">
        <v>3402</v>
      </c>
    </row>
    <row r="76">
      <c r="A76" s="84" t="s">
        <v>3403</v>
      </c>
      <c r="B76" s="13" t="s">
        <v>3404</v>
      </c>
    </row>
    <row r="77">
      <c r="A77" s="77" t="s">
        <v>3405</v>
      </c>
      <c r="B77" s="13" t="s">
        <v>3406</v>
      </c>
    </row>
    <row r="78">
      <c r="A78" s="84" t="s">
        <v>3407</v>
      </c>
      <c r="B78" s="13" t="s">
        <v>3408</v>
      </c>
    </row>
    <row r="79">
      <c r="A79" s="77" t="s">
        <v>3409</v>
      </c>
      <c r="B79" s="13" t="s">
        <v>3410</v>
      </c>
    </row>
    <row r="80">
      <c r="A80" s="84" t="s">
        <v>3411</v>
      </c>
      <c r="B80" s="13" t="s">
        <v>3412</v>
      </c>
    </row>
    <row r="81">
      <c r="A81" s="84" t="s">
        <v>3413</v>
      </c>
      <c r="B81" s="13" t="s">
        <v>3414</v>
      </c>
    </row>
    <row r="82">
      <c r="A82" s="84" t="s">
        <v>3415</v>
      </c>
      <c r="B82" s="13" t="s">
        <v>3416</v>
      </c>
    </row>
    <row r="83">
      <c r="A83" s="84" t="s">
        <v>3417</v>
      </c>
      <c r="B83" s="13" t="s">
        <v>3418</v>
      </c>
    </row>
    <row r="84">
      <c r="A84" s="84" t="s">
        <v>3419</v>
      </c>
      <c r="B84" s="13" t="s">
        <v>3420</v>
      </c>
    </row>
    <row r="85">
      <c r="A85" s="84" t="s">
        <v>3421</v>
      </c>
      <c r="B85" s="13" t="s">
        <v>3422</v>
      </c>
    </row>
    <row r="86">
      <c r="A86" s="77" t="s">
        <v>3423</v>
      </c>
      <c r="B86" s="13" t="s">
        <v>3424</v>
      </c>
    </row>
    <row r="87">
      <c r="A87" s="77" t="s">
        <v>3425</v>
      </c>
      <c r="B87" s="13" t="s">
        <v>3426</v>
      </c>
    </row>
    <row r="88">
      <c r="A88" s="84" t="s">
        <v>3427</v>
      </c>
      <c r="B88" s="13" t="s">
        <v>3428</v>
      </c>
    </row>
    <row r="89">
      <c r="A89" s="84" t="s">
        <v>3429</v>
      </c>
      <c r="B89" s="13" t="s">
        <v>3430</v>
      </c>
    </row>
    <row r="90">
      <c r="A90" s="84" t="s">
        <v>3431</v>
      </c>
      <c r="B90" s="13" t="s">
        <v>3432</v>
      </c>
    </row>
    <row r="91">
      <c r="A91" s="13"/>
      <c r="B91" s="13"/>
    </row>
    <row r="92">
      <c r="A92" s="13"/>
      <c r="B92" s="13"/>
    </row>
    <row r="93">
      <c r="A93" s="13"/>
      <c r="B93" s="13"/>
    </row>
    <row r="94">
      <c r="A94" s="13"/>
      <c r="B94" s="13"/>
    </row>
    <row r="95">
      <c r="A95" s="13"/>
      <c r="B95" s="13"/>
    </row>
    <row r="96">
      <c r="A96" s="13"/>
      <c r="B96" s="13"/>
    </row>
    <row r="97">
      <c r="A97" s="13"/>
      <c r="B97" s="13"/>
    </row>
    <row r="98">
      <c r="A98" s="13"/>
      <c r="B98" s="13"/>
    </row>
    <row r="99">
      <c r="A99" s="13"/>
      <c r="B99" s="13"/>
    </row>
    <row r="100">
      <c r="A100" s="13"/>
      <c r="B100" s="13"/>
    </row>
    <row r="101">
      <c r="A101" s="13"/>
      <c r="B101" s="13"/>
    </row>
    <row r="102">
      <c r="A102" s="13"/>
      <c r="B102" s="13"/>
    </row>
    <row r="103">
      <c r="A103" s="13"/>
      <c r="B103" s="13"/>
    </row>
    <row r="104">
      <c r="A104" s="13"/>
      <c r="B104" s="13"/>
    </row>
    <row r="105">
      <c r="A105" s="13"/>
      <c r="B105" s="13"/>
    </row>
    <row r="106">
      <c r="A106" s="13"/>
      <c r="B106" s="13"/>
    </row>
    <row r="107">
      <c r="A107" s="13"/>
      <c r="B107" s="13"/>
    </row>
    <row r="108">
      <c r="A108" s="13"/>
      <c r="B108" s="13"/>
    </row>
    <row r="109">
      <c r="A109" s="13"/>
      <c r="B109" s="13"/>
    </row>
    <row r="110">
      <c r="A110" s="13"/>
      <c r="B110" s="13"/>
    </row>
    <row r="111">
      <c r="A111" s="13"/>
      <c r="B111" s="13"/>
    </row>
    <row r="112">
      <c r="A112" s="13"/>
      <c r="B112" s="13"/>
    </row>
    <row r="113">
      <c r="A113" s="13"/>
      <c r="B113" s="13"/>
    </row>
    <row r="114">
      <c r="A114" s="13"/>
      <c r="B114" s="13"/>
    </row>
    <row r="115">
      <c r="A115" s="13"/>
      <c r="B115" s="13"/>
    </row>
    <row r="116">
      <c r="A116" s="13"/>
      <c r="B116" s="13"/>
    </row>
    <row r="117">
      <c r="A117" s="13"/>
      <c r="B117" s="13"/>
    </row>
    <row r="118">
      <c r="A118" s="13"/>
      <c r="B118" s="13"/>
    </row>
    <row r="119">
      <c r="A119" s="13"/>
      <c r="B119" s="13"/>
    </row>
    <row r="120">
      <c r="A120" s="13"/>
      <c r="B120" s="13"/>
    </row>
    <row r="121">
      <c r="A121" s="13"/>
      <c r="B121" s="13"/>
    </row>
    <row r="122">
      <c r="A122" s="13"/>
      <c r="B122" s="13"/>
    </row>
    <row r="123">
      <c r="A123" s="13"/>
      <c r="B123" s="13"/>
    </row>
    <row r="124">
      <c r="A124" s="13"/>
      <c r="B124" s="13"/>
    </row>
    <row r="125">
      <c r="A125" s="13"/>
      <c r="B125" s="13"/>
    </row>
    <row r="126">
      <c r="A126" s="13"/>
      <c r="B126" s="13"/>
    </row>
    <row r="127">
      <c r="A127" s="13"/>
      <c r="B127" s="13"/>
    </row>
    <row r="128">
      <c r="A128" s="13"/>
      <c r="B128" s="13"/>
    </row>
    <row r="129">
      <c r="A129" s="13"/>
      <c r="B129" s="13"/>
    </row>
    <row r="130">
      <c r="A130" s="13"/>
      <c r="B130" s="13"/>
    </row>
    <row r="131">
      <c r="A131" s="13"/>
      <c r="B131" s="13"/>
    </row>
    <row r="132">
      <c r="A132" s="13"/>
      <c r="B132" s="13"/>
    </row>
    <row r="133">
      <c r="A133" s="13"/>
      <c r="B133" s="13"/>
    </row>
    <row r="134">
      <c r="A134" s="13"/>
      <c r="B134" s="13"/>
    </row>
    <row r="135">
      <c r="A135" s="13"/>
      <c r="B135" s="13"/>
    </row>
    <row r="136">
      <c r="A136" s="13"/>
      <c r="B136" s="13"/>
    </row>
    <row r="137">
      <c r="A137" s="13"/>
      <c r="B137" s="13"/>
    </row>
    <row r="138">
      <c r="A138" s="13"/>
      <c r="B138" s="13"/>
    </row>
    <row r="139">
      <c r="A139" s="13"/>
      <c r="B139" s="13"/>
    </row>
    <row r="140">
      <c r="A140" s="13"/>
      <c r="B140" s="13"/>
    </row>
    <row r="141">
      <c r="A141" s="13"/>
      <c r="B141" s="13"/>
    </row>
    <row r="142">
      <c r="A142" s="13"/>
      <c r="B142" s="13"/>
    </row>
    <row r="143">
      <c r="A143" s="13"/>
      <c r="B143" s="13"/>
    </row>
    <row r="144">
      <c r="A144" s="13"/>
      <c r="B144" s="13"/>
    </row>
    <row r="145">
      <c r="A145" s="13"/>
      <c r="B145" s="13"/>
    </row>
    <row r="146">
      <c r="A146" s="13"/>
      <c r="B146" s="13"/>
    </row>
    <row r="147">
      <c r="A147" s="13"/>
      <c r="B147" s="13"/>
    </row>
    <row r="148">
      <c r="A148" s="13"/>
      <c r="B148" s="13"/>
    </row>
    <row r="149">
      <c r="A149" s="13"/>
      <c r="B149" s="13"/>
    </row>
    <row r="150">
      <c r="A150" s="13"/>
      <c r="B150" s="13"/>
    </row>
    <row r="151">
      <c r="A151" s="13"/>
      <c r="B151" s="13"/>
    </row>
    <row r="152">
      <c r="A152" s="13"/>
      <c r="B152" s="13"/>
    </row>
    <row r="153">
      <c r="A153" s="13"/>
      <c r="B153" s="13"/>
    </row>
    <row r="154">
      <c r="A154" s="13"/>
      <c r="B154" s="13"/>
    </row>
    <row r="155">
      <c r="A155" s="13"/>
      <c r="B155" s="13"/>
    </row>
    <row r="156">
      <c r="A156" s="13"/>
      <c r="B156" s="13"/>
    </row>
    <row r="157">
      <c r="A157" s="13"/>
      <c r="B157" s="13"/>
    </row>
    <row r="158">
      <c r="A158" s="13"/>
      <c r="B158" s="13"/>
    </row>
    <row r="159">
      <c r="A159" s="13"/>
      <c r="B159" s="13"/>
    </row>
    <row r="160">
      <c r="A160" s="13"/>
      <c r="B160" s="13"/>
    </row>
    <row r="161">
      <c r="A161" s="13"/>
      <c r="B161" s="13"/>
    </row>
    <row r="162">
      <c r="A162" s="13"/>
      <c r="B162" s="13"/>
    </row>
    <row r="163">
      <c r="A163" s="13"/>
      <c r="B163" s="13"/>
    </row>
    <row r="164">
      <c r="A164" s="13"/>
      <c r="B164" s="13"/>
    </row>
    <row r="165">
      <c r="A165" s="13"/>
      <c r="B165" s="13"/>
    </row>
    <row r="166">
      <c r="A166" s="13"/>
      <c r="B166" s="13"/>
    </row>
    <row r="167">
      <c r="A167" s="13"/>
      <c r="B167" s="13"/>
    </row>
    <row r="168">
      <c r="A168" s="13"/>
      <c r="B168" s="13"/>
    </row>
    <row r="169">
      <c r="A169" s="13"/>
      <c r="B169" s="13"/>
    </row>
    <row r="170">
      <c r="A170" s="13"/>
      <c r="B170" s="13"/>
    </row>
    <row r="171">
      <c r="A171" s="13"/>
      <c r="B171" s="13"/>
    </row>
    <row r="172">
      <c r="A172" s="13"/>
      <c r="B172" s="13"/>
    </row>
    <row r="173">
      <c r="A173" s="13"/>
      <c r="B173" s="13"/>
    </row>
    <row r="174">
      <c r="A174" s="13"/>
      <c r="B174" s="13"/>
    </row>
    <row r="175">
      <c r="A175" s="13"/>
      <c r="B175" s="13"/>
    </row>
    <row r="176">
      <c r="A176" s="13"/>
      <c r="B176" s="13"/>
    </row>
    <row r="177">
      <c r="A177" s="13"/>
      <c r="B177" s="13"/>
    </row>
    <row r="178">
      <c r="A178" s="13"/>
      <c r="B178" s="13"/>
    </row>
    <row r="179">
      <c r="A179" s="13"/>
      <c r="B179" s="13"/>
    </row>
    <row r="180">
      <c r="A180" s="13"/>
      <c r="B180" s="13"/>
    </row>
    <row r="181">
      <c r="A181" s="13"/>
      <c r="B181" s="13"/>
    </row>
    <row r="182">
      <c r="A182" s="13"/>
      <c r="B182" s="13"/>
    </row>
    <row r="183">
      <c r="A183" s="13"/>
      <c r="B183" s="13"/>
    </row>
    <row r="184">
      <c r="A184" s="13"/>
      <c r="B184" s="13"/>
    </row>
    <row r="185">
      <c r="A185" s="13"/>
      <c r="B185" s="13"/>
    </row>
    <row r="186">
      <c r="A186" s="13"/>
      <c r="B186" s="13"/>
    </row>
    <row r="187">
      <c r="A187" s="13"/>
      <c r="B187" s="13"/>
    </row>
    <row r="188">
      <c r="A188" s="13"/>
      <c r="B188" s="13"/>
    </row>
    <row r="189">
      <c r="A189" s="13"/>
      <c r="B189" s="13"/>
    </row>
    <row r="190">
      <c r="A190" s="13"/>
      <c r="B190" s="13"/>
    </row>
    <row r="191">
      <c r="A191" s="13"/>
      <c r="B191" s="13"/>
    </row>
    <row r="192">
      <c r="A192" s="13"/>
      <c r="B192" s="13"/>
    </row>
    <row r="193">
      <c r="A193" s="13"/>
      <c r="B193" s="13"/>
    </row>
    <row r="194">
      <c r="A194" s="13"/>
      <c r="B194" s="13"/>
    </row>
    <row r="195">
      <c r="A195" s="13"/>
      <c r="B195" s="13"/>
    </row>
    <row r="196">
      <c r="A196" s="13"/>
      <c r="B196" s="13"/>
    </row>
    <row r="197">
      <c r="A197" s="13"/>
      <c r="B197" s="13"/>
    </row>
    <row r="198">
      <c r="A198" s="13"/>
      <c r="B198" s="13"/>
    </row>
    <row r="199">
      <c r="A199" s="13"/>
      <c r="B199" s="13"/>
    </row>
    <row r="200">
      <c r="A200" s="13"/>
      <c r="B200" s="13"/>
    </row>
    <row r="201">
      <c r="A201" s="13"/>
      <c r="B201" s="13"/>
    </row>
    <row r="202">
      <c r="A202" s="13"/>
      <c r="B202" s="13"/>
    </row>
    <row r="203">
      <c r="A203" s="13"/>
      <c r="B203" s="13"/>
    </row>
    <row r="204">
      <c r="A204" s="13"/>
      <c r="B204" s="13"/>
    </row>
    <row r="205">
      <c r="A205" s="13"/>
      <c r="B205" s="13"/>
    </row>
    <row r="206">
      <c r="A206" s="13"/>
      <c r="B206" s="13"/>
    </row>
    <row r="207">
      <c r="A207" s="13"/>
      <c r="B207" s="13"/>
    </row>
    <row r="208">
      <c r="A208" s="13"/>
      <c r="B208" s="13"/>
    </row>
    <row r="209">
      <c r="A209" s="13"/>
      <c r="B209" s="13"/>
    </row>
    <row r="210">
      <c r="A210" s="13"/>
      <c r="B210" s="13"/>
    </row>
    <row r="211">
      <c r="A211" s="13"/>
      <c r="B211" s="13"/>
    </row>
    <row r="212">
      <c r="A212" s="13"/>
      <c r="B212" s="13"/>
    </row>
    <row r="213">
      <c r="A213" s="13"/>
      <c r="B213" s="13"/>
    </row>
    <row r="214">
      <c r="A214" s="13"/>
      <c r="B214" s="13"/>
    </row>
    <row r="215">
      <c r="A215" s="13"/>
      <c r="B215" s="13"/>
    </row>
    <row r="216">
      <c r="A216" s="13"/>
      <c r="B216" s="13"/>
    </row>
    <row r="217">
      <c r="A217" s="13"/>
      <c r="B217" s="13"/>
    </row>
    <row r="218">
      <c r="A218" s="13"/>
      <c r="B218" s="13"/>
    </row>
    <row r="219">
      <c r="A219" s="13"/>
      <c r="B219" s="13"/>
    </row>
    <row r="220">
      <c r="A220" s="13"/>
      <c r="B220" s="13"/>
    </row>
    <row r="221">
      <c r="A221" s="13"/>
      <c r="B221" s="13"/>
    </row>
    <row r="222">
      <c r="A222" s="13"/>
      <c r="B222" s="13"/>
    </row>
    <row r="223">
      <c r="A223" s="13"/>
      <c r="B223" s="13"/>
    </row>
    <row r="224">
      <c r="A224" s="13"/>
      <c r="B224" s="13"/>
    </row>
    <row r="225">
      <c r="A225" s="13"/>
      <c r="B225" s="13"/>
    </row>
    <row r="226">
      <c r="A226" s="13"/>
      <c r="B226" s="13"/>
    </row>
    <row r="227">
      <c r="A227" s="13"/>
      <c r="B227" s="13"/>
    </row>
    <row r="228">
      <c r="A228" s="13"/>
      <c r="B228" s="13"/>
    </row>
    <row r="229">
      <c r="A229" s="13"/>
      <c r="B229" s="13"/>
    </row>
    <row r="230">
      <c r="A230" s="13"/>
      <c r="B230" s="13"/>
    </row>
    <row r="231">
      <c r="A231" s="13"/>
      <c r="B231" s="13"/>
    </row>
    <row r="232">
      <c r="A232" s="13"/>
      <c r="B232" s="13"/>
    </row>
    <row r="233">
      <c r="A233" s="13"/>
      <c r="B233" s="13"/>
    </row>
    <row r="234">
      <c r="A234" s="13"/>
      <c r="B234" s="13"/>
    </row>
    <row r="235">
      <c r="A235" s="13"/>
      <c r="B235" s="13"/>
    </row>
    <row r="236">
      <c r="A236" s="13"/>
      <c r="B236" s="13"/>
    </row>
    <row r="237">
      <c r="A237" s="13"/>
      <c r="B237" s="13"/>
    </row>
    <row r="238">
      <c r="A238" s="13"/>
      <c r="B238" s="13"/>
    </row>
    <row r="239">
      <c r="A239" s="13"/>
      <c r="B239" s="13"/>
    </row>
    <row r="240">
      <c r="A240" s="13"/>
      <c r="B240" s="13"/>
    </row>
    <row r="241">
      <c r="A241" s="13"/>
      <c r="B241" s="13"/>
    </row>
    <row r="242">
      <c r="A242" s="13"/>
      <c r="B242" s="13"/>
    </row>
    <row r="243">
      <c r="A243" s="13"/>
      <c r="B243" s="13"/>
    </row>
    <row r="244">
      <c r="A244" s="13"/>
      <c r="B244" s="13"/>
    </row>
    <row r="245">
      <c r="A245" s="13"/>
      <c r="B245" s="13"/>
    </row>
    <row r="246">
      <c r="A246" s="13"/>
      <c r="B246" s="13"/>
    </row>
    <row r="247">
      <c r="A247" s="13"/>
      <c r="B247" s="13"/>
    </row>
    <row r="248">
      <c r="A248" s="13"/>
      <c r="B248" s="13"/>
    </row>
    <row r="249">
      <c r="A249" s="13"/>
      <c r="B249" s="13"/>
    </row>
    <row r="250">
      <c r="A250" s="13"/>
      <c r="B250" s="13"/>
    </row>
    <row r="251">
      <c r="A251" s="13"/>
      <c r="B251" s="13"/>
    </row>
    <row r="252">
      <c r="A252" s="13"/>
      <c r="B252" s="13"/>
    </row>
    <row r="253">
      <c r="A253" s="13"/>
      <c r="B253" s="13"/>
    </row>
    <row r="254">
      <c r="A254" s="13"/>
      <c r="B254" s="13"/>
    </row>
    <row r="255">
      <c r="A255" s="13"/>
      <c r="B255" s="13"/>
    </row>
    <row r="256">
      <c r="A256" s="13"/>
      <c r="B256" s="13"/>
    </row>
    <row r="257">
      <c r="A257" s="13"/>
      <c r="B257" s="13"/>
    </row>
    <row r="258">
      <c r="A258" s="13"/>
      <c r="B258" s="13"/>
    </row>
    <row r="259">
      <c r="A259" s="13"/>
      <c r="B259" s="13"/>
    </row>
    <row r="260">
      <c r="A260" s="13"/>
      <c r="B260" s="13"/>
    </row>
    <row r="261">
      <c r="A261" s="13"/>
      <c r="B261" s="13"/>
    </row>
    <row r="262">
      <c r="A262" s="13"/>
      <c r="B262" s="13"/>
    </row>
    <row r="263">
      <c r="A263" s="13"/>
      <c r="B263" s="13"/>
    </row>
    <row r="264">
      <c r="A264" s="13"/>
      <c r="B264" s="13"/>
    </row>
    <row r="265">
      <c r="A265" s="13"/>
      <c r="B265" s="13"/>
    </row>
    <row r="266">
      <c r="A266" s="13"/>
      <c r="B266" s="13"/>
    </row>
    <row r="267">
      <c r="A267" s="13"/>
      <c r="B267" s="13"/>
    </row>
    <row r="268">
      <c r="A268" s="13"/>
      <c r="B268" s="13"/>
    </row>
    <row r="269">
      <c r="A269" s="13"/>
      <c r="B269" s="13"/>
    </row>
    <row r="270">
      <c r="A270" s="13"/>
      <c r="B270" s="13"/>
    </row>
    <row r="271">
      <c r="A271" s="13"/>
      <c r="B271" s="13"/>
    </row>
    <row r="272">
      <c r="A272" s="13"/>
      <c r="B272" s="13"/>
    </row>
    <row r="273">
      <c r="A273" s="13"/>
      <c r="B273" s="13"/>
    </row>
    <row r="274">
      <c r="A274" s="13"/>
      <c r="B274" s="13"/>
    </row>
    <row r="275">
      <c r="A275" s="13"/>
      <c r="B275" s="13"/>
    </row>
    <row r="276">
      <c r="A276" s="13"/>
      <c r="B276" s="13"/>
    </row>
    <row r="277">
      <c r="A277" s="13"/>
      <c r="B277" s="13"/>
    </row>
    <row r="278">
      <c r="A278" s="13"/>
      <c r="B278" s="13"/>
    </row>
    <row r="279">
      <c r="A279" s="13"/>
      <c r="B279" s="13"/>
    </row>
    <row r="280">
      <c r="A280" s="13"/>
      <c r="B280" s="13"/>
    </row>
    <row r="281">
      <c r="A281" s="13"/>
      <c r="B281" s="13"/>
    </row>
    <row r="282">
      <c r="A282" s="13"/>
      <c r="B282" s="13"/>
    </row>
    <row r="283">
      <c r="A283" s="13"/>
      <c r="B283" s="13"/>
    </row>
    <row r="284">
      <c r="A284" s="13"/>
      <c r="B284" s="13"/>
    </row>
    <row r="285">
      <c r="A285" s="13"/>
      <c r="B285" s="13"/>
    </row>
    <row r="286">
      <c r="A286" s="13"/>
      <c r="B286" s="13"/>
    </row>
    <row r="287">
      <c r="A287" s="13"/>
      <c r="B287" s="13"/>
    </row>
    <row r="288">
      <c r="A288" s="13"/>
      <c r="B288" s="13"/>
    </row>
    <row r="289">
      <c r="A289" s="13"/>
      <c r="B289" s="13"/>
    </row>
    <row r="290">
      <c r="A290" s="13"/>
      <c r="B290" s="13"/>
    </row>
    <row r="291">
      <c r="A291" s="13"/>
      <c r="B291" s="13"/>
    </row>
    <row r="292">
      <c r="A292" s="13"/>
      <c r="B292" s="13"/>
    </row>
    <row r="293">
      <c r="A293" s="13"/>
      <c r="B293" s="13"/>
    </row>
    <row r="294">
      <c r="A294" s="13"/>
      <c r="B294" s="13"/>
    </row>
    <row r="295">
      <c r="A295" s="13"/>
      <c r="B295" s="13"/>
    </row>
    <row r="296">
      <c r="A296" s="13"/>
      <c r="B296" s="13"/>
    </row>
    <row r="297">
      <c r="A297" s="13"/>
      <c r="B297" s="13"/>
    </row>
    <row r="298">
      <c r="A298" s="13"/>
      <c r="B298" s="13"/>
    </row>
    <row r="299">
      <c r="A299" s="13"/>
      <c r="B299" s="13"/>
    </row>
    <row r="300">
      <c r="A300" s="13"/>
      <c r="B300" s="13"/>
    </row>
    <row r="301">
      <c r="A301" s="13"/>
      <c r="B301" s="13"/>
    </row>
    <row r="302">
      <c r="A302" s="13"/>
      <c r="B302" s="13"/>
    </row>
    <row r="303">
      <c r="A303" s="13"/>
      <c r="B303" s="13"/>
    </row>
    <row r="304">
      <c r="A304" s="13"/>
      <c r="B304" s="13"/>
    </row>
    <row r="305">
      <c r="A305" s="13"/>
      <c r="B305" s="13"/>
    </row>
    <row r="306">
      <c r="A306" s="13"/>
      <c r="B306" s="13"/>
    </row>
    <row r="307">
      <c r="A307" s="13"/>
      <c r="B307" s="13"/>
    </row>
    <row r="308">
      <c r="A308" s="13"/>
      <c r="B308" s="13"/>
    </row>
    <row r="309">
      <c r="A309" s="13"/>
      <c r="B309" s="13"/>
    </row>
    <row r="310">
      <c r="A310" s="13"/>
      <c r="B310" s="13"/>
    </row>
    <row r="311">
      <c r="A311" s="13"/>
      <c r="B311" s="13"/>
    </row>
    <row r="312">
      <c r="A312" s="13"/>
      <c r="B312" s="13"/>
    </row>
    <row r="313">
      <c r="A313" s="13"/>
      <c r="B313" s="13"/>
    </row>
    <row r="314">
      <c r="A314" s="13"/>
      <c r="B314" s="13"/>
    </row>
    <row r="315">
      <c r="A315" s="13"/>
      <c r="B315" s="13"/>
    </row>
    <row r="316">
      <c r="A316" s="13"/>
      <c r="B316" s="13"/>
    </row>
    <row r="317">
      <c r="A317" s="13"/>
      <c r="B317" s="13"/>
    </row>
    <row r="318">
      <c r="A318" s="13"/>
      <c r="B318" s="13"/>
    </row>
    <row r="319">
      <c r="A319" s="13"/>
      <c r="B319" s="13"/>
    </row>
    <row r="320">
      <c r="A320" s="13"/>
      <c r="B320" s="13"/>
    </row>
    <row r="321">
      <c r="A321" s="13"/>
      <c r="B321" s="13"/>
    </row>
    <row r="322">
      <c r="A322" s="13"/>
      <c r="B322" s="13"/>
    </row>
    <row r="323">
      <c r="A323" s="13"/>
      <c r="B323" s="13"/>
    </row>
    <row r="324">
      <c r="A324" s="13"/>
      <c r="B324" s="13"/>
    </row>
    <row r="325">
      <c r="A325" s="13"/>
      <c r="B325" s="13"/>
    </row>
    <row r="326">
      <c r="A326" s="13"/>
      <c r="B326" s="13"/>
    </row>
    <row r="327">
      <c r="A327" s="13"/>
      <c r="B327" s="13"/>
    </row>
    <row r="328">
      <c r="A328" s="13"/>
      <c r="B328" s="13"/>
    </row>
    <row r="329">
      <c r="A329" s="13"/>
      <c r="B329" s="13"/>
    </row>
    <row r="330">
      <c r="A330" s="13"/>
      <c r="B330" s="13"/>
    </row>
    <row r="331">
      <c r="A331" s="13"/>
      <c r="B331" s="13"/>
    </row>
    <row r="332">
      <c r="A332" s="13"/>
      <c r="B332" s="13"/>
    </row>
    <row r="333">
      <c r="A333" s="13"/>
      <c r="B333" s="13"/>
    </row>
    <row r="334">
      <c r="A334" s="13"/>
      <c r="B334" s="13"/>
    </row>
    <row r="335">
      <c r="A335" s="13"/>
      <c r="B335" s="13"/>
    </row>
    <row r="336">
      <c r="A336" s="13"/>
      <c r="B336" s="13"/>
    </row>
    <row r="337">
      <c r="A337" s="13"/>
      <c r="B337" s="13"/>
    </row>
    <row r="338">
      <c r="A338" s="13"/>
      <c r="B338" s="13"/>
    </row>
    <row r="339">
      <c r="A339" s="13"/>
      <c r="B339" s="13"/>
    </row>
    <row r="340">
      <c r="A340" s="13"/>
      <c r="B340" s="13"/>
    </row>
    <row r="341">
      <c r="A341" s="13"/>
      <c r="B341" s="13"/>
    </row>
    <row r="342">
      <c r="A342" s="13"/>
      <c r="B342" s="13"/>
    </row>
    <row r="343">
      <c r="A343" s="13"/>
      <c r="B343" s="13"/>
    </row>
    <row r="344">
      <c r="A344" s="13"/>
      <c r="B344" s="13"/>
    </row>
    <row r="345">
      <c r="A345" s="13"/>
      <c r="B345" s="13"/>
    </row>
    <row r="346">
      <c r="A346" s="13"/>
      <c r="B346" s="13"/>
    </row>
    <row r="347">
      <c r="A347" s="13"/>
      <c r="B347" s="13"/>
    </row>
    <row r="348">
      <c r="A348" s="13"/>
      <c r="B348" s="13"/>
    </row>
    <row r="349">
      <c r="A349" s="13"/>
      <c r="B349" s="13"/>
    </row>
    <row r="350">
      <c r="A350" s="13"/>
      <c r="B350" s="13"/>
    </row>
    <row r="351">
      <c r="A351" s="13"/>
      <c r="B351" s="13"/>
    </row>
    <row r="352">
      <c r="A352" s="13"/>
      <c r="B352" s="13"/>
    </row>
    <row r="353">
      <c r="A353" s="13"/>
      <c r="B353" s="13"/>
    </row>
    <row r="354">
      <c r="A354" s="13"/>
      <c r="B354" s="13"/>
    </row>
    <row r="355">
      <c r="A355" s="13"/>
      <c r="B355" s="13"/>
    </row>
    <row r="356">
      <c r="A356" s="13"/>
      <c r="B356" s="13"/>
    </row>
    <row r="357">
      <c r="A357" s="13"/>
      <c r="B357" s="13"/>
    </row>
    <row r="358">
      <c r="A358" s="13"/>
      <c r="B358" s="13"/>
    </row>
    <row r="359">
      <c r="A359" s="13"/>
      <c r="B359" s="13"/>
    </row>
    <row r="360">
      <c r="A360" s="13"/>
      <c r="B360" s="13"/>
    </row>
    <row r="361">
      <c r="A361" s="13"/>
      <c r="B361" s="13"/>
    </row>
    <row r="362">
      <c r="A362" s="13"/>
      <c r="B362" s="13"/>
    </row>
    <row r="363">
      <c r="A363" s="13"/>
      <c r="B363" s="13"/>
    </row>
    <row r="364">
      <c r="A364" s="13"/>
      <c r="B364" s="13"/>
    </row>
    <row r="365">
      <c r="A365" s="13"/>
      <c r="B365" s="13"/>
    </row>
    <row r="366">
      <c r="A366" s="13"/>
      <c r="B366" s="13"/>
    </row>
    <row r="367">
      <c r="A367" s="13"/>
      <c r="B367" s="13"/>
    </row>
    <row r="368">
      <c r="A368" s="13"/>
      <c r="B368" s="13"/>
    </row>
    <row r="369">
      <c r="A369" s="13"/>
      <c r="B369" s="13"/>
    </row>
    <row r="370">
      <c r="A370" s="13"/>
      <c r="B370" s="13"/>
    </row>
    <row r="371">
      <c r="A371" s="13"/>
      <c r="B371" s="13"/>
    </row>
    <row r="372">
      <c r="A372" s="13"/>
      <c r="B372" s="13"/>
    </row>
    <row r="373">
      <c r="A373" s="13"/>
      <c r="B373" s="13"/>
    </row>
    <row r="374">
      <c r="A374" s="13"/>
      <c r="B374" s="13"/>
    </row>
    <row r="375">
      <c r="A375" s="13"/>
      <c r="B375" s="13"/>
    </row>
    <row r="376">
      <c r="A376" s="13"/>
      <c r="B376" s="13"/>
    </row>
    <row r="377">
      <c r="A377" s="13"/>
      <c r="B377" s="13"/>
    </row>
    <row r="378">
      <c r="A378" s="13"/>
      <c r="B378" s="13"/>
    </row>
    <row r="379">
      <c r="A379" s="13"/>
      <c r="B379" s="13"/>
    </row>
    <row r="380">
      <c r="A380" s="13"/>
      <c r="B380" s="13"/>
    </row>
    <row r="381">
      <c r="A381" s="13"/>
      <c r="B381" s="13"/>
    </row>
    <row r="382">
      <c r="A382" s="13"/>
      <c r="B382" s="13"/>
    </row>
    <row r="383">
      <c r="A383" s="13"/>
      <c r="B383" s="13"/>
    </row>
    <row r="384">
      <c r="A384" s="13"/>
      <c r="B384" s="13"/>
    </row>
    <row r="385">
      <c r="A385" s="13"/>
      <c r="B385" s="13"/>
    </row>
    <row r="386">
      <c r="A386" s="13"/>
      <c r="B386" s="13"/>
    </row>
    <row r="387">
      <c r="A387" s="13"/>
      <c r="B387" s="13"/>
    </row>
    <row r="388">
      <c r="A388" s="13"/>
      <c r="B388" s="13"/>
    </row>
    <row r="389">
      <c r="A389" s="13"/>
      <c r="B389" s="13"/>
    </row>
    <row r="390">
      <c r="A390" s="13"/>
      <c r="B390" s="13"/>
    </row>
    <row r="391">
      <c r="A391" s="13"/>
      <c r="B391" s="13"/>
    </row>
    <row r="392">
      <c r="A392" s="13"/>
      <c r="B392" s="13"/>
    </row>
    <row r="393">
      <c r="A393" s="13"/>
      <c r="B393" s="13"/>
    </row>
    <row r="394">
      <c r="A394" s="13"/>
      <c r="B394" s="13"/>
    </row>
    <row r="395">
      <c r="A395" s="13"/>
      <c r="B395" s="13"/>
    </row>
    <row r="396">
      <c r="A396" s="13"/>
      <c r="B396" s="13"/>
    </row>
    <row r="397">
      <c r="A397" s="13"/>
      <c r="B397" s="13"/>
    </row>
    <row r="398">
      <c r="A398" s="13"/>
      <c r="B398" s="13"/>
    </row>
    <row r="399">
      <c r="A399" s="13"/>
      <c r="B399" s="13"/>
    </row>
    <row r="400">
      <c r="A400" s="13"/>
      <c r="B400" s="13"/>
    </row>
    <row r="401">
      <c r="A401" s="13"/>
      <c r="B401" s="13"/>
    </row>
    <row r="402">
      <c r="A402" s="13"/>
      <c r="B402" s="13"/>
    </row>
    <row r="403">
      <c r="A403" s="13"/>
      <c r="B403" s="13"/>
    </row>
    <row r="404">
      <c r="A404" s="13"/>
      <c r="B404" s="13"/>
    </row>
    <row r="405">
      <c r="A405" s="13"/>
      <c r="B405" s="13"/>
    </row>
    <row r="406">
      <c r="A406" s="13"/>
      <c r="B406" s="13"/>
    </row>
    <row r="407">
      <c r="A407" s="13"/>
      <c r="B407" s="13"/>
    </row>
    <row r="408">
      <c r="A408" s="13"/>
      <c r="B408" s="13"/>
    </row>
    <row r="409">
      <c r="A409" s="13"/>
      <c r="B409" s="13"/>
    </row>
    <row r="410">
      <c r="A410" s="13"/>
      <c r="B410" s="13"/>
    </row>
    <row r="411">
      <c r="A411" s="13"/>
      <c r="B411" s="13"/>
    </row>
    <row r="412">
      <c r="A412" s="13"/>
      <c r="B412" s="13"/>
    </row>
    <row r="413">
      <c r="A413" s="13"/>
      <c r="B413" s="13"/>
    </row>
    <row r="414">
      <c r="A414" s="13"/>
      <c r="B414" s="13"/>
    </row>
    <row r="415">
      <c r="A415" s="13"/>
      <c r="B415" s="13"/>
    </row>
    <row r="416">
      <c r="A416" s="13"/>
      <c r="B416" s="13"/>
    </row>
    <row r="417">
      <c r="A417" s="13"/>
      <c r="B417" s="13"/>
    </row>
    <row r="418">
      <c r="A418" s="13"/>
      <c r="B418" s="13"/>
    </row>
    <row r="419">
      <c r="A419" s="13"/>
      <c r="B419" s="13"/>
    </row>
    <row r="420">
      <c r="A420" s="13"/>
      <c r="B420" s="13"/>
    </row>
    <row r="421">
      <c r="A421" s="13"/>
      <c r="B421" s="13"/>
    </row>
    <row r="422">
      <c r="A422" s="13"/>
      <c r="B422" s="13"/>
    </row>
    <row r="423">
      <c r="A423" s="13"/>
      <c r="B423" s="13"/>
    </row>
    <row r="424">
      <c r="A424" s="13"/>
      <c r="B424" s="13"/>
    </row>
    <row r="425">
      <c r="A425" s="13"/>
      <c r="B425" s="13"/>
    </row>
    <row r="426">
      <c r="A426" s="13"/>
      <c r="B426" s="13"/>
    </row>
    <row r="427">
      <c r="A427" s="13"/>
      <c r="B427" s="13"/>
    </row>
    <row r="428">
      <c r="A428" s="13"/>
      <c r="B428" s="13"/>
    </row>
    <row r="429">
      <c r="A429" s="13"/>
      <c r="B429" s="13"/>
    </row>
    <row r="430">
      <c r="A430" s="13"/>
      <c r="B430" s="13"/>
    </row>
    <row r="431">
      <c r="A431" s="13"/>
      <c r="B431" s="13"/>
    </row>
    <row r="432">
      <c r="A432" s="13"/>
      <c r="B432" s="13"/>
    </row>
    <row r="433">
      <c r="A433" s="13"/>
      <c r="B433" s="13"/>
    </row>
    <row r="434">
      <c r="A434" s="13"/>
      <c r="B434" s="13"/>
    </row>
    <row r="435">
      <c r="A435" s="13"/>
      <c r="B435" s="13"/>
    </row>
    <row r="436">
      <c r="A436" s="13"/>
      <c r="B436" s="13"/>
    </row>
    <row r="437">
      <c r="A437" s="13"/>
      <c r="B437" s="13"/>
    </row>
    <row r="438">
      <c r="A438" s="13"/>
      <c r="B438" s="13"/>
    </row>
    <row r="439">
      <c r="A439" s="13"/>
      <c r="B439" s="13"/>
    </row>
    <row r="440">
      <c r="A440" s="13"/>
      <c r="B440" s="13"/>
    </row>
    <row r="441">
      <c r="A441" s="13"/>
      <c r="B441" s="13"/>
    </row>
    <row r="442">
      <c r="A442" s="13"/>
      <c r="B442" s="13"/>
    </row>
    <row r="443">
      <c r="A443" s="13"/>
      <c r="B443" s="13"/>
    </row>
    <row r="444">
      <c r="A444" s="13"/>
      <c r="B444" s="13"/>
    </row>
    <row r="445">
      <c r="A445" s="13"/>
      <c r="B445" s="13"/>
    </row>
    <row r="446">
      <c r="A446" s="13"/>
      <c r="B446" s="13"/>
    </row>
    <row r="447">
      <c r="A447" s="13"/>
      <c r="B447" s="13"/>
    </row>
    <row r="448">
      <c r="A448" s="13"/>
      <c r="B448" s="13"/>
    </row>
    <row r="449">
      <c r="A449" s="13"/>
      <c r="B449" s="13"/>
    </row>
    <row r="450">
      <c r="A450" s="13"/>
      <c r="B450" s="13"/>
    </row>
    <row r="451">
      <c r="A451" s="13"/>
      <c r="B451" s="13"/>
    </row>
    <row r="452">
      <c r="A452" s="13"/>
      <c r="B452" s="13"/>
    </row>
    <row r="453">
      <c r="A453" s="13"/>
      <c r="B453" s="13"/>
    </row>
    <row r="454">
      <c r="A454" s="13"/>
      <c r="B454" s="13"/>
    </row>
    <row r="455">
      <c r="A455" s="13"/>
      <c r="B455" s="13"/>
    </row>
    <row r="456">
      <c r="A456" s="13"/>
      <c r="B456" s="13"/>
    </row>
    <row r="457">
      <c r="A457" s="13"/>
      <c r="B457" s="13"/>
    </row>
    <row r="458">
      <c r="A458" s="13"/>
      <c r="B458" s="13"/>
    </row>
    <row r="459">
      <c r="A459" s="13"/>
      <c r="B459" s="13"/>
    </row>
    <row r="460">
      <c r="A460" s="13"/>
      <c r="B460" s="1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s>
  <drawing r:id="rId90"/>
</worksheet>
</file>